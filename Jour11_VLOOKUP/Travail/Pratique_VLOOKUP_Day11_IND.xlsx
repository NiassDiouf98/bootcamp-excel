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updateLinks="always" defaultThemeVersion="166925"/>
  <xr:revisionPtr revIDLastSave="0" documentId="8_{95CB36ED-A879-4864-89E4-72E90F03A9EE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Pratique_VLOOKUP" sheetId="1" r:id="rId1"/>
    <sheet name="Mini-projet-Catalogue" sheetId="2" r:id="rId2"/>
    <sheet name="Recherche_Produit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" i="3" l="1"/>
  <c r="F4" i="3"/>
  <c r="F3" i="3"/>
  <c r="F2" i="3"/>
  <c r="H21" i="1"/>
  <c r="H18" i="1"/>
  <c r="H19" i="1"/>
  <c r="H20" i="1"/>
  <c r="H17" i="1"/>
  <c r="I17" i="1"/>
  <c r="I13" i="1"/>
  <c r="I9" i="1"/>
  <c r="I8" i="1"/>
  <c r="I4" i="1"/>
  <c r="I3" i="1"/>
</calcChain>
</file>

<file path=xl/sharedStrings.xml><?xml version="1.0" encoding="utf-8"?>
<sst xmlns="http://schemas.openxmlformats.org/spreadsheetml/2006/main" count="247" uniqueCount="176">
  <si>
    <t>Product_ID</t>
  </si>
  <si>
    <t>Produit</t>
  </si>
  <si>
    <t>Prix</t>
  </si>
  <si>
    <t>Exercice1 - Premier Recherche</t>
  </si>
  <si>
    <t>P001</t>
  </si>
  <si>
    <t>Ordinateur</t>
  </si>
  <si>
    <t>Product_ID recherche</t>
  </si>
  <si>
    <t>Resultat</t>
  </si>
  <si>
    <t>P002</t>
  </si>
  <si>
    <t>Souris</t>
  </si>
  <si>
    <t>P003</t>
  </si>
  <si>
    <t>Clavier</t>
  </si>
  <si>
    <t>P004</t>
  </si>
  <si>
    <t>Écran</t>
  </si>
  <si>
    <t>P005</t>
  </si>
  <si>
    <t>Casque</t>
  </si>
  <si>
    <t>Exercice2 - Premier exacte</t>
  </si>
  <si>
    <t>Exercice3 - Changer la colonne retournee</t>
  </si>
  <si>
    <t>Exercice4 - Recopie la formule</t>
  </si>
  <si>
    <t>Catégorie</t>
  </si>
  <si>
    <t>Stock</t>
  </si>
  <si>
    <t>Etagere murale</t>
  </si>
  <si>
    <t>Maison</t>
  </si>
  <si>
    <t>21 065 FCFA</t>
  </si>
  <si>
    <t>Sucre 1kg</t>
  </si>
  <si>
    <t>Alimentation</t>
  </si>
  <si>
    <t>21 382 FCFA</t>
  </si>
  <si>
    <t>Baskets sport</t>
  </si>
  <si>
    <t>Mode</t>
  </si>
  <si>
    <t>148 998 FCFA</t>
  </si>
  <si>
    <t>Tablette</t>
  </si>
  <si>
    <t>Electronique</t>
  </si>
  <si>
    <t>19 037 FCFA</t>
  </si>
  <si>
    <t>Refrigerateur</t>
  </si>
  <si>
    <t>Electromenager</t>
  </si>
  <si>
    <t>73 113 FCFA</t>
  </si>
  <si>
    <t>P006</t>
  </si>
  <si>
    <t>Disque dur externe</t>
  </si>
  <si>
    <t>106 705 FCFA</t>
  </si>
  <si>
    <t>P007</t>
  </si>
  <si>
    <t>Casque gaming</t>
  </si>
  <si>
    <t>244 088 FCFA</t>
  </si>
  <si>
    <t>P008</t>
  </si>
  <si>
    <t>Sardines en boite</t>
  </si>
  <si>
    <t>38 844 FCFA</t>
  </si>
  <si>
    <t>P009</t>
  </si>
  <si>
    <t>Sandales cuir</t>
  </si>
  <si>
    <t>199 426 FCFA</t>
  </si>
  <si>
    <t>P010</t>
  </si>
  <si>
    <t>Ecouteurs sans fil</t>
  </si>
  <si>
    <t>24 438 FCFA</t>
  </si>
  <si>
    <t>P011</t>
  </si>
  <si>
    <t>Sel fin 1kg</t>
  </si>
  <si>
    <t>106 003 FCFA</t>
  </si>
  <si>
    <t>P012</t>
  </si>
  <si>
    <t>Clavier mecanique</t>
  </si>
  <si>
    <t>108 978 FCFA</t>
  </si>
  <si>
    <t>P013</t>
  </si>
  <si>
    <t>Farine de ble 1kg</t>
  </si>
  <si>
    <t>131 774 FCFA</t>
  </si>
  <si>
    <t>P014</t>
  </si>
  <si>
    <t>Ecran 24 pouces</t>
  </si>
  <si>
    <t>60 925 FCFA</t>
  </si>
  <si>
    <t>P015</t>
  </si>
  <si>
    <t>Pates alimentaires 500g</t>
  </si>
  <si>
    <t>42 076 FCFA</t>
  </si>
  <si>
    <t>P016</t>
  </si>
  <si>
    <t>Riz 5kg</t>
  </si>
  <si>
    <t>91 034 FCFA</t>
  </si>
  <si>
    <t>P017</t>
  </si>
  <si>
    <t>Rideaux occultants</t>
  </si>
  <si>
    <t>123 930 FCFA</t>
  </si>
  <si>
    <t>P018</t>
  </si>
  <si>
    <t>Cafe moulu 250g</t>
  </si>
  <si>
    <t>182 632 FCFA</t>
  </si>
  <si>
    <t>P019</t>
  </si>
  <si>
    <t>Webcam HD</t>
  </si>
  <si>
    <t>146 800 FCFA</t>
  </si>
  <si>
    <t>P020</t>
  </si>
  <si>
    <t>Miroir decoratif</t>
  </si>
  <si>
    <t>101 009 FCFA</t>
  </si>
  <si>
    <t>P021</t>
  </si>
  <si>
    <t>Sac a dos</t>
  </si>
  <si>
    <t>119 050 FCFA</t>
  </si>
  <si>
    <t>P022</t>
  </si>
  <si>
    <t>Ordinateur portable</t>
  </si>
  <si>
    <t>99 311 FCFA</t>
  </si>
  <si>
    <t>P023</t>
  </si>
  <si>
    <t>Ventilateur</t>
  </si>
  <si>
    <t>141 528 FCFA</t>
  </si>
  <si>
    <t>P024</t>
  </si>
  <si>
    <t>Grille-pain</t>
  </si>
  <si>
    <t>25 260 FCFA</t>
  </si>
  <si>
    <t>P025</t>
  </si>
  <si>
    <t>The vert 100g</t>
  </si>
  <si>
    <t>152 631 FCFA</t>
  </si>
  <si>
    <t>P026</t>
  </si>
  <si>
    <t>Robe femme</t>
  </si>
  <si>
    <t>197 484 FCFA</t>
  </si>
  <si>
    <t>P027</t>
  </si>
  <si>
    <t>Oreiller memoire de forme</t>
  </si>
  <si>
    <t>184 852 FCFA</t>
  </si>
  <si>
    <t>P028</t>
  </si>
  <si>
    <t>Enceinte Bluetooth</t>
  </si>
  <si>
    <t>15 442 FCFA</t>
  </si>
  <si>
    <t>P029</t>
  </si>
  <si>
    <t>Chargeur rapide</t>
  </si>
  <si>
    <t>158 026 FCFA</t>
  </si>
  <si>
    <t>P030</t>
  </si>
  <si>
    <t>Set de casseroles</t>
  </si>
  <si>
    <t>220 963 FCFA</t>
  </si>
  <si>
    <t>P031</t>
  </si>
  <si>
    <t>Bouilloire electrique</t>
  </si>
  <si>
    <t>160 089 FCFA</t>
  </si>
  <si>
    <t>P032</t>
  </si>
  <si>
    <t>Fer a repasser</t>
  </si>
  <si>
    <t>107 470 FCFA</t>
  </si>
  <si>
    <t>P033</t>
  </si>
  <si>
    <t>Couette 2 places</t>
  </si>
  <si>
    <t>98 346 FCFA</t>
  </si>
  <si>
    <t>P034</t>
  </si>
  <si>
    <t>Tapis salon</t>
  </si>
  <si>
    <t>192 290 FCFA</t>
  </si>
  <si>
    <t>P035</t>
  </si>
  <si>
    <t>Chemise coton</t>
  </si>
  <si>
    <t>210 152 FCFA</t>
  </si>
  <si>
    <t>P036</t>
  </si>
  <si>
    <t>Aspirateur</t>
  </si>
  <si>
    <t>26 661 FCFA</t>
  </si>
  <si>
    <t>P037</t>
  </si>
  <si>
    <t>Machine a laver</t>
  </si>
  <si>
    <t>135 631 FCFA</t>
  </si>
  <si>
    <t>P038</t>
  </si>
  <si>
    <t>Veste en jean</t>
  </si>
  <si>
    <t>71 864 FCFA</t>
  </si>
  <si>
    <t>P039</t>
  </si>
  <si>
    <t>Jean slim</t>
  </si>
  <si>
    <t>85 690 FCFA</t>
  </si>
  <si>
    <t>P040</t>
  </si>
  <si>
    <t>Lait en poudre 900g</t>
  </si>
  <si>
    <t>30 398 FCFA</t>
  </si>
  <si>
    <t>P041</t>
  </si>
  <si>
    <t>Smartphone</t>
  </si>
  <si>
    <t>81 634 FCFA</t>
  </si>
  <si>
    <t>P042</t>
  </si>
  <si>
    <t>Ceinture cuir</t>
  </si>
  <si>
    <t>16 107 FCFA</t>
  </si>
  <si>
    <t>P043</t>
  </si>
  <si>
    <t>Lampe de chevet</t>
  </si>
  <si>
    <t>89 511 FCFA</t>
  </si>
  <si>
    <t>P044</t>
  </si>
  <si>
    <t>Table basse</t>
  </si>
  <si>
    <t>6 618 FCFA</t>
  </si>
  <si>
    <t>P045</t>
  </si>
  <si>
    <t>Cable HDMI</t>
  </si>
  <si>
    <t>236 980 FCFA</t>
  </si>
  <si>
    <t>P046</t>
  </si>
  <si>
    <t>Souris sans fil</t>
  </si>
  <si>
    <t>54 460 FCFA</t>
  </si>
  <si>
    <t>P047</t>
  </si>
  <si>
    <t>Cle USB 64Go</t>
  </si>
  <si>
    <t>31 827 FCFA</t>
  </si>
  <si>
    <t>P048</t>
  </si>
  <si>
    <t>Montre connectee</t>
  </si>
  <si>
    <t>139 610 FCFA</t>
  </si>
  <si>
    <t>P049</t>
  </si>
  <si>
    <t>Mixeur</t>
  </si>
  <si>
    <t>116 935 FCFA</t>
  </si>
  <si>
    <t>P050</t>
  </si>
  <si>
    <t>Casquette</t>
  </si>
  <si>
    <t>162 135 FCFA</t>
  </si>
  <si>
    <t>Product_IDS</t>
  </si>
  <si>
    <t>Information</t>
  </si>
  <si>
    <t>Categorie</t>
  </si>
  <si>
    <t>Stock disponible</t>
  </si>
  <si>
    <t>P999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</si>
</sst>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  <charset val="1"/>
    </font>
    <font>
      <sz val="11"/>
      <color rgb="FFFFFFFF"/>
      <name val="Calibri"/>
      <scheme val="minor"/>
    </font>
    <font>
      <b/>
      <sz val="10"/>
      <color rgb="FFFFFFFF"/>
      <name val="Arial"/>
      <charset val="1"/>
    </font>
    <font>
      <sz val="10"/>
      <color theme="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3" fillId="0" borderId="0" xfId="0" applyFont="1"/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4" fillId="0" borderId="1" xfId="0" applyFont="1" applyBorder="1"/>
    <xf numFmtId="0" fontId="5" fillId="2" borderId="0" xfId="0" applyFont="1" applyFill="1"/>
    <xf numFmtId="0" fontId="3" fillId="0" borderId="0" xfId="0" applyFont="1" applyAlignment="1">
      <alignment horizontal="center"/>
    </xf>
    <xf numFmtId="0" fontId="6" fillId="3" borderId="0" xfId="0" applyFont="1" applyFill="1"/>
    <xf numFmtId="0" fontId="7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atalogu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alogu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selection activeCell="H18" sqref="H18"/>
    </sheetView>
  </sheetViews>
  <sheetFormatPr defaultRowHeight="15"/>
  <cols>
    <col min="1" max="1" width="11.140625" bestFit="1" customWidth="1"/>
    <col min="2" max="2" width="12.28515625" bestFit="1" customWidth="1"/>
    <col min="7" max="7" width="5.7109375" customWidth="1"/>
    <col min="8" max="8" width="24.5703125" customWidth="1"/>
    <col min="9" max="9" width="12.42578125" customWidth="1"/>
  </cols>
  <sheetData>
    <row r="1" spans="1:9" s="3" customFormat="1">
      <c r="A1" s="4" t="s">
        <v>0</v>
      </c>
      <c r="B1" s="4" t="s">
        <v>1</v>
      </c>
      <c r="C1" s="4" t="s">
        <v>2</v>
      </c>
      <c r="H1" s="8" t="s">
        <v>3</v>
      </c>
      <c r="I1" s="8"/>
    </row>
    <row r="2" spans="1:9" ht="15.75">
      <c r="A2" s="5" t="s">
        <v>4</v>
      </c>
      <c r="B2" s="6" t="s">
        <v>5</v>
      </c>
      <c r="C2" s="5">
        <v>450000</v>
      </c>
      <c r="H2" s="7" t="s">
        <v>6</v>
      </c>
      <c r="I2" s="1" t="s">
        <v>7</v>
      </c>
    </row>
    <row r="3" spans="1:9" ht="15.75">
      <c r="A3" s="5" t="s">
        <v>8</v>
      </c>
      <c r="B3" s="6" t="s">
        <v>9</v>
      </c>
      <c r="C3" s="5">
        <v>15000</v>
      </c>
      <c r="H3" t="s">
        <v>10</v>
      </c>
      <c r="I3" t="str">
        <f>VLOOKUP(A4,A2:C6,2,FALSE)</f>
        <v>Clavier</v>
      </c>
    </row>
    <row r="4" spans="1:9" ht="15.75">
      <c r="A4" s="5" t="s">
        <v>10</v>
      </c>
      <c r="B4" s="6" t="s">
        <v>11</v>
      </c>
      <c r="C4" s="5">
        <v>25000</v>
      </c>
      <c r="I4">
        <f>VLOOKUP(A4,A2:C6,3,FALSE)</f>
        <v>25000</v>
      </c>
    </row>
    <row r="5" spans="1:9" ht="15.75">
      <c r="A5" s="5" t="s">
        <v>12</v>
      </c>
      <c r="B5" s="6" t="s">
        <v>13</v>
      </c>
      <c r="C5" s="5">
        <v>120000</v>
      </c>
    </row>
    <row r="6" spans="1:9" ht="15.75">
      <c r="A6" s="5" t="s">
        <v>14</v>
      </c>
      <c r="B6" s="6" t="s">
        <v>15</v>
      </c>
      <c r="C6" s="5">
        <v>30000</v>
      </c>
      <c r="H6" s="8" t="s">
        <v>16</v>
      </c>
      <c r="I6" s="8"/>
    </row>
    <row r="7" spans="1:9">
      <c r="H7" s="7" t="s">
        <v>6</v>
      </c>
      <c r="I7" s="1" t="s">
        <v>7</v>
      </c>
    </row>
    <row r="8" spans="1:9">
      <c r="H8" t="s">
        <v>12</v>
      </c>
      <c r="I8" t="str">
        <f>VLOOKUP("P004",A2:C6,1,FALSE)</f>
        <v>P004</v>
      </c>
    </row>
    <row r="9" spans="1:9">
      <c r="I9" t="e">
        <f>VLOOKUP("P999",A2:C6,1,FALSE)</f>
        <v>#N/A</v>
      </c>
    </row>
    <row r="11" spans="1:9">
      <c r="H11" s="8" t="s">
        <v>17</v>
      </c>
      <c r="I11" s="8"/>
    </row>
    <row r="12" spans="1:9">
      <c r="H12" s="7" t="s">
        <v>6</v>
      </c>
      <c r="I12" s="1" t="s">
        <v>7</v>
      </c>
    </row>
    <row r="13" spans="1:9">
      <c r="H13" t="s">
        <v>12</v>
      </c>
      <c r="I13">
        <f>VLOOKUP("P004",A2:C6,3,FALSE)</f>
        <v>120000</v>
      </c>
    </row>
    <row r="15" spans="1:9">
      <c r="H15" s="8" t="s">
        <v>18</v>
      </c>
      <c r="I15" s="8"/>
    </row>
    <row r="16" spans="1:9">
      <c r="H16" s="7" t="s">
        <v>6</v>
      </c>
      <c r="I16" s="1" t="s">
        <v>7</v>
      </c>
    </row>
    <row r="17" spans="8:9">
      <c r="H17" t="str">
        <f>VLOOKUP("P001",A1:C6,1,FALSE)</f>
        <v>P001</v>
      </c>
      <c r="I17" t="e">
        <f>VLOOKUP("P004",A7:C11,1,FALSE)</f>
        <v>#N/A</v>
      </c>
    </row>
    <row r="18" spans="8:9">
      <c r="H18" t="str">
        <f t="shared" ref="H18:H21" si="0">VLOOKUP("P001",A2:C7,1,FALSE)</f>
        <v>P001</v>
      </c>
    </row>
    <row r="19" spans="8:9">
      <c r="H19" t="e">
        <f t="shared" si="0"/>
        <v>#N/A</v>
      </c>
    </row>
    <row r="20" spans="8:9">
      <c r="H20" t="e">
        <f t="shared" si="0"/>
        <v>#N/A</v>
      </c>
    </row>
    <row r="21" spans="8:9">
      <c r="H21" t="e">
        <f>VLOOKUP("P001",A5:C10,1,FALSE)</f>
        <v>#N/A</v>
      </c>
    </row>
  </sheetData>
  <mergeCells count="4">
    <mergeCell ref="H1:I1"/>
    <mergeCell ref="H6:I6"/>
    <mergeCell ref="H15:I15"/>
    <mergeCell ref="H11:I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EDB36-D033-4696-B272-678AC8E65943}">
  <dimension ref="A1:E51"/>
  <sheetViews>
    <sheetView workbookViewId="0">
      <selection activeCell="D30" sqref="D30"/>
    </sheetView>
  </sheetViews>
  <sheetFormatPr defaultRowHeight="15"/>
  <cols>
    <col min="1" max="1" width="11" bestFit="1" customWidth="1"/>
    <col min="2" max="2" width="23.140625" bestFit="1" customWidth="1"/>
    <col min="3" max="3" width="14.42578125" bestFit="1" customWidth="1"/>
    <col min="4" max="4" width="13.28515625" bestFit="1" customWidth="1"/>
    <col min="5" max="5" width="6.140625" bestFit="1" customWidth="1"/>
  </cols>
  <sheetData>
    <row r="1" spans="1:5">
      <c r="A1" s="9" t="s">
        <v>0</v>
      </c>
      <c r="B1" s="9" t="s">
        <v>1</v>
      </c>
      <c r="C1" s="9" t="s">
        <v>19</v>
      </c>
      <c r="D1" s="9" t="s">
        <v>2</v>
      </c>
      <c r="E1" s="9" t="s">
        <v>20</v>
      </c>
    </row>
    <row r="2" spans="1:5">
      <c r="A2" s="10" t="s">
        <v>4</v>
      </c>
      <c r="B2" s="10" t="s">
        <v>21</v>
      </c>
      <c r="C2" s="10" t="s">
        <v>22</v>
      </c>
      <c r="D2" s="10" t="s">
        <v>23</v>
      </c>
      <c r="E2" s="10">
        <v>229</v>
      </c>
    </row>
    <row r="3" spans="1:5">
      <c r="A3" s="10" t="s">
        <v>8</v>
      </c>
      <c r="B3" s="10" t="s">
        <v>24</v>
      </c>
      <c r="C3" s="10" t="s">
        <v>25</v>
      </c>
      <c r="D3" s="10" t="s">
        <v>26</v>
      </c>
      <c r="E3" s="10">
        <v>153</v>
      </c>
    </row>
    <row r="4" spans="1:5">
      <c r="A4" s="10" t="s">
        <v>10</v>
      </c>
      <c r="B4" s="10" t="s">
        <v>27</v>
      </c>
      <c r="C4" s="10" t="s">
        <v>28</v>
      </c>
      <c r="D4" s="10" t="s">
        <v>29</v>
      </c>
      <c r="E4" s="10">
        <v>296</v>
      </c>
    </row>
    <row r="5" spans="1:5">
      <c r="A5" s="10" t="s">
        <v>12</v>
      </c>
      <c r="B5" s="10" t="s">
        <v>30</v>
      </c>
      <c r="C5" s="10" t="s">
        <v>31</v>
      </c>
      <c r="D5" s="10" t="s">
        <v>32</v>
      </c>
      <c r="E5" s="10">
        <v>274</v>
      </c>
    </row>
    <row r="6" spans="1:5">
      <c r="A6" s="10" t="s">
        <v>14</v>
      </c>
      <c r="B6" s="10" t="s">
        <v>33</v>
      </c>
      <c r="C6" s="10" t="s">
        <v>34</v>
      </c>
      <c r="D6" s="10" t="s">
        <v>35</v>
      </c>
      <c r="E6" s="10">
        <v>73</v>
      </c>
    </row>
    <row r="7" spans="1:5">
      <c r="A7" s="10" t="s">
        <v>36</v>
      </c>
      <c r="B7" s="10" t="s">
        <v>37</v>
      </c>
      <c r="C7" s="10" t="s">
        <v>31</v>
      </c>
      <c r="D7" s="10" t="s">
        <v>38</v>
      </c>
      <c r="E7" s="10">
        <v>289</v>
      </c>
    </row>
    <row r="8" spans="1:5">
      <c r="A8" s="10" t="s">
        <v>39</v>
      </c>
      <c r="B8" s="10" t="s">
        <v>40</v>
      </c>
      <c r="C8" s="10" t="s">
        <v>31</v>
      </c>
      <c r="D8" s="10" t="s">
        <v>41</v>
      </c>
      <c r="E8" s="10">
        <v>23</v>
      </c>
    </row>
    <row r="9" spans="1:5">
      <c r="A9" s="10" t="s">
        <v>42</v>
      </c>
      <c r="B9" s="10" t="s">
        <v>43</v>
      </c>
      <c r="C9" s="10" t="s">
        <v>25</v>
      </c>
      <c r="D9" s="10" t="s">
        <v>44</v>
      </c>
      <c r="E9" s="10">
        <v>250</v>
      </c>
    </row>
    <row r="10" spans="1:5">
      <c r="A10" s="10" t="s">
        <v>45</v>
      </c>
      <c r="B10" s="10" t="s">
        <v>46</v>
      </c>
      <c r="C10" s="10" t="s">
        <v>28</v>
      </c>
      <c r="D10" s="10" t="s">
        <v>47</v>
      </c>
      <c r="E10" s="10">
        <v>35</v>
      </c>
    </row>
    <row r="11" spans="1:5">
      <c r="A11" s="10" t="s">
        <v>48</v>
      </c>
      <c r="B11" s="10" t="s">
        <v>49</v>
      </c>
      <c r="C11" s="10" t="s">
        <v>31</v>
      </c>
      <c r="D11" s="10" t="s">
        <v>50</v>
      </c>
      <c r="E11" s="10">
        <v>298</v>
      </c>
    </row>
    <row r="12" spans="1:5">
      <c r="A12" s="10" t="s">
        <v>51</v>
      </c>
      <c r="B12" s="10" t="s">
        <v>52</v>
      </c>
      <c r="C12" s="10" t="s">
        <v>25</v>
      </c>
      <c r="D12" s="10" t="s">
        <v>53</v>
      </c>
      <c r="E12" s="10">
        <v>39</v>
      </c>
    </row>
    <row r="13" spans="1:5">
      <c r="A13" s="10" t="s">
        <v>54</v>
      </c>
      <c r="B13" s="10" t="s">
        <v>55</v>
      </c>
      <c r="C13" s="10" t="s">
        <v>31</v>
      </c>
      <c r="D13" s="10" t="s">
        <v>56</v>
      </c>
      <c r="E13" s="10">
        <v>35</v>
      </c>
    </row>
    <row r="14" spans="1:5">
      <c r="A14" s="10" t="s">
        <v>57</v>
      </c>
      <c r="B14" s="10" t="s">
        <v>58</v>
      </c>
      <c r="C14" s="10" t="s">
        <v>25</v>
      </c>
      <c r="D14" s="10" t="s">
        <v>59</v>
      </c>
      <c r="E14" s="10">
        <v>175</v>
      </c>
    </row>
    <row r="15" spans="1:5">
      <c r="A15" s="10" t="s">
        <v>60</v>
      </c>
      <c r="B15" s="10" t="s">
        <v>61</v>
      </c>
      <c r="C15" s="10" t="s">
        <v>31</v>
      </c>
      <c r="D15" s="10" t="s">
        <v>62</v>
      </c>
      <c r="E15" s="10">
        <v>282</v>
      </c>
    </row>
    <row r="16" spans="1:5">
      <c r="A16" s="10" t="s">
        <v>63</v>
      </c>
      <c r="B16" s="10" t="s">
        <v>64</v>
      </c>
      <c r="C16" s="10" t="s">
        <v>25</v>
      </c>
      <c r="D16" s="10" t="s">
        <v>65</v>
      </c>
      <c r="E16" s="10">
        <v>175</v>
      </c>
    </row>
    <row r="17" spans="1:5">
      <c r="A17" s="10" t="s">
        <v>66</v>
      </c>
      <c r="B17" s="10" t="s">
        <v>67</v>
      </c>
      <c r="C17" s="10" t="s">
        <v>25</v>
      </c>
      <c r="D17" s="10" t="s">
        <v>68</v>
      </c>
      <c r="E17" s="10">
        <v>127</v>
      </c>
    </row>
    <row r="18" spans="1:5">
      <c r="A18" s="10" t="s">
        <v>69</v>
      </c>
      <c r="B18" s="10" t="s">
        <v>70</v>
      </c>
      <c r="C18" s="10" t="s">
        <v>22</v>
      </c>
      <c r="D18" s="10" t="s">
        <v>71</v>
      </c>
      <c r="E18" s="10">
        <v>111</v>
      </c>
    </row>
    <row r="19" spans="1:5">
      <c r="A19" s="10" t="s">
        <v>72</v>
      </c>
      <c r="B19" s="10" t="s">
        <v>73</v>
      </c>
      <c r="C19" s="10" t="s">
        <v>25</v>
      </c>
      <c r="D19" s="10" t="s">
        <v>74</v>
      </c>
      <c r="E19" s="10">
        <v>147</v>
      </c>
    </row>
    <row r="20" spans="1:5">
      <c r="A20" s="10" t="s">
        <v>75</v>
      </c>
      <c r="B20" s="10" t="s">
        <v>76</v>
      </c>
      <c r="C20" s="10" t="s">
        <v>31</v>
      </c>
      <c r="D20" s="10" t="s">
        <v>77</v>
      </c>
      <c r="E20" s="10">
        <v>25</v>
      </c>
    </row>
    <row r="21" spans="1:5">
      <c r="A21" s="10" t="s">
        <v>78</v>
      </c>
      <c r="B21" s="10" t="s">
        <v>79</v>
      </c>
      <c r="C21" s="10" t="s">
        <v>22</v>
      </c>
      <c r="D21" s="10" t="s">
        <v>80</v>
      </c>
      <c r="E21" s="10">
        <v>142</v>
      </c>
    </row>
    <row r="22" spans="1:5">
      <c r="A22" s="10" t="s">
        <v>81</v>
      </c>
      <c r="B22" s="10" t="s">
        <v>82</v>
      </c>
      <c r="C22" s="10" t="s">
        <v>28</v>
      </c>
      <c r="D22" s="10" t="s">
        <v>83</v>
      </c>
      <c r="E22" s="10">
        <v>33</v>
      </c>
    </row>
    <row r="23" spans="1:5">
      <c r="A23" s="10" t="s">
        <v>84</v>
      </c>
      <c r="B23" s="10" t="s">
        <v>85</v>
      </c>
      <c r="C23" s="10" t="s">
        <v>31</v>
      </c>
      <c r="D23" s="10" t="s">
        <v>86</v>
      </c>
      <c r="E23" s="10">
        <v>24</v>
      </c>
    </row>
    <row r="24" spans="1:5">
      <c r="A24" s="10" t="s">
        <v>87</v>
      </c>
      <c r="B24" s="10" t="s">
        <v>88</v>
      </c>
      <c r="C24" s="10" t="s">
        <v>34</v>
      </c>
      <c r="D24" s="10" t="s">
        <v>89</v>
      </c>
      <c r="E24" s="10">
        <v>105</v>
      </c>
    </row>
    <row r="25" spans="1:5">
      <c r="A25" s="10" t="s">
        <v>90</v>
      </c>
      <c r="B25" s="10" t="s">
        <v>91</v>
      </c>
      <c r="C25" s="10" t="s">
        <v>34</v>
      </c>
      <c r="D25" s="10" t="s">
        <v>92</v>
      </c>
      <c r="E25" s="10">
        <v>32</v>
      </c>
    </row>
    <row r="26" spans="1:5">
      <c r="A26" s="10" t="s">
        <v>93</v>
      </c>
      <c r="B26" s="10" t="s">
        <v>94</v>
      </c>
      <c r="C26" s="10" t="s">
        <v>25</v>
      </c>
      <c r="D26" s="10" t="s">
        <v>95</v>
      </c>
      <c r="E26" s="10">
        <v>37</v>
      </c>
    </row>
    <row r="27" spans="1:5">
      <c r="A27" s="10" t="s">
        <v>96</v>
      </c>
      <c r="B27" s="10" t="s">
        <v>97</v>
      </c>
      <c r="C27" s="10" t="s">
        <v>28</v>
      </c>
      <c r="D27" s="10" t="s">
        <v>98</v>
      </c>
      <c r="E27" s="10">
        <v>160</v>
      </c>
    </row>
    <row r="28" spans="1:5">
      <c r="A28" s="10" t="s">
        <v>99</v>
      </c>
      <c r="B28" s="10" t="s">
        <v>100</v>
      </c>
      <c r="C28" s="10" t="s">
        <v>22</v>
      </c>
      <c r="D28" s="10" t="s">
        <v>101</v>
      </c>
      <c r="E28" s="10">
        <v>203</v>
      </c>
    </row>
    <row r="29" spans="1:5">
      <c r="A29" s="10" t="s">
        <v>102</v>
      </c>
      <c r="B29" s="10" t="s">
        <v>103</v>
      </c>
      <c r="C29" s="10" t="s">
        <v>31</v>
      </c>
      <c r="D29" s="10" t="s">
        <v>104</v>
      </c>
      <c r="E29" s="10">
        <v>259</v>
      </c>
    </row>
    <row r="30" spans="1:5">
      <c r="A30" s="10" t="s">
        <v>105</v>
      </c>
      <c r="B30" s="10" t="s">
        <v>106</v>
      </c>
      <c r="C30" s="10" t="s">
        <v>31</v>
      </c>
      <c r="D30" s="10" t="s">
        <v>107</v>
      </c>
      <c r="E30" s="10">
        <v>298</v>
      </c>
    </row>
    <row r="31" spans="1:5">
      <c r="A31" s="10" t="s">
        <v>108</v>
      </c>
      <c r="B31" s="10" t="s">
        <v>109</v>
      </c>
      <c r="C31" s="10" t="s">
        <v>22</v>
      </c>
      <c r="D31" s="10" t="s">
        <v>110</v>
      </c>
      <c r="E31" s="10">
        <v>220</v>
      </c>
    </row>
    <row r="32" spans="1:5">
      <c r="A32" s="10" t="s">
        <v>111</v>
      </c>
      <c r="B32" s="10" t="s">
        <v>112</v>
      </c>
      <c r="C32" s="10" t="s">
        <v>34</v>
      </c>
      <c r="D32" s="10" t="s">
        <v>113</v>
      </c>
      <c r="E32" s="10">
        <v>190</v>
      </c>
    </row>
    <row r="33" spans="1:5">
      <c r="A33" s="10" t="s">
        <v>114</v>
      </c>
      <c r="B33" s="10" t="s">
        <v>115</v>
      </c>
      <c r="C33" s="10" t="s">
        <v>34</v>
      </c>
      <c r="D33" s="10" t="s">
        <v>116</v>
      </c>
      <c r="E33" s="10">
        <v>160</v>
      </c>
    </row>
    <row r="34" spans="1:5">
      <c r="A34" s="10" t="s">
        <v>117</v>
      </c>
      <c r="B34" s="10" t="s">
        <v>118</v>
      </c>
      <c r="C34" s="10" t="s">
        <v>22</v>
      </c>
      <c r="D34" s="10" t="s">
        <v>119</v>
      </c>
      <c r="E34" s="10">
        <v>254</v>
      </c>
    </row>
    <row r="35" spans="1:5">
      <c r="A35" s="10" t="s">
        <v>120</v>
      </c>
      <c r="B35" s="10" t="s">
        <v>121</v>
      </c>
      <c r="C35" s="10" t="s">
        <v>22</v>
      </c>
      <c r="D35" s="10" t="s">
        <v>122</v>
      </c>
      <c r="E35" s="10">
        <v>66</v>
      </c>
    </row>
    <row r="36" spans="1:5">
      <c r="A36" s="10" t="s">
        <v>123</v>
      </c>
      <c r="B36" s="10" t="s">
        <v>124</v>
      </c>
      <c r="C36" s="10" t="s">
        <v>28</v>
      </c>
      <c r="D36" s="10" t="s">
        <v>125</v>
      </c>
      <c r="E36" s="10">
        <v>138</v>
      </c>
    </row>
    <row r="37" spans="1:5">
      <c r="A37" s="10" t="s">
        <v>126</v>
      </c>
      <c r="B37" s="10" t="s">
        <v>127</v>
      </c>
      <c r="C37" s="10" t="s">
        <v>34</v>
      </c>
      <c r="D37" s="10" t="s">
        <v>128</v>
      </c>
      <c r="E37" s="10">
        <v>292</v>
      </c>
    </row>
    <row r="38" spans="1:5">
      <c r="A38" s="10" t="s">
        <v>129</v>
      </c>
      <c r="B38" s="10" t="s">
        <v>130</v>
      </c>
      <c r="C38" s="10" t="s">
        <v>34</v>
      </c>
      <c r="D38" s="10" t="s">
        <v>131</v>
      </c>
      <c r="E38" s="10">
        <v>292</v>
      </c>
    </row>
    <row r="39" spans="1:5">
      <c r="A39" s="10" t="s">
        <v>132</v>
      </c>
      <c r="B39" s="10" t="s">
        <v>133</v>
      </c>
      <c r="C39" s="10" t="s">
        <v>28</v>
      </c>
      <c r="D39" s="10" t="s">
        <v>134</v>
      </c>
      <c r="E39" s="10">
        <v>197</v>
      </c>
    </row>
    <row r="40" spans="1:5">
      <c r="A40" s="10" t="s">
        <v>135</v>
      </c>
      <c r="B40" s="10" t="s">
        <v>136</v>
      </c>
      <c r="C40" s="10" t="s">
        <v>28</v>
      </c>
      <c r="D40" s="10" t="s">
        <v>137</v>
      </c>
      <c r="E40" s="10">
        <v>179</v>
      </c>
    </row>
    <row r="41" spans="1:5">
      <c r="A41" s="10" t="s">
        <v>138</v>
      </c>
      <c r="B41" s="10" t="s">
        <v>139</v>
      </c>
      <c r="C41" s="10" t="s">
        <v>25</v>
      </c>
      <c r="D41" s="10" t="s">
        <v>140</v>
      </c>
      <c r="E41" s="10">
        <v>214</v>
      </c>
    </row>
    <row r="42" spans="1:5">
      <c r="A42" s="10" t="s">
        <v>141</v>
      </c>
      <c r="B42" s="10" t="s">
        <v>142</v>
      </c>
      <c r="C42" s="10" t="s">
        <v>31</v>
      </c>
      <c r="D42" s="10" t="s">
        <v>143</v>
      </c>
      <c r="E42" s="10">
        <v>77</v>
      </c>
    </row>
    <row r="43" spans="1:5">
      <c r="A43" s="10" t="s">
        <v>144</v>
      </c>
      <c r="B43" s="10" t="s">
        <v>145</v>
      </c>
      <c r="C43" s="10" t="s">
        <v>28</v>
      </c>
      <c r="D43" s="10" t="s">
        <v>146</v>
      </c>
      <c r="E43" s="10">
        <v>158</v>
      </c>
    </row>
    <row r="44" spans="1:5">
      <c r="A44" s="10" t="s">
        <v>147</v>
      </c>
      <c r="B44" s="10" t="s">
        <v>148</v>
      </c>
      <c r="C44" s="10" t="s">
        <v>22</v>
      </c>
      <c r="D44" s="10" t="s">
        <v>149</v>
      </c>
      <c r="E44" s="10">
        <v>59</v>
      </c>
    </row>
    <row r="45" spans="1:5">
      <c r="A45" s="10" t="s">
        <v>150</v>
      </c>
      <c r="B45" s="10" t="s">
        <v>151</v>
      </c>
      <c r="C45" s="10" t="s">
        <v>22</v>
      </c>
      <c r="D45" s="10" t="s">
        <v>152</v>
      </c>
      <c r="E45" s="10">
        <v>236</v>
      </c>
    </row>
    <row r="46" spans="1:5">
      <c r="A46" s="10" t="s">
        <v>153</v>
      </c>
      <c r="B46" s="10" t="s">
        <v>154</v>
      </c>
      <c r="C46" s="10" t="s">
        <v>31</v>
      </c>
      <c r="D46" s="10" t="s">
        <v>155</v>
      </c>
      <c r="E46" s="10">
        <v>295</v>
      </c>
    </row>
    <row r="47" spans="1:5">
      <c r="A47" s="10" t="s">
        <v>156</v>
      </c>
      <c r="B47" s="10" t="s">
        <v>157</v>
      </c>
      <c r="C47" s="10" t="s">
        <v>31</v>
      </c>
      <c r="D47" s="10" t="s">
        <v>158</v>
      </c>
      <c r="E47" s="10">
        <v>44</v>
      </c>
    </row>
    <row r="48" spans="1:5">
      <c r="A48" s="10" t="s">
        <v>159</v>
      </c>
      <c r="B48" s="10" t="s">
        <v>160</v>
      </c>
      <c r="C48" s="10" t="s">
        <v>31</v>
      </c>
      <c r="D48" s="10" t="s">
        <v>161</v>
      </c>
      <c r="E48" s="10">
        <v>114</v>
      </c>
    </row>
    <row r="49" spans="1:5">
      <c r="A49" s="10" t="s">
        <v>162</v>
      </c>
      <c r="B49" s="10" t="s">
        <v>163</v>
      </c>
      <c r="C49" s="10" t="s">
        <v>31</v>
      </c>
      <c r="D49" s="10" t="s">
        <v>164</v>
      </c>
      <c r="E49" s="10">
        <v>68</v>
      </c>
    </row>
    <row r="50" spans="1:5">
      <c r="A50" s="10" t="s">
        <v>165</v>
      </c>
      <c r="B50" s="10" t="s">
        <v>166</v>
      </c>
      <c r="C50" s="10" t="s">
        <v>34</v>
      </c>
      <c r="D50" s="10" t="s">
        <v>167</v>
      </c>
      <c r="E50" s="10">
        <v>232</v>
      </c>
    </row>
    <row r="51" spans="1:5">
      <c r="A51" s="10" t="s">
        <v>168</v>
      </c>
      <c r="B51" s="10" t="s">
        <v>169</v>
      </c>
      <c r="C51" s="10" t="s">
        <v>28</v>
      </c>
      <c r="D51" s="10" t="s">
        <v>170</v>
      </c>
      <c r="E51" s="10">
        <v>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555F6-695E-43C1-979F-BD97819B50E8}">
  <dimension ref="A1:F6"/>
  <sheetViews>
    <sheetView tabSelected="1" workbookViewId="0">
      <selection activeCell="A3" sqref="A3"/>
    </sheetView>
  </sheetViews>
  <sheetFormatPr defaultRowHeight="15"/>
  <cols>
    <col min="1" max="1" width="10.85546875" bestFit="1" customWidth="1"/>
    <col min="2" max="2" width="12.140625" bestFit="1" customWidth="1"/>
    <col min="5" max="5" width="15.42578125" bestFit="1" customWidth="1"/>
    <col min="6" max="6" width="22.42578125" bestFit="1" customWidth="1"/>
  </cols>
  <sheetData>
    <row r="1" spans="1:6" s="2" customFormat="1">
      <c r="A1" s="2" t="s">
        <v>0</v>
      </c>
      <c r="B1" s="2" t="s">
        <v>171</v>
      </c>
      <c r="E1" s="11" t="s">
        <v>172</v>
      </c>
      <c r="F1" s="11" t="s">
        <v>7</v>
      </c>
    </row>
    <row r="2" spans="1:6">
      <c r="A2" t="s">
        <v>63</v>
      </c>
      <c r="B2" t="s">
        <v>10</v>
      </c>
      <c r="E2" s="5" t="s">
        <v>1</v>
      </c>
      <c r="F2" s="5" t="str">
        <f>VLOOKUP($A$2,'Mini-projet-Catalogue'!$A$2:$E$51,2,FALSE)</f>
        <v>Pates alimentaires 500g</v>
      </c>
    </row>
    <row r="3" spans="1:6">
      <c r="B3" t="s">
        <v>63</v>
      </c>
      <c r="E3" s="5" t="s">
        <v>173</v>
      </c>
      <c r="F3" s="5" t="str">
        <f>VLOOKUP($A$2,'Mini-projet-Catalogue'!$A$2:$E$51,3,FALSE)</f>
        <v>Alimentation</v>
      </c>
    </row>
    <row r="4" spans="1:6">
      <c r="B4" t="s">
        <v>99</v>
      </c>
      <c r="E4" s="5" t="s">
        <v>2</v>
      </c>
      <c r="F4" s="5" t="str">
        <f>VLOOKUP($A$2,'Mini-projet-Catalogue'!$A$2:$E$51,4,FALSE)</f>
        <v>42 076 FCFA</v>
      </c>
    </row>
    <row r="5" spans="1:6">
      <c r="B5" t="s">
        <v>144</v>
      </c>
      <c r="E5" s="5" t="s">
        <v>174</v>
      </c>
      <c r="F5" s="5">
        <f>VLOOKUP($A$2,'Mini-projet-Catalogue'!$A$2:$E$51,5,FALSE)</f>
        <v>175</v>
      </c>
    </row>
    <row r="6" spans="1:6">
      <c r="B6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2026-09-12T15:46:35Z</dcterms:created>
  <dcterms:modified xsi:type="dcterms:W3CDTF">2026-09-12T18:13:01Z</dcterms:modified>
  <cp:category/>
  <cp:contentStatus/>
</cp:coreProperties>
</file>