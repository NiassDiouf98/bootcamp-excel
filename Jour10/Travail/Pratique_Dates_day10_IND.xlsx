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02"/>
  <workbookPr defaultThemeVersion="166925"/>
  <xr:revisionPtr revIDLastSave="0" documentId="8_{C261EA31-AF2D-444E-85B7-C6E4E96EF45F}" xr6:coauthVersionLast="47" xr6:coauthVersionMax="47" xr10:uidLastSave="{00000000-0000-0000-0000-000000000000}"/>
  <bookViews>
    <workbookView xWindow="240" yWindow="105" windowWidth="14805" windowHeight="8010" activeTab="1" xr2:uid="{00000000-000D-0000-FFFF-FFFF00000000}"/>
  </bookViews>
  <sheets>
    <sheet name="Pratique_Dates" sheetId="1" r:id="rId1"/>
    <sheet name="Mini-projet - Cong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4" i="2" l="1" a="1"/>
  <c r="K4" i="2"/>
  <c r="K5" i="2" a="1"/>
  <c r="K5" i="2"/>
  <c r="K6" i="2" a="1"/>
  <c r="K6" i="2"/>
  <c r="K7" i="2" a="1"/>
  <c r="K7" i="2"/>
  <c r="K8" i="2" a="1"/>
  <c r="K8" i="2"/>
  <c r="K9" i="2" a="1"/>
  <c r="K9" i="2"/>
  <c r="K10" i="2" a="1"/>
  <c r="K10" i="2"/>
  <c r="K11" i="2" a="1"/>
  <c r="K11" i="2"/>
  <c r="K12" i="2" a="1"/>
  <c r="K12" i="2"/>
  <c r="K13" i="2" a="1"/>
  <c r="K13" i="2"/>
  <c r="K14" i="2" a="1"/>
  <c r="K14" i="2"/>
  <c r="K15" i="2" a="1"/>
  <c r="K15" i="2"/>
  <c r="K16" i="2" a="1"/>
  <c r="K16" i="2"/>
  <c r="K17" i="2" a="1"/>
  <c r="K17" i="2"/>
  <c r="K18" i="2" a="1"/>
  <c r="K18" i="2"/>
  <c r="K19" i="2" a="1"/>
  <c r="K19" i="2"/>
  <c r="K20" i="2" a="1"/>
  <c r="K20" i="2"/>
  <c r="K21" i="2" a="1"/>
  <c r="K21" i="2"/>
  <c r="K22" i="2" a="1"/>
  <c r="K22" i="2"/>
  <c r="K3" i="2" a="1"/>
  <c r="K3" i="2"/>
  <c r="H1" i="2"/>
  <c r="C1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3" i="2"/>
  <c r="F9" i="2"/>
  <c r="F4" i="2"/>
  <c r="F5" i="2"/>
  <c r="F6" i="2"/>
  <c r="F7" i="2"/>
  <c r="F8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3" i="2"/>
  <c r="B10" i="1"/>
  <c r="A24" i="1"/>
  <c r="A23" i="1"/>
  <c r="A21" i="1"/>
  <c r="B12" i="1"/>
  <c r="B11" i="1"/>
  <c r="D10" i="1"/>
  <c r="B4" i="1"/>
  <c r="A4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<sst xmlns="http://schemas.openxmlformats.org/spreadsheetml/2006/main" count="62" uniqueCount="62">
  <si>
    <t>Exercice 1 - Date actuelle</t>
  </si>
  <si>
    <t>Date d'aujourdhui</t>
  </si>
  <si>
    <t>Date maintenant</t>
  </si>
  <si>
    <t>Exercice 2 - Extraire une date</t>
  </si>
  <si>
    <t>Exercice 3 - Calculer une durée</t>
  </si>
  <si>
    <t>Date debut</t>
  </si>
  <si>
    <t>Date fin</t>
  </si>
  <si>
    <t>nombre de jours entre les deux dates</t>
  </si>
  <si>
    <t>Date du jour :</t>
  </si>
  <si>
    <t>Derniere_mise_a_jour avec :</t>
  </si>
  <si>
    <t>Challenge</t>
  </si>
  <si>
    <t>ID</t>
  </si>
  <si>
    <t>Nom</t>
  </si>
  <si>
    <t>Date_embauche</t>
  </si>
  <si>
    <t>Debut_conge</t>
  </si>
  <si>
    <t>Fin_conge</t>
  </si>
  <si>
    <t>Duree_conge</t>
  </si>
  <si>
    <t>Annee_conge</t>
  </si>
  <si>
    <t>Mois_conge</t>
  </si>
  <si>
    <t>Jour_conge</t>
  </si>
  <si>
    <t>Anciennete</t>
  </si>
  <si>
    <t>Statut</t>
  </si>
  <si>
    <t>EMP001</t>
  </si>
  <si>
    <t>Awa Diop</t>
  </si>
  <si>
    <t>EMP002</t>
  </si>
  <si>
    <t>Moussa Ndiaye</t>
  </si>
  <si>
    <t>EMP003</t>
  </si>
  <si>
    <t>Fatou Fall</t>
  </si>
  <si>
    <t>EMP004</t>
  </si>
  <si>
    <t>Ibrahima Sow</t>
  </si>
  <si>
    <t>EMP005</t>
  </si>
  <si>
    <t>Aissatou Ba</t>
  </si>
  <si>
    <t>EMP006</t>
  </si>
  <si>
    <t>Cheikh Diallo</t>
  </si>
  <si>
    <t>EMP007</t>
  </si>
  <si>
    <t>Mariama Gueye</t>
  </si>
  <si>
    <t>EMP008</t>
  </si>
  <si>
    <t>Ousmane Sy</t>
  </si>
  <si>
    <t>EMP009</t>
  </si>
  <si>
    <t>Khady Cisse</t>
  </si>
  <si>
    <t>EMP010</t>
  </si>
  <si>
    <t>Mamadou Toure</t>
  </si>
  <si>
    <t>EMP011</t>
  </si>
  <si>
    <t>Bineta Sarr</t>
  </si>
  <si>
    <t>EMP012</t>
  </si>
  <si>
    <t>Alioune Mbaye</t>
  </si>
  <si>
    <t>EMP013</t>
  </si>
  <si>
    <t>Ndeye Diouf</t>
  </si>
  <si>
    <t>EMP014</t>
  </si>
  <si>
    <t>Souleymane Kane</t>
  </si>
  <si>
    <t>EMP015</t>
  </si>
  <si>
    <t>Rokhaya Faye</t>
  </si>
  <si>
    <t>EMP016</t>
  </si>
  <si>
    <t>Abdoulaye Thiam</t>
  </si>
  <si>
    <t>EMP017</t>
  </si>
  <si>
    <t>Coumba Sene</t>
  </si>
  <si>
    <t>EMP018</t>
  </si>
  <si>
    <t>Serigne Ndoye</t>
  </si>
  <si>
    <t>EMP019</t>
  </si>
  <si>
    <t>Aminata Camara</t>
  </si>
  <si>
    <t>EMP020</t>
  </si>
  <si>
    <t>Pape Diagne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</si>
</sst>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FFFF"/>
      <name val="Arial"/>
      <charset val="1"/>
    </font>
    <font>
      <sz val="10"/>
      <color theme="1"/>
      <name val="Arial"/>
      <charset val="1"/>
    </font>
    <font>
      <sz val="12"/>
      <color rgb="FF000000"/>
      <name val="Arial"/>
      <family val="2"/>
      <charset val="1"/>
    </font>
    <font>
      <sz val="12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14" fontId="0" fillId="0" borderId="0" xfId="0" applyNumberFormat="1"/>
    <xf numFmtId="0" fontId="1" fillId="0" borderId="0" xfId="0" applyFont="1"/>
    <xf numFmtId="14" fontId="0" fillId="0" borderId="1" xfId="0" applyNumberFormat="1" applyBorder="1"/>
    <xf numFmtId="0" fontId="0" fillId="0" borderId="1" xfId="0" applyBorder="1"/>
    <xf numFmtId="22" fontId="0" fillId="0" borderId="1" xfId="0" applyNumberFormat="1" applyBorder="1"/>
    <xf numFmtId="0" fontId="0" fillId="0" borderId="0" xfId="0" applyBorder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4" fontId="3" fillId="0" borderId="1" xfId="0" applyNumberFormat="1" applyFont="1" applyBorder="1"/>
    <xf numFmtId="0" fontId="4" fillId="0" borderId="2" xfId="0" applyFont="1" applyBorder="1" applyAlignment="1">
      <alignment horizontal="center"/>
    </xf>
    <xf numFmtId="0" fontId="5" fillId="0" borderId="0" xfId="0" applyFont="1"/>
    <xf numFmtId="22" fontId="0" fillId="0" borderId="2" xfId="0" applyNumberFormat="1" applyBorder="1" applyAlignment="1">
      <alignment horizont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"/>
  <sheetViews>
    <sheetView workbookViewId="0">
      <selection activeCell="C23" sqref="C23"/>
    </sheetView>
  </sheetViews>
  <sheetFormatPr defaultRowHeight="15"/>
  <cols>
    <col min="1" max="1" width="17" bestFit="1" customWidth="1"/>
    <col min="2" max="2" width="23.28515625" bestFit="1" customWidth="1"/>
  </cols>
  <sheetData>
    <row r="1" spans="1:4" s="2" customFormat="1">
      <c r="A1" s="7" t="s">
        <v>0</v>
      </c>
      <c r="B1" s="7"/>
    </row>
    <row r="3" spans="1:4">
      <c r="A3" s="3" t="s">
        <v>1</v>
      </c>
      <c r="B3" s="4" t="s">
        <v>2</v>
      </c>
    </row>
    <row r="4" spans="1:4">
      <c r="A4" s="3">
        <f ca="1">TODAY()</f>
        <v>46277</v>
      </c>
      <c r="B4" s="5">
        <f ca="1">NOW()</f>
        <v>46277.612338657411</v>
      </c>
    </row>
    <row r="8" spans="1:4">
      <c r="A8" s="7" t="s">
        <v>3</v>
      </c>
      <c r="B8" s="7"/>
    </row>
    <row r="10" spans="1:4" s="6" customFormat="1">
      <c r="A10" s="1">
        <v>46249</v>
      </c>
      <c r="B10" s="1">
        <f>YEAR(A10)</f>
        <v>2026</v>
      </c>
      <c r="D10" s="6" t="b">
        <f>ISNUMBER(A10)</f>
        <v>1</v>
      </c>
    </row>
    <row r="11" spans="1:4">
      <c r="B11">
        <f>MONTH(A10)</f>
        <v>8</v>
      </c>
    </row>
    <row r="12" spans="1:4">
      <c r="B12">
        <f>DAY(A10)</f>
        <v>15</v>
      </c>
    </row>
    <row r="15" spans="1:4">
      <c r="A15" s="7" t="s">
        <v>4</v>
      </c>
      <c r="B15" s="7"/>
    </row>
    <row r="17" spans="1:2">
      <c r="A17" s="3" t="s">
        <v>5</v>
      </c>
      <c r="B17" s="4" t="s">
        <v>6</v>
      </c>
    </row>
    <row r="18" spans="1:2">
      <c r="A18" s="3">
        <v>46235</v>
      </c>
      <c r="B18" s="3">
        <v>46249</v>
      </c>
    </row>
    <row r="20" spans="1:2">
      <c r="A20" s="8" t="s">
        <v>7</v>
      </c>
      <c r="B20" s="8"/>
    </row>
    <row r="21" spans="1:2">
      <c r="A21">
        <f>DATEDIF(A18,B18,"d")</f>
        <v>14</v>
      </c>
    </row>
    <row r="23" spans="1:2">
      <c r="A23">
        <f>DATEDIF(A18,B18,"m")</f>
        <v>0</v>
      </c>
    </row>
    <row r="24" spans="1:2">
      <c r="A24">
        <f>DATEDIF(A18,B18,"y")</f>
        <v>0</v>
      </c>
    </row>
  </sheetData>
  <mergeCells count="4">
    <mergeCell ref="A1:B1"/>
    <mergeCell ref="A8:B8"/>
    <mergeCell ref="A15:B15"/>
    <mergeCell ref="A20:B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961EC-055F-4596-8C48-25589D343088}">
  <dimension ref="A1:L22"/>
  <sheetViews>
    <sheetView tabSelected="1" topLeftCell="H1" workbookViewId="0">
      <selection activeCell="K1" sqref="K1:K1048576"/>
    </sheetView>
  </sheetViews>
  <sheetFormatPr defaultRowHeight="15"/>
  <cols>
    <col min="1" max="1" width="8.28515625" bestFit="1" customWidth="1"/>
    <col min="2" max="2" width="16.42578125" bestFit="1" customWidth="1"/>
    <col min="3" max="3" width="15.5703125" bestFit="1" customWidth="1"/>
    <col min="4" max="4" width="12.85546875" bestFit="1" customWidth="1"/>
    <col min="5" max="5" width="10.42578125" bestFit="1" customWidth="1"/>
    <col min="6" max="6" width="12.85546875" bestFit="1" customWidth="1"/>
    <col min="7" max="7" width="13.42578125" bestFit="1" customWidth="1"/>
    <col min="8" max="8" width="13.7109375" bestFit="1" customWidth="1"/>
    <col min="9" max="9" width="11.7109375" bestFit="1" customWidth="1"/>
    <col min="10" max="10" width="11.140625" bestFit="1" customWidth="1"/>
  </cols>
  <sheetData>
    <row r="1" spans="1:12" ht="15.75">
      <c r="B1" s="13" t="s">
        <v>8</v>
      </c>
      <c r="C1" s="1">
        <f ca="1">TODAY()</f>
        <v>46277</v>
      </c>
      <c r="E1" s="12" t="s">
        <v>9</v>
      </c>
      <c r="F1" s="12"/>
      <c r="G1" s="12"/>
      <c r="H1" s="14">
        <f ca="1">NOW()</f>
        <v>46277.612338657411</v>
      </c>
      <c r="I1" s="14"/>
      <c r="K1" s="8" t="s">
        <v>10</v>
      </c>
      <c r="L1" s="8"/>
    </row>
    <row r="2" spans="1:12">
      <c r="A2" s="9" t="s">
        <v>11</v>
      </c>
      <c r="B2" s="9" t="s">
        <v>12</v>
      </c>
      <c r="C2" s="9" t="s">
        <v>13</v>
      </c>
      <c r="D2" s="9" t="s">
        <v>14</v>
      </c>
      <c r="E2" s="9" t="s">
        <v>15</v>
      </c>
      <c r="F2" s="9" t="s">
        <v>16</v>
      </c>
      <c r="G2" s="9" t="s">
        <v>17</v>
      </c>
      <c r="H2" s="9" t="s">
        <v>18</v>
      </c>
      <c r="I2" s="9" t="s">
        <v>19</v>
      </c>
      <c r="J2" s="9" t="s">
        <v>20</v>
      </c>
      <c r="K2" s="9" t="s">
        <v>21</v>
      </c>
    </row>
    <row r="3" spans="1:12">
      <c r="A3" s="10" t="s">
        <v>22</v>
      </c>
      <c r="B3" s="10" t="s">
        <v>23</v>
      </c>
      <c r="C3" s="11">
        <v>44790</v>
      </c>
      <c r="D3" s="11">
        <v>44871</v>
      </c>
      <c r="E3" s="11">
        <v>44882</v>
      </c>
      <c r="F3" s="4">
        <f>DATEDIF(D3,E3,"d")</f>
        <v>11</v>
      </c>
      <c r="G3" s="4">
        <f>YEAR(D3)</f>
        <v>2022</v>
      </c>
      <c r="H3" s="4">
        <f>MONTH(D3)</f>
        <v>11</v>
      </c>
      <c r="I3" s="4">
        <f>DAY(D3)</f>
        <v>6</v>
      </c>
      <c r="J3" s="4">
        <f ca="1">DATEDIF(C3,TODAY(),"y")</f>
        <v>4</v>
      </c>
      <c r="K3" t="str" cm="1">
        <f t="array" aca="1" ref="K3" ca="1">_xlfn.IFS(TODAY()&lt;D3,"A venir",AND(TODAY()&gt;=D3,TODAY()&lt;=E3),"En cours",TODAY()&gt;E3,"Termine")</f>
        <v>Termine</v>
      </c>
    </row>
    <row r="4" spans="1:12">
      <c r="A4" s="10" t="s">
        <v>24</v>
      </c>
      <c r="B4" s="10" t="s">
        <v>25</v>
      </c>
      <c r="C4" s="11">
        <v>45063</v>
      </c>
      <c r="D4" s="11">
        <v>45550</v>
      </c>
      <c r="E4" s="11">
        <v>45557</v>
      </c>
      <c r="F4" s="4">
        <f>DATEDIF(D4,E4,"d")</f>
        <v>7</v>
      </c>
      <c r="G4" s="4">
        <f>YEAR(D4)</f>
        <v>2024</v>
      </c>
      <c r="H4" s="4">
        <f>MONTH(D4)</f>
        <v>9</v>
      </c>
      <c r="I4" s="4">
        <f>DAY(D4)</f>
        <v>15</v>
      </c>
      <c r="J4" s="4">
        <f t="shared" ref="J4:J22" ca="1" si="0">DATEDIF(C4,TODAY(),"y")</f>
        <v>3</v>
      </c>
      <c r="K4" t="str" cm="1">
        <f t="array" aca="1" ref="K4" ca="1">_xlfn.IFS(TODAY()&lt;D4,"A venir",AND(TODAY()&gt;=D4,TODAY()&lt;=E4),"En cours",TODAY()&gt;E4,"Termine")</f>
        <v>Termine</v>
      </c>
    </row>
    <row r="5" spans="1:12">
      <c r="A5" s="10" t="s">
        <v>26</v>
      </c>
      <c r="B5" s="10" t="s">
        <v>27</v>
      </c>
      <c r="C5" s="11">
        <v>44771</v>
      </c>
      <c r="D5" s="11">
        <v>46186</v>
      </c>
      <c r="E5" s="11">
        <v>46206</v>
      </c>
      <c r="F5" s="4">
        <f>DATEDIF(D5,E5,"d")</f>
        <v>20</v>
      </c>
      <c r="G5" s="4">
        <f>YEAR(D5)</f>
        <v>2026</v>
      </c>
      <c r="H5" s="4">
        <f>MONTH(D5)</f>
        <v>6</v>
      </c>
      <c r="I5" s="4">
        <f>DAY(D5)</f>
        <v>13</v>
      </c>
      <c r="J5" s="4">
        <f t="shared" ca="1" si="0"/>
        <v>4</v>
      </c>
      <c r="K5" t="str" cm="1">
        <f t="array" aca="1" ref="K5" ca="1">_xlfn.IFS(TODAY()&lt;D5,"A venir",AND(TODAY()&gt;=D5,TODAY()&lt;=E5),"En cours",TODAY()&gt;E5,"Termine")</f>
        <v>Termine</v>
      </c>
    </row>
    <row r="6" spans="1:12">
      <c r="A6" s="10" t="s">
        <v>28</v>
      </c>
      <c r="B6" s="10" t="s">
        <v>29</v>
      </c>
      <c r="C6" s="11">
        <v>44740</v>
      </c>
      <c r="D6" s="11">
        <v>45979</v>
      </c>
      <c r="E6" s="11">
        <v>45995</v>
      </c>
      <c r="F6" s="4">
        <f>DATEDIF(D6,E6,"d")</f>
        <v>16</v>
      </c>
      <c r="G6" s="4">
        <f>YEAR(D6)</f>
        <v>2025</v>
      </c>
      <c r="H6" s="4">
        <f>MONTH(D6)</f>
        <v>11</v>
      </c>
      <c r="I6" s="4">
        <f>DAY(D6)</f>
        <v>18</v>
      </c>
      <c r="J6" s="4">
        <f t="shared" ca="1" si="0"/>
        <v>4</v>
      </c>
      <c r="K6" t="str" cm="1">
        <f t="array" aca="1" ref="K6" ca="1">_xlfn.IFS(TODAY()&lt;D6,"A venir",AND(TODAY()&gt;=D6,TODAY()&lt;=E6),"En cours",TODAY()&gt;E6,"Termine")</f>
        <v>Termine</v>
      </c>
    </row>
    <row r="7" spans="1:12">
      <c r="A7" s="10" t="s">
        <v>30</v>
      </c>
      <c r="B7" s="10" t="s">
        <v>31</v>
      </c>
      <c r="C7" s="11">
        <v>44627</v>
      </c>
      <c r="D7" s="11">
        <v>44718</v>
      </c>
      <c r="E7" s="11">
        <v>44723</v>
      </c>
      <c r="F7" s="4">
        <f>DATEDIF(D7,E7,"d")</f>
        <v>5</v>
      </c>
      <c r="G7" s="4">
        <f>YEAR(D7)</f>
        <v>2022</v>
      </c>
      <c r="H7" s="4">
        <f>MONTH(D7)</f>
        <v>6</v>
      </c>
      <c r="I7" s="4">
        <f>DAY(D7)</f>
        <v>6</v>
      </c>
      <c r="J7" s="4">
        <f t="shared" ca="1" si="0"/>
        <v>4</v>
      </c>
      <c r="K7" t="str" cm="1">
        <f t="array" aca="1" ref="K7" ca="1">_xlfn.IFS(TODAY()&lt;D7,"A venir",AND(TODAY()&gt;=D7,TODAY()&lt;=E7),"En cours",TODAY()&gt;E7,"Termine")</f>
        <v>Termine</v>
      </c>
    </row>
    <row r="8" spans="1:12">
      <c r="A8" s="10" t="s">
        <v>32</v>
      </c>
      <c r="B8" s="10" t="s">
        <v>33</v>
      </c>
      <c r="C8" s="11">
        <v>45009</v>
      </c>
      <c r="D8" s="11">
        <v>45515</v>
      </c>
      <c r="E8" s="11">
        <v>45534</v>
      </c>
      <c r="F8" s="4">
        <f>DATEDIF(D8,E8,"d")</f>
        <v>19</v>
      </c>
      <c r="G8" s="4">
        <f>YEAR(D8)</f>
        <v>2024</v>
      </c>
      <c r="H8" s="4">
        <f>MONTH(D8)</f>
        <v>8</v>
      </c>
      <c r="I8" s="4">
        <f>DAY(D8)</f>
        <v>11</v>
      </c>
      <c r="J8" s="4">
        <f t="shared" ca="1" si="0"/>
        <v>3</v>
      </c>
      <c r="K8" t="str" cm="1">
        <f t="array" aca="1" ref="K8" ca="1">_xlfn.IFS(TODAY()&lt;D8,"A venir",AND(TODAY()&gt;=D8,TODAY()&lt;=E8),"En cours",TODAY()&gt;E8,"Termine")</f>
        <v>Termine</v>
      </c>
    </row>
    <row r="9" spans="1:12">
      <c r="A9" s="10" t="s">
        <v>34</v>
      </c>
      <c r="B9" s="10" t="s">
        <v>35</v>
      </c>
      <c r="C9" s="11">
        <v>45794</v>
      </c>
      <c r="D9" s="11">
        <v>45851</v>
      </c>
      <c r="E9" s="11">
        <v>45871</v>
      </c>
      <c r="F9" s="4">
        <f>DATEDIF(D9,E9,"d")</f>
        <v>20</v>
      </c>
      <c r="G9" s="4">
        <f>YEAR(D9)</f>
        <v>2025</v>
      </c>
      <c r="H9" s="4">
        <f>MONTH(D9)</f>
        <v>7</v>
      </c>
      <c r="I9" s="4">
        <f>DAY(D9)</f>
        <v>13</v>
      </c>
      <c r="J9" s="4">
        <f t="shared" ca="1" si="0"/>
        <v>1</v>
      </c>
      <c r="K9" t="str" cm="1">
        <f t="array" aca="1" ref="K9" ca="1">_xlfn.IFS(TODAY()&lt;D9,"A venir",AND(TODAY()&gt;=D9,TODAY()&lt;=E9),"En cours",TODAY()&gt;E9,"Termine")</f>
        <v>Termine</v>
      </c>
    </row>
    <row r="10" spans="1:12">
      <c r="A10" s="10" t="s">
        <v>36</v>
      </c>
      <c r="B10" s="10" t="s">
        <v>37</v>
      </c>
      <c r="C10" s="11">
        <v>44969</v>
      </c>
      <c r="D10" s="11">
        <v>46329</v>
      </c>
      <c r="E10" s="11">
        <v>46349</v>
      </c>
      <c r="F10" s="4">
        <f>DATEDIF(D10,E10,"d")</f>
        <v>20</v>
      </c>
      <c r="G10" s="4">
        <f>YEAR(D10)</f>
        <v>2026</v>
      </c>
      <c r="H10" s="4">
        <f>MONTH(D10)</f>
        <v>11</v>
      </c>
      <c r="I10" s="4">
        <f>DAY(D10)</f>
        <v>3</v>
      </c>
      <c r="J10" s="4">
        <f t="shared" ca="1" si="0"/>
        <v>3</v>
      </c>
      <c r="K10" t="str" cm="1">
        <f t="array" aca="1" ref="K10" ca="1">_xlfn.IFS(TODAY()&lt;D10,"A venir",AND(TODAY()&gt;=D10,TODAY()&lt;=E10),"En cours",TODAY()&gt;E10,"Termine")</f>
        <v>A venir</v>
      </c>
    </row>
    <row r="11" spans="1:12">
      <c r="A11" s="10" t="s">
        <v>38</v>
      </c>
      <c r="B11" s="10" t="s">
        <v>39</v>
      </c>
      <c r="C11" s="11">
        <v>45421</v>
      </c>
      <c r="D11" s="11">
        <v>45676</v>
      </c>
      <c r="E11" s="11">
        <v>45693</v>
      </c>
      <c r="F11" s="4">
        <f>DATEDIF(D11,E11,"d")</f>
        <v>17</v>
      </c>
      <c r="G11" s="4">
        <f>YEAR(D11)</f>
        <v>2025</v>
      </c>
      <c r="H11" s="4">
        <f>MONTH(D11)</f>
        <v>1</v>
      </c>
      <c r="I11" s="4">
        <f>DAY(D11)</f>
        <v>19</v>
      </c>
      <c r="J11" s="4">
        <f t="shared" ca="1" si="0"/>
        <v>2</v>
      </c>
      <c r="K11" t="str" cm="1">
        <f t="array" aca="1" ref="K11" ca="1">_xlfn.IFS(TODAY()&lt;D11,"A venir",AND(TODAY()&gt;=D11,TODAY()&lt;=E11),"En cours",TODAY()&gt;E11,"Termine")</f>
        <v>Termine</v>
      </c>
    </row>
    <row r="12" spans="1:12">
      <c r="A12" s="10" t="s">
        <v>40</v>
      </c>
      <c r="B12" s="10" t="s">
        <v>41</v>
      </c>
      <c r="C12" s="11">
        <v>45768</v>
      </c>
      <c r="D12" s="11">
        <v>46082</v>
      </c>
      <c r="E12" s="11">
        <v>46085</v>
      </c>
      <c r="F12" s="4">
        <f>DATEDIF(D12,E12,"d")</f>
        <v>3</v>
      </c>
      <c r="G12" s="4">
        <f>YEAR(D12)</f>
        <v>2026</v>
      </c>
      <c r="H12" s="4">
        <f>MONTH(D12)</f>
        <v>3</v>
      </c>
      <c r="I12" s="4">
        <f>DAY(D12)</f>
        <v>1</v>
      </c>
      <c r="J12" s="4">
        <f t="shared" ca="1" si="0"/>
        <v>1</v>
      </c>
      <c r="K12" t="str" cm="1">
        <f t="array" aca="1" ref="K12" ca="1">_xlfn.IFS(TODAY()&lt;D12,"A venir",AND(TODAY()&gt;=D12,TODAY()&lt;=E12),"En cours",TODAY()&gt;E12,"Termine")</f>
        <v>Termine</v>
      </c>
    </row>
    <row r="13" spans="1:12">
      <c r="A13" s="10" t="s">
        <v>42</v>
      </c>
      <c r="B13" s="10" t="s">
        <v>43</v>
      </c>
      <c r="C13" s="11">
        <v>44888</v>
      </c>
      <c r="D13" s="11">
        <v>46347</v>
      </c>
      <c r="E13" s="11">
        <v>46363</v>
      </c>
      <c r="F13" s="4">
        <f>DATEDIF(D13,E13,"d")</f>
        <v>16</v>
      </c>
      <c r="G13" s="4">
        <f>YEAR(D13)</f>
        <v>2026</v>
      </c>
      <c r="H13" s="4">
        <f>MONTH(D13)</f>
        <v>11</v>
      </c>
      <c r="I13" s="4">
        <f>DAY(D13)</f>
        <v>21</v>
      </c>
      <c r="J13" s="4">
        <f t="shared" ca="1" si="0"/>
        <v>3</v>
      </c>
      <c r="K13" t="str" cm="1">
        <f t="array" aca="1" ref="K13" ca="1">_xlfn.IFS(TODAY()&lt;D13,"A venir",AND(TODAY()&gt;=D13,TODAY()&lt;=E13),"En cours",TODAY()&gt;E13,"Termine")</f>
        <v>A venir</v>
      </c>
    </row>
    <row r="14" spans="1:12">
      <c r="A14" s="10" t="s">
        <v>44</v>
      </c>
      <c r="B14" s="10" t="s">
        <v>45</v>
      </c>
      <c r="C14" s="11">
        <v>45258</v>
      </c>
      <c r="D14" s="11">
        <v>45857</v>
      </c>
      <c r="E14" s="11">
        <v>45864</v>
      </c>
      <c r="F14" s="4">
        <f>DATEDIF(D14,E14,"d")</f>
        <v>7</v>
      </c>
      <c r="G14" s="4">
        <f>YEAR(D14)</f>
        <v>2025</v>
      </c>
      <c r="H14" s="4">
        <f>MONTH(D14)</f>
        <v>7</v>
      </c>
      <c r="I14" s="4">
        <f>DAY(D14)</f>
        <v>19</v>
      </c>
      <c r="J14" s="4">
        <f t="shared" ca="1" si="0"/>
        <v>2</v>
      </c>
      <c r="K14" t="str" cm="1">
        <f t="array" aca="1" ref="K14" ca="1">_xlfn.IFS(TODAY()&lt;D14,"A venir",AND(TODAY()&gt;=D14,TODAY()&lt;=E14),"En cours",TODAY()&gt;E14,"Termine")</f>
        <v>Termine</v>
      </c>
    </row>
    <row r="15" spans="1:12">
      <c r="A15" s="10" t="s">
        <v>46</v>
      </c>
      <c r="B15" s="10" t="s">
        <v>47</v>
      </c>
      <c r="C15" s="11">
        <v>45002</v>
      </c>
      <c r="D15" s="11">
        <v>45721</v>
      </c>
      <c r="E15" s="11">
        <v>45727</v>
      </c>
      <c r="F15" s="4">
        <f>DATEDIF(D15,E15,"d")</f>
        <v>6</v>
      </c>
      <c r="G15" s="4">
        <f>YEAR(D15)</f>
        <v>2025</v>
      </c>
      <c r="H15" s="4">
        <f>MONTH(D15)</f>
        <v>3</v>
      </c>
      <c r="I15" s="4">
        <f>DAY(D15)</f>
        <v>5</v>
      </c>
      <c r="J15" s="4">
        <f t="shared" ca="1" si="0"/>
        <v>3</v>
      </c>
      <c r="K15" t="str" cm="1">
        <f t="array" aca="1" ref="K15" ca="1">_xlfn.IFS(TODAY()&lt;D15,"A venir",AND(TODAY()&gt;=D15,TODAY()&lt;=E15),"En cours",TODAY()&gt;E15,"Termine")</f>
        <v>Termine</v>
      </c>
    </row>
    <row r="16" spans="1:12">
      <c r="A16" s="10" t="s">
        <v>48</v>
      </c>
      <c r="B16" s="10" t="s">
        <v>49</v>
      </c>
      <c r="C16" s="11">
        <v>44751</v>
      </c>
      <c r="D16" s="11">
        <v>45559</v>
      </c>
      <c r="E16" s="11">
        <v>45565</v>
      </c>
      <c r="F16" s="4">
        <f>DATEDIF(D16,E16,"d")</f>
        <v>6</v>
      </c>
      <c r="G16" s="4">
        <f>YEAR(D16)</f>
        <v>2024</v>
      </c>
      <c r="H16" s="4">
        <f>MONTH(D16)</f>
        <v>9</v>
      </c>
      <c r="I16" s="4">
        <f>DAY(D16)</f>
        <v>24</v>
      </c>
      <c r="J16" s="4">
        <f t="shared" ca="1" si="0"/>
        <v>4</v>
      </c>
      <c r="K16" t="str" cm="1">
        <f t="array" aca="1" ref="K16" ca="1">_xlfn.IFS(TODAY()&lt;D16,"A venir",AND(TODAY()&gt;=D16,TODAY()&lt;=E16),"En cours",TODAY()&gt;E16,"Termine")</f>
        <v>Termine</v>
      </c>
    </row>
    <row r="17" spans="1:11">
      <c r="A17" s="10" t="s">
        <v>50</v>
      </c>
      <c r="B17" s="10" t="s">
        <v>51</v>
      </c>
      <c r="C17" s="11">
        <v>45297</v>
      </c>
      <c r="D17" s="11">
        <v>46031</v>
      </c>
      <c r="E17" s="11">
        <v>46042</v>
      </c>
      <c r="F17" s="4">
        <f>DATEDIF(D17,E17,"d")</f>
        <v>11</v>
      </c>
      <c r="G17" s="4">
        <f>YEAR(D17)</f>
        <v>2026</v>
      </c>
      <c r="H17" s="4">
        <f>MONTH(D17)</f>
        <v>1</v>
      </c>
      <c r="I17" s="4">
        <f>DAY(D17)</f>
        <v>9</v>
      </c>
      <c r="J17" s="4">
        <f t="shared" ca="1" si="0"/>
        <v>2</v>
      </c>
      <c r="K17" t="str" cm="1">
        <f t="array" aca="1" ref="K17" ca="1">_xlfn.IFS(TODAY()&lt;D17,"A venir",AND(TODAY()&gt;=D17,TODAY()&lt;=E17),"En cours",TODAY()&gt;E17,"Termine")</f>
        <v>Termine</v>
      </c>
    </row>
    <row r="18" spans="1:11">
      <c r="A18" s="10" t="s">
        <v>52</v>
      </c>
      <c r="B18" s="10" t="s">
        <v>53</v>
      </c>
      <c r="C18" s="11">
        <v>44650</v>
      </c>
      <c r="D18" s="11">
        <v>46174</v>
      </c>
      <c r="E18" s="11">
        <v>46191</v>
      </c>
      <c r="F18" s="4">
        <f>DATEDIF(D18,E18,"d")</f>
        <v>17</v>
      </c>
      <c r="G18" s="4">
        <f>YEAR(D18)</f>
        <v>2026</v>
      </c>
      <c r="H18" s="4">
        <f>MONTH(D18)</f>
        <v>6</v>
      </c>
      <c r="I18" s="4">
        <f>DAY(D18)</f>
        <v>1</v>
      </c>
      <c r="J18" s="4">
        <f t="shared" ca="1" si="0"/>
        <v>4</v>
      </c>
      <c r="K18" t="str" cm="1">
        <f t="array" aca="1" ref="K18" ca="1">_xlfn.IFS(TODAY()&lt;D18,"A venir",AND(TODAY()&gt;=D18,TODAY()&lt;=E18),"En cours",TODAY()&gt;E18,"Termine")</f>
        <v>Termine</v>
      </c>
    </row>
    <row r="19" spans="1:11">
      <c r="A19" s="10" t="s">
        <v>54</v>
      </c>
      <c r="B19" s="10" t="s">
        <v>55</v>
      </c>
      <c r="C19" s="11">
        <v>45660</v>
      </c>
      <c r="D19" s="11">
        <v>45817</v>
      </c>
      <c r="E19" s="11">
        <v>45832</v>
      </c>
      <c r="F19" s="4">
        <f>DATEDIF(D19,E19,"d")</f>
        <v>15</v>
      </c>
      <c r="G19" s="4">
        <f>YEAR(D19)</f>
        <v>2025</v>
      </c>
      <c r="H19" s="4">
        <f>MONTH(D19)</f>
        <v>6</v>
      </c>
      <c r="I19" s="4">
        <f>DAY(D19)</f>
        <v>9</v>
      </c>
      <c r="J19" s="4">
        <f t="shared" ca="1" si="0"/>
        <v>1</v>
      </c>
      <c r="K19" t="str" cm="1">
        <f t="array" aca="1" ref="K19" ca="1">_xlfn.IFS(TODAY()&lt;D19,"A venir",AND(TODAY()&gt;=D19,TODAY()&lt;=E19),"En cours",TODAY()&gt;E19,"Termine")</f>
        <v>Termine</v>
      </c>
    </row>
    <row r="20" spans="1:11">
      <c r="A20" s="10" t="s">
        <v>56</v>
      </c>
      <c r="B20" s="10" t="s">
        <v>57</v>
      </c>
      <c r="C20" s="11">
        <v>44723</v>
      </c>
      <c r="D20" s="11">
        <v>45883</v>
      </c>
      <c r="E20" s="11">
        <v>45895</v>
      </c>
      <c r="F20" s="4">
        <f>DATEDIF(D20,E20,"d")</f>
        <v>12</v>
      </c>
      <c r="G20" s="4">
        <f>YEAR(D20)</f>
        <v>2025</v>
      </c>
      <c r="H20" s="4">
        <f>MONTH(D20)</f>
        <v>8</v>
      </c>
      <c r="I20" s="4">
        <f>DAY(D20)</f>
        <v>14</v>
      </c>
      <c r="J20" s="4">
        <f t="shared" ca="1" si="0"/>
        <v>4</v>
      </c>
      <c r="K20" t="str" cm="1">
        <f t="array" aca="1" ref="K20" ca="1">_xlfn.IFS(TODAY()&lt;D20,"A venir",AND(TODAY()&gt;=D20,TODAY()&lt;=E20),"En cours",TODAY()&gt;E20,"Termine")</f>
        <v>Termine</v>
      </c>
    </row>
    <row r="21" spans="1:11">
      <c r="A21" s="10" t="s">
        <v>58</v>
      </c>
      <c r="B21" s="10" t="s">
        <v>59</v>
      </c>
      <c r="C21" s="11">
        <v>45828</v>
      </c>
      <c r="D21" s="11">
        <v>46311</v>
      </c>
      <c r="E21" s="11">
        <v>46325</v>
      </c>
      <c r="F21" s="4">
        <f>DATEDIF(D21,E21,"d")</f>
        <v>14</v>
      </c>
      <c r="G21" s="4">
        <f>YEAR(D21)</f>
        <v>2026</v>
      </c>
      <c r="H21" s="4">
        <f>MONTH(D21)</f>
        <v>10</v>
      </c>
      <c r="I21" s="4">
        <f>DAY(D21)</f>
        <v>16</v>
      </c>
      <c r="J21" s="4">
        <f t="shared" ca="1" si="0"/>
        <v>1</v>
      </c>
      <c r="K21" t="str" cm="1">
        <f t="array" aca="1" ref="K21" ca="1">_xlfn.IFS(TODAY()&lt;D21,"A venir",AND(TODAY()&gt;=D21,TODAY()&lt;=E21),"En cours",TODAY()&gt;E21,"Termine")</f>
        <v>A venir</v>
      </c>
    </row>
    <row r="22" spans="1:11">
      <c r="A22" s="10" t="s">
        <v>60</v>
      </c>
      <c r="B22" s="10" t="s">
        <v>61</v>
      </c>
      <c r="C22" s="11">
        <v>45744</v>
      </c>
      <c r="D22" s="11">
        <v>45970</v>
      </c>
      <c r="E22" s="11">
        <v>45975</v>
      </c>
      <c r="F22" s="4">
        <f>DATEDIF(D22,E22,"d")</f>
        <v>5</v>
      </c>
      <c r="G22" s="4">
        <f>YEAR(D22)</f>
        <v>2025</v>
      </c>
      <c r="H22" s="4">
        <f>MONTH(D22)</f>
        <v>11</v>
      </c>
      <c r="I22" s="4">
        <f>DAY(D22)</f>
        <v>9</v>
      </c>
      <c r="J22" s="4">
        <f t="shared" ca="1" si="0"/>
        <v>1</v>
      </c>
      <c r="K22" t="str" cm="1">
        <f t="array" aca="1" ref="K22" ca="1">_xlfn.IFS(TODAY()&lt;D22,"A venir",AND(TODAY()&gt;=D22,TODAY()&lt;=E22),"En cours",TODAY()&gt;E22,"Termine")</f>
        <v>Termine</v>
      </c>
    </row>
  </sheetData>
  <mergeCells count="3">
    <mergeCell ref="E1:G1"/>
    <mergeCell ref="H1:I1"/>
    <mergeCell ref="K1:L1"/>
  </mergeCells>
  <conditionalFormatting sqref="M1">
    <cfRule type="iconSet" priority="4">
      <iconSet>
        <cfvo type="percent" val="0"/>
        <cfvo type="percent" val="33"/>
        <cfvo type="percent" val="67"/>
      </iconSet>
    </cfRule>
  </conditionalFormatting>
  <conditionalFormatting sqref="K1:K1048576">
    <cfRule type="containsText" dxfId="2" priority="1" operator="containsText" text="A venir">
      <formula>NOT(ISERROR(SEARCH("A venir",K1)))</formula>
    </cfRule>
  </conditionalFormatting>
  <conditionalFormatting sqref="K1:K1048576">
    <cfRule type="containsText" dxfId="1" priority="3" operator="containsText" text="Termine">
      <formula>NOT(ISERROR(SEARCH("Termine",K1)))</formula>
    </cfRule>
  </conditionalFormatting>
  <conditionalFormatting sqref="K1:K1048576">
    <cfRule type="containsText" dxfId="0" priority="2" operator="containsText" text="En cour">
      <formula>NOT(ISERROR(SEARCH("En cour",K1)))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2026-09-11T16:44:57Z</dcterms:created>
  <dcterms:modified xsi:type="dcterms:W3CDTF">2026-09-12T14:49:39Z</dcterms:modified>
  <cp:category/>
  <cp:contentStatus/>
</cp:coreProperties>
</file>