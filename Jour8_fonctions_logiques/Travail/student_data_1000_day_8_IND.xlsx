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3B60ECB8-1B3A-4163-BBD1-25B42CB3A5E0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Data_Brute" sheetId="1" r:id="rId1"/>
    <sheet name="Sheet1" sheetId="2" r:id="rId2"/>
    <sheet name="Systeme_Admiss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2" i="3"/>
  <c r="H3" i="3" a="1"/>
  <c r="H3" i="3"/>
  <c r="H4" i="3" a="1"/>
  <c r="H4" i="3"/>
  <c r="H5" i="3" a="1"/>
  <c r="H5" i="3"/>
  <c r="H6" i="3" a="1"/>
  <c r="H6" i="3"/>
  <c r="H7" i="3" a="1"/>
  <c r="H7" i="3"/>
  <c r="H8" i="3" a="1"/>
  <c r="H8" i="3"/>
  <c r="H9" i="3" a="1"/>
  <c r="H9" i="3"/>
  <c r="H10" i="3" a="1"/>
  <c r="H10" i="3"/>
  <c r="H11" i="3" a="1"/>
  <c r="H11" i="3"/>
  <c r="H12" i="3" a="1"/>
  <c r="H12" i="3"/>
  <c r="H13" i="3" a="1"/>
  <c r="H13" i="3"/>
  <c r="H14" i="3" a="1"/>
  <c r="H14" i="3"/>
  <c r="H15" i="3" a="1"/>
  <c r="H15" i="3"/>
  <c r="H16" i="3" a="1"/>
  <c r="H16" i="3"/>
  <c r="H17" i="3" a="1"/>
  <c r="H17" i="3"/>
  <c r="H18" i="3" a="1"/>
  <c r="H18" i="3"/>
  <c r="H19" i="3" a="1"/>
  <c r="H19" i="3"/>
  <c r="H20" i="3" a="1"/>
  <c r="H20" i="3"/>
  <c r="H21" i="3" a="1"/>
  <c r="H21" i="3"/>
  <c r="H22" i="3" a="1"/>
  <c r="H22" i="3"/>
  <c r="H23" i="3" a="1"/>
  <c r="H23" i="3"/>
  <c r="H24" i="3" a="1"/>
  <c r="H24" i="3"/>
  <c r="H25" i="3" a="1"/>
  <c r="H25" i="3"/>
  <c r="H26" i="3" a="1"/>
  <c r="H26" i="3"/>
  <c r="H27" i="3" a="1"/>
  <c r="H27" i="3"/>
  <c r="H28" i="3" a="1"/>
  <c r="H28" i="3"/>
  <c r="H29" i="3" a="1"/>
  <c r="H29" i="3"/>
  <c r="H30" i="3" a="1"/>
  <c r="H30" i="3"/>
  <c r="H31" i="3" a="1"/>
  <c r="H31" i="3"/>
  <c r="H32" i="3" a="1"/>
  <c r="H32" i="3"/>
  <c r="H33" i="3" a="1"/>
  <c r="H33" i="3"/>
  <c r="H34" i="3" a="1"/>
  <c r="H34" i="3"/>
  <c r="H35" i="3" a="1"/>
  <c r="H35" i="3"/>
  <c r="H36" i="3" a="1"/>
  <c r="H36" i="3"/>
  <c r="H37" i="3" a="1"/>
  <c r="H37" i="3"/>
  <c r="H38" i="3" a="1"/>
  <c r="H38" i="3"/>
  <c r="H39" i="3" a="1"/>
  <c r="H39" i="3"/>
  <c r="H40" i="3" a="1"/>
  <c r="H40" i="3"/>
  <c r="H41" i="3" a="1"/>
  <c r="H41" i="3"/>
  <c r="H42" i="3" a="1"/>
  <c r="H42" i="3"/>
  <c r="H43" i="3" a="1"/>
  <c r="H43" i="3"/>
  <c r="H44" i="3" a="1"/>
  <c r="H44" i="3"/>
  <c r="H45" i="3" a="1"/>
  <c r="H45" i="3"/>
  <c r="H46" i="3" a="1"/>
  <c r="H46" i="3"/>
  <c r="H47" i="3" a="1"/>
  <c r="H47" i="3"/>
  <c r="H48" i="3" a="1"/>
  <c r="H48" i="3"/>
  <c r="H49" i="3" a="1"/>
  <c r="H49" i="3"/>
  <c r="H50" i="3" a="1"/>
  <c r="H50" i="3"/>
  <c r="H51" i="3" a="1"/>
  <c r="H51" i="3"/>
  <c r="H52" i="3" a="1"/>
  <c r="H52" i="3"/>
  <c r="H53" i="3" a="1"/>
  <c r="H53" i="3"/>
  <c r="H54" i="3" a="1"/>
  <c r="H54" i="3"/>
  <c r="H55" i="3" a="1"/>
  <c r="H55" i="3"/>
  <c r="H56" i="3" a="1"/>
  <c r="H56" i="3"/>
  <c r="H57" i="3" a="1"/>
  <c r="H57" i="3"/>
  <c r="H58" i="3" a="1"/>
  <c r="H58" i="3"/>
  <c r="H59" i="3" a="1"/>
  <c r="H59" i="3"/>
  <c r="H60" i="3" a="1"/>
  <c r="H60" i="3"/>
  <c r="H61" i="3" a="1"/>
  <c r="H61" i="3"/>
  <c r="H62" i="3" a="1"/>
  <c r="H62" i="3"/>
  <c r="H63" i="3" a="1"/>
  <c r="H63" i="3"/>
  <c r="H64" i="3" a="1"/>
  <c r="H64" i="3"/>
  <c r="H65" i="3" a="1"/>
  <c r="H65" i="3"/>
  <c r="H66" i="3" a="1"/>
  <c r="H66" i="3"/>
  <c r="H67" i="3" a="1"/>
  <c r="H67" i="3"/>
  <c r="H68" i="3" a="1"/>
  <c r="H68" i="3"/>
  <c r="H69" i="3" a="1"/>
  <c r="H69" i="3"/>
  <c r="H70" i="3" a="1"/>
  <c r="H70" i="3"/>
  <c r="H71" i="3" a="1"/>
  <c r="H71" i="3"/>
  <c r="H72" i="3" a="1"/>
  <c r="H72" i="3"/>
  <c r="H73" i="3" a="1"/>
  <c r="H73" i="3"/>
  <c r="H74" i="3" a="1"/>
  <c r="H74" i="3"/>
  <c r="H75" i="3" a="1"/>
  <c r="H75" i="3"/>
  <c r="H76" i="3" a="1"/>
  <c r="H76" i="3"/>
  <c r="H77" i="3" a="1"/>
  <c r="H77" i="3"/>
  <c r="H78" i="3" a="1"/>
  <c r="H78" i="3"/>
  <c r="H79" i="3" a="1"/>
  <c r="H79" i="3"/>
  <c r="H80" i="3" a="1"/>
  <c r="H80" i="3"/>
  <c r="H81" i="3" a="1"/>
  <c r="H81" i="3"/>
  <c r="H82" i="3" a="1"/>
  <c r="H82" i="3"/>
  <c r="H83" i="3" a="1"/>
  <c r="H83" i="3"/>
  <c r="H84" i="3" a="1"/>
  <c r="H84" i="3"/>
  <c r="H85" i="3" a="1"/>
  <c r="H85" i="3"/>
  <c r="H86" i="3" a="1"/>
  <c r="H86" i="3"/>
  <c r="H87" i="3" a="1"/>
  <c r="H87" i="3"/>
  <c r="H88" i="3" a="1"/>
  <c r="H88" i="3"/>
  <c r="H89" i="3" a="1"/>
  <c r="H89" i="3"/>
  <c r="H90" i="3" a="1"/>
  <c r="H90" i="3"/>
  <c r="H91" i="3" a="1"/>
  <c r="H91" i="3"/>
  <c r="H92" i="3" a="1"/>
  <c r="H92" i="3"/>
  <c r="H93" i="3" a="1"/>
  <c r="H93" i="3"/>
  <c r="H94" i="3" a="1"/>
  <c r="H94" i="3"/>
  <c r="H95" i="3" a="1"/>
  <c r="H95" i="3"/>
  <c r="H96" i="3" a="1"/>
  <c r="H96" i="3"/>
  <c r="H97" i="3" a="1"/>
  <c r="H97" i="3"/>
  <c r="H98" i="3" a="1"/>
  <c r="H98" i="3"/>
  <c r="H99" i="3" a="1"/>
  <c r="H99" i="3"/>
  <c r="H100" i="3" a="1"/>
  <c r="H100" i="3"/>
  <c r="H101" i="3" a="1"/>
  <c r="H101" i="3"/>
  <c r="H102" i="3" a="1"/>
  <c r="H102" i="3"/>
  <c r="H103" i="3" a="1"/>
  <c r="H103" i="3"/>
  <c r="H104" i="3" a="1"/>
  <c r="H104" i="3"/>
  <c r="H105" i="3" a="1"/>
  <c r="H105" i="3"/>
  <c r="H106" i="3" a="1"/>
  <c r="H106" i="3"/>
  <c r="H107" i="3" a="1"/>
  <c r="H107" i="3"/>
  <c r="H108" i="3" a="1"/>
  <c r="H108" i="3"/>
  <c r="H109" i="3" a="1"/>
  <c r="H109" i="3"/>
  <c r="H110" i="3" a="1"/>
  <c r="H110" i="3"/>
  <c r="H111" i="3" a="1"/>
  <c r="H111" i="3"/>
  <c r="H112" i="3" a="1"/>
  <c r="H112" i="3"/>
  <c r="H113" i="3" a="1"/>
  <c r="H113" i="3"/>
  <c r="H114" i="3" a="1"/>
  <c r="H114" i="3"/>
  <c r="H115" i="3" a="1"/>
  <c r="H115" i="3"/>
  <c r="H116" i="3" a="1"/>
  <c r="H116" i="3"/>
  <c r="H117" i="3" a="1"/>
  <c r="H117" i="3"/>
  <c r="H118" i="3" a="1"/>
  <c r="H118" i="3"/>
  <c r="H119" i="3" a="1"/>
  <c r="H119" i="3"/>
  <c r="H120" i="3" a="1"/>
  <c r="H120" i="3"/>
  <c r="H121" i="3" a="1"/>
  <c r="H121" i="3"/>
  <c r="H122" i="3" a="1"/>
  <c r="H122" i="3"/>
  <c r="H123" i="3" a="1"/>
  <c r="H123" i="3"/>
  <c r="H124" i="3" a="1"/>
  <c r="H124" i="3"/>
  <c r="H125" i="3" a="1"/>
  <c r="H125" i="3"/>
  <c r="H126" i="3" a="1"/>
  <c r="H126" i="3"/>
  <c r="H127" i="3" a="1"/>
  <c r="H127" i="3"/>
  <c r="H128" i="3" a="1"/>
  <c r="H128" i="3"/>
  <c r="H129" i="3" a="1"/>
  <c r="H129" i="3"/>
  <c r="H130" i="3" a="1"/>
  <c r="H130" i="3"/>
  <c r="H131" i="3" a="1"/>
  <c r="H131" i="3"/>
  <c r="H132" i="3" a="1"/>
  <c r="H132" i="3"/>
  <c r="H133" i="3" a="1"/>
  <c r="H133" i="3"/>
  <c r="H134" i="3" a="1"/>
  <c r="H134" i="3"/>
  <c r="H135" i="3" a="1"/>
  <c r="H135" i="3"/>
  <c r="H136" i="3" a="1"/>
  <c r="H136" i="3"/>
  <c r="H137" i="3" a="1"/>
  <c r="H137" i="3"/>
  <c r="H138" i="3" a="1"/>
  <c r="H138" i="3"/>
  <c r="H139" i="3" a="1"/>
  <c r="H139" i="3"/>
  <c r="H140" i="3" a="1"/>
  <c r="H140" i="3"/>
  <c r="H141" i="3" a="1"/>
  <c r="H141" i="3"/>
  <c r="H142" i="3" a="1"/>
  <c r="H142" i="3"/>
  <c r="H143" i="3" a="1"/>
  <c r="H143" i="3"/>
  <c r="H144" i="3" a="1"/>
  <c r="H144" i="3"/>
  <c r="H145" i="3" a="1"/>
  <c r="H145" i="3"/>
  <c r="H146" i="3" a="1"/>
  <c r="H146" i="3"/>
  <c r="H147" i="3" a="1"/>
  <c r="H147" i="3"/>
  <c r="H148" i="3" a="1"/>
  <c r="H148" i="3"/>
  <c r="H149" i="3" a="1"/>
  <c r="H149" i="3"/>
  <c r="H150" i="3" a="1"/>
  <c r="H150" i="3"/>
  <c r="H151" i="3" a="1"/>
  <c r="H151" i="3"/>
  <c r="H152" i="3" a="1"/>
  <c r="H152" i="3"/>
  <c r="H153" i="3" a="1"/>
  <c r="H153" i="3"/>
  <c r="H154" i="3" a="1"/>
  <c r="H154" i="3"/>
  <c r="H155" i="3" a="1"/>
  <c r="H155" i="3"/>
  <c r="H156" i="3" a="1"/>
  <c r="H156" i="3"/>
  <c r="H157" i="3" a="1"/>
  <c r="H157" i="3"/>
  <c r="H158" i="3" a="1"/>
  <c r="H158" i="3"/>
  <c r="H159" i="3" a="1"/>
  <c r="H159" i="3"/>
  <c r="H160" i="3" a="1"/>
  <c r="H160" i="3"/>
  <c r="H161" i="3" a="1"/>
  <c r="H161" i="3"/>
  <c r="H162" i="3" a="1"/>
  <c r="H162" i="3"/>
  <c r="H163" i="3" a="1"/>
  <c r="H163" i="3"/>
  <c r="H164" i="3" a="1"/>
  <c r="H164" i="3"/>
  <c r="H165" i="3" a="1"/>
  <c r="H165" i="3"/>
  <c r="H166" i="3" a="1"/>
  <c r="H166" i="3"/>
  <c r="H167" i="3" a="1"/>
  <c r="H167" i="3"/>
  <c r="H168" i="3" a="1"/>
  <c r="H168" i="3"/>
  <c r="H169" i="3" a="1"/>
  <c r="H169" i="3"/>
  <c r="H170" i="3" a="1"/>
  <c r="H170" i="3"/>
  <c r="H171" i="3" a="1"/>
  <c r="H171" i="3"/>
  <c r="H172" i="3" a="1"/>
  <c r="H172" i="3"/>
  <c r="H173" i="3" a="1"/>
  <c r="H173" i="3"/>
  <c r="H174" i="3" a="1"/>
  <c r="H174" i="3"/>
  <c r="H175" i="3" a="1"/>
  <c r="H175" i="3"/>
  <c r="H176" i="3" a="1"/>
  <c r="H176" i="3"/>
  <c r="H177" i="3" a="1"/>
  <c r="H177" i="3"/>
  <c r="H178" i="3" a="1"/>
  <c r="H178" i="3"/>
  <c r="H179" i="3" a="1"/>
  <c r="H179" i="3"/>
  <c r="H180" i="3" a="1"/>
  <c r="H180" i="3"/>
  <c r="H181" i="3" a="1"/>
  <c r="H181" i="3"/>
  <c r="H182" i="3" a="1"/>
  <c r="H182" i="3"/>
  <c r="H183" i="3" a="1"/>
  <c r="H183" i="3"/>
  <c r="H184" i="3" a="1"/>
  <c r="H184" i="3"/>
  <c r="H185" i="3" a="1"/>
  <c r="H185" i="3"/>
  <c r="H186" i="3" a="1"/>
  <c r="H186" i="3"/>
  <c r="H187" i="3" a="1"/>
  <c r="H187" i="3"/>
  <c r="H188" i="3" a="1"/>
  <c r="H188" i="3"/>
  <c r="H189" i="3" a="1"/>
  <c r="H189" i="3"/>
  <c r="H190" i="3" a="1"/>
  <c r="H190" i="3"/>
  <c r="H191" i="3" a="1"/>
  <c r="H191" i="3"/>
  <c r="H192" i="3" a="1"/>
  <c r="H192" i="3"/>
  <c r="H193" i="3" a="1"/>
  <c r="H193" i="3"/>
  <c r="H194" i="3" a="1"/>
  <c r="H194" i="3"/>
  <c r="H195" i="3" a="1"/>
  <c r="H195" i="3"/>
  <c r="H196" i="3" a="1"/>
  <c r="H196" i="3"/>
  <c r="H197" i="3" a="1"/>
  <c r="H197" i="3"/>
  <c r="H198" i="3" a="1"/>
  <c r="H198" i="3"/>
  <c r="H199" i="3" a="1"/>
  <c r="H199" i="3"/>
  <c r="H200" i="3" a="1"/>
  <c r="H200" i="3"/>
  <c r="H201" i="3" a="1"/>
  <c r="H201" i="3"/>
  <c r="H202" i="3" a="1"/>
  <c r="H202" i="3"/>
  <c r="H203" i="3" a="1"/>
  <c r="H203" i="3"/>
  <c r="H204" i="3" a="1"/>
  <c r="H204" i="3"/>
  <c r="H205" i="3" a="1"/>
  <c r="H205" i="3"/>
  <c r="H206" i="3" a="1"/>
  <c r="H206" i="3"/>
  <c r="H207" i="3" a="1"/>
  <c r="H207" i="3"/>
  <c r="H208" i="3" a="1"/>
  <c r="H208" i="3"/>
  <c r="H209" i="3" a="1"/>
  <c r="H209" i="3"/>
  <c r="H210" i="3" a="1"/>
  <c r="H210" i="3"/>
  <c r="H211" i="3" a="1"/>
  <c r="H211" i="3"/>
  <c r="H212" i="3" a="1"/>
  <c r="H212" i="3"/>
  <c r="H213" i="3" a="1"/>
  <c r="H213" i="3"/>
  <c r="H214" i="3" a="1"/>
  <c r="H214" i="3"/>
  <c r="H215" i="3" a="1"/>
  <c r="H215" i="3"/>
  <c r="H216" i="3" a="1"/>
  <c r="H216" i="3"/>
  <c r="H217" i="3" a="1"/>
  <c r="H217" i="3"/>
  <c r="H218" i="3" a="1"/>
  <c r="H218" i="3"/>
  <c r="H219" i="3" a="1"/>
  <c r="H219" i="3"/>
  <c r="H220" i="3" a="1"/>
  <c r="H220" i="3"/>
  <c r="H221" i="3" a="1"/>
  <c r="H221" i="3"/>
  <c r="H222" i="3" a="1"/>
  <c r="H222" i="3"/>
  <c r="H223" i="3" a="1"/>
  <c r="H223" i="3"/>
  <c r="H224" i="3" a="1"/>
  <c r="H224" i="3"/>
  <c r="H225" i="3" a="1"/>
  <c r="H225" i="3"/>
  <c r="H226" i="3" a="1"/>
  <c r="H226" i="3"/>
  <c r="H227" i="3" a="1"/>
  <c r="H227" i="3"/>
  <c r="H228" i="3" a="1"/>
  <c r="H228" i="3"/>
  <c r="H229" i="3" a="1"/>
  <c r="H229" i="3"/>
  <c r="H230" i="3" a="1"/>
  <c r="H230" i="3"/>
  <c r="H231" i="3" a="1"/>
  <c r="H231" i="3"/>
  <c r="H232" i="3" a="1"/>
  <c r="H232" i="3"/>
  <c r="H233" i="3" a="1"/>
  <c r="H233" i="3"/>
  <c r="H234" i="3" a="1"/>
  <c r="H234" i="3"/>
  <c r="H235" i="3" a="1"/>
  <c r="H235" i="3"/>
  <c r="H236" i="3" a="1"/>
  <c r="H236" i="3"/>
  <c r="H237" i="3" a="1"/>
  <c r="H237" i="3"/>
  <c r="H238" i="3" a="1"/>
  <c r="H238" i="3"/>
  <c r="H239" i="3" a="1"/>
  <c r="H239" i="3"/>
  <c r="H240" i="3" a="1"/>
  <c r="H240" i="3"/>
  <c r="H241" i="3" a="1"/>
  <c r="H241" i="3"/>
  <c r="H242" i="3" a="1"/>
  <c r="H242" i="3"/>
  <c r="H243" i="3" a="1"/>
  <c r="H243" i="3"/>
  <c r="H244" i="3" a="1"/>
  <c r="H244" i="3"/>
  <c r="H245" i="3" a="1"/>
  <c r="H245" i="3"/>
  <c r="H246" i="3" a="1"/>
  <c r="H246" i="3"/>
  <c r="H247" i="3" a="1"/>
  <c r="H247" i="3"/>
  <c r="H248" i="3" a="1"/>
  <c r="H248" i="3"/>
  <c r="H249" i="3" a="1"/>
  <c r="H249" i="3"/>
  <c r="H250" i="3" a="1"/>
  <c r="H250" i="3"/>
  <c r="H251" i="3" a="1"/>
  <c r="H251" i="3"/>
  <c r="H252" i="3" a="1"/>
  <c r="H252" i="3"/>
  <c r="H253" i="3" a="1"/>
  <c r="H253" i="3"/>
  <c r="H254" i="3" a="1"/>
  <c r="H254" i="3"/>
  <c r="H255" i="3" a="1"/>
  <c r="H255" i="3"/>
  <c r="H256" i="3" a="1"/>
  <c r="H256" i="3"/>
  <c r="H257" i="3" a="1"/>
  <c r="H257" i="3"/>
  <c r="H258" i="3" a="1"/>
  <c r="H258" i="3"/>
  <c r="H259" i="3" a="1"/>
  <c r="H259" i="3"/>
  <c r="H260" i="3" a="1"/>
  <c r="H260" i="3"/>
  <c r="H261" i="3" a="1"/>
  <c r="H261" i="3"/>
  <c r="H262" i="3" a="1"/>
  <c r="H262" i="3"/>
  <c r="H263" i="3" a="1"/>
  <c r="H263" i="3"/>
  <c r="H264" i="3" a="1"/>
  <c r="H264" i="3"/>
  <c r="H265" i="3" a="1"/>
  <c r="H265" i="3"/>
  <c r="H266" i="3" a="1"/>
  <c r="H266" i="3"/>
  <c r="H267" i="3" a="1"/>
  <c r="H267" i="3"/>
  <c r="H268" i="3" a="1"/>
  <c r="H268" i="3"/>
  <c r="H269" i="3" a="1"/>
  <c r="H269" i="3"/>
  <c r="H270" i="3" a="1"/>
  <c r="H270" i="3"/>
  <c r="H271" i="3" a="1"/>
  <c r="H271" i="3"/>
  <c r="H272" i="3" a="1"/>
  <c r="H272" i="3"/>
  <c r="H273" i="3" a="1"/>
  <c r="H273" i="3"/>
  <c r="H274" i="3" a="1"/>
  <c r="H274" i="3"/>
  <c r="H275" i="3" a="1"/>
  <c r="H275" i="3"/>
  <c r="H276" i="3" a="1"/>
  <c r="H276" i="3"/>
  <c r="H277" i="3" a="1"/>
  <c r="H277" i="3"/>
  <c r="H278" i="3" a="1"/>
  <c r="H278" i="3"/>
  <c r="H279" i="3" a="1"/>
  <c r="H279" i="3"/>
  <c r="H280" i="3" a="1"/>
  <c r="H280" i="3"/>
  <c r="H281" i="3" a="1"/>
  <c r="H281" i="3"/>
  <c r="H282" i="3" a="1"/>
  <c r="H282" i="3"/>
  <c r="H283" i="3" a="1"/>
  <c r="H283" i="3"/>
  <c r="H284" i="3" a="1"/>
  <c r="H284" i="3"/>
  <c r="H285" i="3" a="1"/>
  <c r="H285" i="3"/>
  <c r="H286" i="3" a="1"/>
  <c r="H286" i="3"/>
  <c r="H287" i="3" a="1"/>
  <c r="H287" i="3"/>
  <c r="H288" i="3" a="1"/>
  <c r="H288" i="3"/>
  <c r="H289" i="3" a="1"/>
  <c r="H289" i="3"/>
  <c r="H290" i="3" a="1"/>
  <c r="H290" i="3"/>
  <c r="H291" i="3" a="1"/>
  <c r="H291" i="3"/>
  <c r="H292" i="3" a="1"/>
  <c r="H292" i="3"/>
  <c r="H293" i="3" a="1"/>
  <c r="H293" i="3"/>
  <c r="H294" i="3" a="1"/>
  <c r="H294" i="3"/>
  <c r="H295" i="3" a="1"/>
  <c r="H295" i="3"/>
  <c r="H296" i="3" a="1"/>
  <c r="H296" i="3"/>
  <c r="H297" i="3" a="1"/>
  <c r="H297" i="3"/>
  <c r="H298" i="3" a="1"/>
  <c r="H298" i="3"/>
  <c r="H299" i="3" a="1"/>
  <c r="H299" i="3"/>
  <c r="H300" i="3" a="1"/>
  <c r="H300" i="3"/>
  <c r="H301" i="3" a="1"/>
  <c r="H301" i="3"/>
  <c r="H302" i="3" a="1"/>
  <c r="H302" i="3"/>
  <c r="H303" i="3" a="1"/>
  <c r="H303" i="3"/>
  <c r="H304" i="3" a="1"/>
  <c r="H304" i="3"/>
  <c r="H305" i="3" a="1"/>
  <c r="H305" i="3"/>
  <c r="H306" i="3" a="1"/>
  <c r="H306" i="3"/>
  <c r="H307" i="3" a="1"/>
  <c r="H307" i="3"/>
  <c r="H308" i="3" a="1"/>
  <c r="H308" i="3"/>
  <c r="H309" i="3" a="1"/>
  <c r="H309" i="3"/>
  <c r="H310" i="3" a="1"/>
  <c r="H310" i="3"/>
  <c r="H311" i="3" a="1"/>
  <c r="H311" i="3"/>
  <c r="H312" i="3" a="1"/>
  <c r="H312" i="3"/>
  <c r="H313" i="3" a="1"/>
  <c r="H313" i="3"/>
  <c r="H314" i="3" a="1"/>
  <c r="H314" i="3"/>
  <c r="H315" i="3" a="1"/>
  <c r="H315" i="3"/>
  <c r="H316" i="3" a="1"/>
  <c r="H316" i="3"/>
  <c r="H317" i="3" a="1"/>
  <c r="H317" i="3"/>
  <c r="H318" i="3" a="1"/>
  <c r="H318" i="3"/>
  <c r="H319" i="3" a="1"/>
  <c r="H319" i="3"/>
  <c r="H320" i="3" a="1"/>
  <c r="H320" i="3"/>
  <c r="H321" i="3" a="1"/>
  <c r="H321" i="3"/>
  <c r="H322" i="3" a="1"/>
  <c r="H322" i="3"/>
  <c r="H323" i="3" a="1"/>
  <c r="H323" i="3"/>
  <c r="H324" i="3" a="1"/>
  <c r="H324" i="3"/>
  <c r="H325" i="3" a="1"/>
  <c r="H325" i="3"/>
  <c r="H326" i="3" a="1"/>
  <c r="H326" i="3"/>
  <c r="H327" i="3" a="1"/>
  <c r="H327" i="3"/>
  <c r="H328" i="3" a="1"/>
  <c r="H328" i="3"/>
  <c r="H329" i="3" a="1"/>
  <c r="H329" i="3"/>
  <c r="H330" i="3" a="1"/>
  <c r="H330" i="3"/>
  <c r="H331" i="3" a="1"/>
  <c r="H331" i="3"/>
  <c r="H332" i="3" a="1"/>
  <c r="H332" i="3"/>
  <c r="H333" i="3" a="1"/>
  <c r="H333" i="3"/>
  <c r="H334" i="3" a="1"/>
  <c r="H334" i="3"/>
  <c r="H335" i="3" a="1"/>
  <c r="H335" i="3"/>
  <c r="H336" i="3" a="1"/>
  <c r="H336" i="3"/>
  <c r="H337" i="3" a="1"/>
  <c r="H337" i="3"/>
  <c r="H338" i="3" a="1"/>
  <c r="H338" i="3"/>
  <c r="H339" i="3" a="1"/>
  <c r="H339" i="3"/>
  <c r="H340" i="3" a="1"/>
  <c r="H340" i="3"/>
  <c r="H341" i="3" a="1"/>
  <c r="H341" i="3"/>
  <c r="H342" i="3" a="1"/>
  <c r="H342" i="3"/>
  <c r="H343" i="3" a="1"/>
  <c r="H343" i="3"/>
  <c r="H344" i="3" a="1"/>
  <c r="H344" i="3"/>
  <c r="H345" i="3" a="1"/>
  <c r="H345" i="3"/>
  <c r="H346" i="3" a="1"/>
  <c r="H346" i="3"/>
  <c r="H347" i="3" a="1"/>
  <c r="H347" i="3"/>
  <c r="H348" i="3" a="1"/>
  <c r="H348" i="3"/>
  <c r="H349" i="3" a="1"/>
  <c r="H349" i="3"/>
  <c r="H350" i="3" a="1"/>
  <c r="H350" i="3"/>
  <c r="H351" i="3" a="1"/>
  <c r="H351" i="3"/>
  <c r="H352" i="3" a="1"/>
  <c r="H352" i="3"/>
  <c r="H353" i="3" a="1"/>
  <c r="H353" i="3"/>
  <c r="H354" i="3" a="1"/>
  <c r="H354" i="3"/>
  <c r="H355" i="3" a="1"/>
  <c r="H355" i="3"/>
  <c r="H356" i="3" a="1"/>
  <c r="H356" i="3"/>
  <c r="H357" i="3" a="1"/>
  <c r="H357" i="3"/>
  <c r="H358" i="3" a="1"/>
  <c r="H358" i="3"/>
  <c r="H359" i="3" a="1"/>
  <c r="H359" i="3"/>
  <c r="H360" i="3" a="1"/>
  <c r="H360" i="3"/>
  <c r="H361" i="3" a="1"/>
  <c r="H361" i="3"/>
  <c r="H362" i="3" a="1"/>
  <c r="H362" i="3"/>
  <c r="H363" i="3" a="1"/>
  <c r="H363" i="3"/>
  <c r="H364" i="3" a="1"/>
  <c r="H364" i="3"/>
  <c r="H365" i="3" a="1"/>
  <c r="H365" i="3"/>
  <c r="H366" i="3" a="1"/>
  <c r="H366" i="3"/>
  <c r="H367" i="3" a="1"/>
  <c r="H367" i="3"/>
  <c r="H368" i="3" a="1"/>
  <c r="H368" i="3"/>
  <c r="H369" i="3" a="1"/>
  <c r="H369" i="3"/>
  <c r="H370" i="3" a="1"/>
  <c r="H370" i="3"/>
  <c r="H371" i="3" a="1"/>
  <c r="H371" i="3"/>
  <c r="H372" i="3" a="1"/>
  <c r="H372" i="3"/>
  <c r="H373" i="3" a="1"/>
  <c r="H373" i="3"/>
  <c r="H374" i="3" a="1"/>
  <c r="H374" i="3"/>
  <c r="H375" i="3" a="1"/>
  <c r="H375" i="3"/>
  <c r="H376" i="3" a="1"/>
  <c r="H376" i="3"/>
  <c r="H377" i="3" a="1"/>
  <c r="H377" i="3"/>
  <c r="H378" i="3" a="1"/>
  <c r="H378" i="3"/>
  <c r="H379" i="3" a="1"/>
  <c r="H379" i="3"/>
  <c r="H380" i="3" a="1"/>
  <c r="H380" i="3"/>
  <c r="H381" i="3" a="1"/>
  <c r="H381" i="3"/>
  <c r="H382" i="3" a="1"/>
  <c r="H382" i="3"/>
  <c r="H383" i="3" a="1"/>
  <c r="H383" i="3"/>
  <c r="H384" i="3" a="1"/>
  <c r="H384" i="3"/>
  <c r="H385" i="3" a="1"/>
  <c r="H385" i="3"/>
  <c r="H386" i="3" a="1"/>
  <c r="H386" i="3"/>
  <c r="H387" i="3" a="1"/>
  <c r="H387" i="3"/>
  <c r="H388" i="3" a="1"/>
  <c r="H388" i="3"/>
  <c r="H389" i="3" a="1"/>
  <c r="H389" i="3"/>
  <c r="H390" i="3" a="1"/>
  <c r="H390" i="3"/>
  <c r="H391" i="3" a="1"/>
  <c r="H391" i="3"/>
  <c r="H392" i="3" a="1"/>
  <c r="H392" i="3"/>
  <c r="H393" i="3" a="1"/>
  <c r="H393" i="3"/>
  <c r="H394" i="3" a="1"/>
  <c r="H394" i="3"/>
  <c r="H395" i="3" a="1"/>
  <c r="H395" i="3"/>
  <c r="H396" i="3" a="1"/>
  <c r="H396" i="3"/>
  <c r="H397" i="3" a="1"/>
  <c r="H397" i="3"/>
  <c r="H398" i="3" a="1"/>
  <c r="H398" i="3"/>
  <c r="H399" i="3" a="1"/>
  <c r="H399" i="3"/>
  <c r="H400" i="3" a="1"/>
  <c r="H400" i="3"/>
  <c r="H401" i="3" a="1"/>
  <c r="H401" i="3"/>
  <c r="H402" i="3" a="1"/>
  <c r="H402" i="3"/>
  <c r="H403" i="3" a="1"/>
  <c r="H403" i="3"/>
  <c r="H404" i="3" a="1"/>
  <c r="H404" i="3"/>
  <c r="H405" i="3" a="1"/>
  <c r="H405" i="3"/>
  <c r="H406" i="3" a="1"/>
  <c r="H406" i="3"/>
  <c r="H407" i="3" a="1"/>
  <c r="H407" i="3"/>
  <c r="H408" i="3" a="1"/>
  <c r="H408" i="3"/>
  <c r="H409" i="3" a="1"/>
  <c r="H409" i="3"/>
  <c r="H410" i="3" a="1"/>
  <c r="H410" i="3"/>
  <c r="H411" i="3" a="1"/>
  <c r="H411" i="3"/>
  <c r="H412" i="3" a="1"/>
  <c r="H412" i="3"/>
  <c r="H413" i="3" a="1"/>
  <c r="H413" i="3"/>
  <c r="H414" i="3" a="1"/>
  <c r="H414" i="3"/>
  <c r="H415" i="3" a="1"/>
  <c r="H415" i="3"/>
  <c r="H416" i="3" a="1"/>
  <c r="H416" i="3"/>
  <c r="H417" i="3" a="1"/>
  <c r="H417" i="3"/>
  <c r="H418" i="3" a="1"/>
  <c r="H418" i="3"/>
  <c r="H419" i="3" a="1"/>
  <c r="H419" i="3"/>
  <c r="H420" i="3" a="1"/>
  <c r="H420" i="3"/>
  <c r="H421" i="3" a="1"/>
  <c r="H421" i="3"/>
  <c r="H422" i="3" a="1"/>
  <c r="H422" i="3"/>
  <c r="H423" i="3" a="1"/>
  <c r="H423" i="3"/>
  <c r="H424" i="3" a="1"/>
  <c r="H424" i="3"/>
  <c r="H425" i="3" a="1"/>
  <c r="H425" i="3"/>
  <c r="H426" i="3" a="1"/>
  <c r="H426" i="3"/>
  <c r="H427" i="3" a="1"/>
  <c r="H427" i="3"/>
  <c r="H428" i="3" a="1"/>
  <c r="H428" i="3"/>
  <c r="H429" i="3" a="1"/>
  <c r="H429" i="3"/>
  <c r="H430" i="3" a="1"/>
  <c r="H430" i="3"/>
  <c r="H431" i="3" a="1"/>
  <c r="H431" i="3"/>
  <c r="H432" i="3" a="1"/>
  <c r="H432" i="3"/>
  <c r="H433" i="3" a="1"/>
  <c r="H433" i="3"/>
  <c r="H434" i="3" a="1"/>
  <c r="H434" i="3"/>
  <c r="H435" i="3" a="1"/>
  <c r="H435" i="3"/>
  <c r="H436" i="3" a="1"/>
  <c r="H436" i="3"/>
  <c r="H437" i="3" a="1"/>
  <c r="H437" i="3"/>
  <c r="H438" i="3" a="1"/>
  <c r="H438" i="3"/>
  <c r="H439" i="3" a="1"/>
  <c r="H439" i="3"/>
  <c r="H440" i="3" a="1"/>
  <c r="H440" i="3"/>
  <c r="H441" i="3" a="1"/>
  <c r="H441" i="3"/>
  <c r="H442" i="3" a="1"/>
  <c r="H442" i="3"/>
  <c r="H443" i="3" a="1"/>
  <c r="H443" i="3"/>
  <c r="H444" i="3" a="1"/>
  <c r="H444" i="3"/>
  <c r="H445" i="3" a="1"/>
  <c r="H445" i="3"/>
  <c r="H446" i="3" a="1"/>
  <c r="H446" i="3"/>
  <c r="H447" i="3" a="1"/>
  <c r="H447" i="3"/>
  <c r="H448" i="3" a="1"/>
  <c r="H448" i="3"/>
  <c r="H449" i="3" a="1"/>
  <c r="H449" i="3"/>
  <c r="H450" i="3" a="1"/>
  <c r="H450" i="3"/>
  <c r="H451" i="3" a="1"/>
  <c r="H451" i="3"/>
  <c r="H452" i="3" a="1"/>
  <c r="H452" i="3"/>
  <c r="H453" i="3" a="1"/>
  <c r="H453" i="3"/>
  <c r="H454" i="3" a="1"/>
  <c r="H454" i="3"/>
  <c r="H455" i="3" a="1"/>
  <c r="H455" i="3"/>
  <c r="H456" i="3" a="1"/>
  <c r="H456" i="3"/>
  <c r="H457" i="3" a="1"/>
  <c r="H457" i="3"/>
  <c r="H458" i="3" a="1"/>
  <c r="H458" i="3"/>
  <c r="H459" i="3" a="1"/>
  <c r="H459" i="3"/>
  <c r="H460" i="3" a="1"/>
  <c r="H460" i="3"/>
  <c r="H461" i="3" a="1"/>
  <c r="H461" i="3"/>
  <c r="H462" i="3" a="1"/>
  <c r="H462" i="3"/>
  <c r="H463" i="3" a="1"/>
  <c r="H463" i="3"/>
  <c r="H464" i="3" a="1"/>
  <c r="H464" i="3"/>
  <c r="H465" i="3" a="1"/>
  <c r="H465" i="3"/>
  <c r="H466" i="3" a="1"/>
  <c r="H466" i="3"/>
  <c r="H467" i="3" a="1"/>
  <c r="H467" i="3"/>
  <c r="H468" i="3" a="1"/>
  <c r="H468" i="3"/>
  <c r="H469" i="3" a="1"/>
  <c r="H469" i="3"/>
  <c r="H470" i="3" a="1"/>
  <c r="H470" i="3"/>
  <c r="H471" i="3" a="1"/>
  <c r="H471" i="3"/>
  <c r="H472" i="3" a="1"/>
  <c r="H472" i="3"/>
  <c r="H473" i="3" a="1"/>
  <c r="H473" i="3"/>
  <c r="H474" i="3" a="1"/>
  <c r="H474" i="3"/>
  <c r="H475" i="3" a="1"/>
  <c r="H475" i="3"/>
  <c r="H476" i="3" a="1"/>
  <c r="H476" i="3"/>
  <c r="H477" i="3" a="1"/>
  <c r="H477" i="3"/>
  <c r="H478" i="3" a="1"/>
  <c r="H478" i="3"/>
  <c r="H479" i="3" a="1"/>
  <c r="H479" i="3"/>
  <c r="H480" i="3" a="1"/>
  <c r="H480" i="3"/>
  <c r="H481" i="3" a="1"/>
  <c r="H481" i="3"/>
  <c r="H482" i="3" a="1"/>
  <c r="H482" i="3"/>
  <c r="H483" i="3" a="1"/>
  <c r="H483" i="3"/>
  <c r="H484" i="3" a="1"/>
  <c r="H484" i="3"/>
  <c r="H485" i="3" a="1"/>
  <c r="H485" i="3"/>
  <c r="H486" i="3" a="1"/>
  <c r="H486" i="3"/>
  <c r="H487" i="3" a="1"/>
  <c r="H487" i="3"/>
  <c r="H488" i="3" a="1"/>
  <c r="H488" i="3"/>
  <c r="H489" i="3" a="1"/>
  <c r="H489" i="3"/>
  <c r="H490" i="3" a="1"/>
  <c r="H490" i="3"/>
  <c r="H491" i="3" a="1"/>
  <c r="H491" i="3"/>
  <c r="H492" i="3" a="1"/>
  <c r="H492" i="3"/>
  <c r="H493" i="3" a="1"/>
  <c r="H493" i="3"/>
  <c r="H494" i="3" a="1"/>
  <c r="H494" i="3"/>
  <c r="H495" i="3" a="1"/>
  <c r="H495" i="3"/>
  <c r="H496" i="3" a="1"/>
  <c r="H496" i="3"/>
  <c r="H497" i="3" a="1"/>
  <c r="H497" i="3"/>
  <c r="H498" i="3" a="1"/>
  <c r="H498" i="3"/>
  <c r="H499" i="3" a="1"/>
  <c r="H499" i="3"/>
  <c r="H500" i="3" a="1"/>
  <c r="H500" i="3"/>
  <c r="H501" i="3" a="1"/>
  <c r="H501" i="3"/>
  <c r="H502" i="3" a="1"/>
  <c r="H502" i="3"/>
  <c r="H503" i="3" a="1"/>
  <c r="H503" i="3"/>
  <c r="H504" i="3" a="1"/>
  <c r="H504" i="3"/>
  <c r="H505" i="3" a="1"/>
  <c r="H505" i="3"/>
  <c r="H506" i="3" a="1"/>
  <c r="H506" i="3"/>
  <c r="H507" i="3" a="1"/>
  <c r="H507" i="3"/>
  <c r="H508" i="3" a="1"/>
  <c r="H508" i="3"/>
  <c r="H509" i="3" a="1"/>
  <c r="H509" i="3"/>
  <c r="H510" i="3" a="1"/>
  <c r="H510" i="3"/>
  <c r="H511" i="3" a="1"/>
  <c r="H511" i="3"/>
  <c r="H512" i="3" a="1"/>
  <c r="H512" i="3"/>
  <c r="H513" i="3" a="1"/>
  <c r="H513" i="3"/>
  <c r="H514" i="3" a="1"/>
  <c r="H514" i="3"/>
  <c r="H515" i="3" a="1"/>
  <c r="H515" i="3"/>
  <c r="H516" i="3" a="1"/>
  <c r="H516" i="3"/>
  <c r="H517" i="3" a="1"/>
  <c r="H517" i="3"/>
  <c r="H518" i="3" a="1"/>
  <c r="H518" i="3"/>
  <c r="H519" i="3" a="1"/>
  <c r="H519" i="3"/>
  <c r="H520" i="3" a="1"/>
  <c r="H520" i="3"/>
  <c r="H521" i="3" a="1"/>
  <c r="H521" i="3"/>
  <c r="H522" i="3" a="1"/>
  <c r="H522" i="3"/>
  <c r="H523" i="3" a="1"/>
  <c r="H523" i="3"/>
  <c r="H524" i="3" a="1"/>
  <c r="H524" i="3"/>
  <c r="H525" i="3" a="1"/>
  <c r="H525" i="3"/>
  <c r="H526" i="3" a="1"/>
  <c r="H526" i="3"/>
  <c r="H527" i="3" a="1"/>
  <c r="H527" i="3"/>
  <c r="H528" i="3" a="1"/>
  <c r="H528" i="3"/>
  <c r="H529" i="3" a="1"/>
  <c r="H529" i="3"/>
  <c r="H530" i="3" a="1"/>
  <c r="H530" i="3"/>
  <c r="H531" i="3" a="1"/>
  <c r="H531" i="3"/>
  <c r="H532" i="3" a="1"/>
  <c r="H532" i="3"/>
  <c r="H533" i="3" a="1"/>
  <c r="H533" i="3"/>
  <c r="H534" i="3" a="1"/>
  <c r="H534" i="3"/>
  <c r="H535" i="3" a="1"/>
  <c r="H535" i="3"/>
  <c r="H536" i="3" a="1"/>
  <c r="H536" i="3"/>
  <c r="H537" i="3" a="1"/>
  <c r="H537" i="3"/>
  <c r="H538" i="3" a="1"/>
  <c r="H538" i="3"/>
  <c r="H539" i="3" a="1"/>
  <c r="H539" i="3"/>
  <c r="H540" i="3" a="1"/>
  <c r="H540" i="3"/>
  <c r="H541" i="3" a="1"/>
  <c r="H541" i="3"/>
  <c r="H542" i="3" a="1"/>
  <c r="H542" i="3"/>
  <c r="H543" i="3" a="1"/>
  <c r="H543" i="3"/>
  <c r="H544" i="3" a="1"/>
  <c r="H544" i="3"/>
  <c r="H545" i="3" a="1"/>
  <c r="H545" i="3"/>
  <c r="H546" i="3" a="1"/>
  <c r="H546" i="3"/>
  <c r="H547" i="3" a="1"/>
  <c r="H547" i="3"/>
  <c r="H548" i="3" a="1"/>
  <c r="H548" i="3"/>
  <c r="H549" i="3" a="1"/>
  <c r="H549" i="3"/>
  <c r="H550" i="3" a="1"/>
  <c r="H550" i="3"/>
  <c r="H551" i="3" a="1"/>
  <c r="H551" i="3"/>
  <c r="H552" i="3" a="1"/>
  <c r="H552" i="3"/>
  <c r="H553" i="3" a="1"/>
  <c r="H553" i="3"/>
  <c r="H554" i="3" a="1"/>
  <c r="H554" i="3"/>
  <c r="H555" i="3" a="1"/>
  <c r="H555" i="3"/>
  <c r="H556" i="3" a="1"/>
  <c r="H556" i="3"/>
  <c r="H557" i="3" a="1"/>
  <c r="H557" i="3"/>
  <c r="H558" i="3" a="1"/>
  <c r="H558" i="3"/>
  <c r="H559" i="3" a="1"/>
  <c r="H559" i="3"/>
  <c r="H560" i="3" a="1"/>
  <c r="H560" i="3"/>
  <c r="H561" i="3" a="1"/>
  <c r="H561" i="3"/>
  <c r="H562" i="3" a="1"/>
  <c r="H562" i="3"/>
  <c r="H563" i="3" a="1"/>
  <c r="H563" i="3"/>
  <c r="H564" i="3" a="1"/>
  <c r="H564" i="3"/>
  <c r="H565" i="3" a="1"/>
  <c r="H565" i="3"/>
  <c r="H566" i="3" a="1"/>
  <c r="H566" i="3"/>
  <c r="H567" i="3" a="1"/>
  <c r="H567" i="3"/>
  <c r="H568" i="3" a="1"/>
  <c r="H568" i="3"/>
  <c r="H569" i="3" a="1"/>
  <c r="H569" i="3"/>
  <c r="H570" i="3" a="1"/>
  <c r="H570" i="3"/>
  <c r="H571" i="3" a="1"/>
  <c r="H571" i="3"/>
  <c r="H572" i="3" a="1"/>
  <c r="H572" i="3"/>
  <c r="H573" i="3" a="1"/>
  <c r="H573" i="3"/>
  <c r="H574" i="3" a="1"/>
  <c r="H574" i="3"/>
  <c r="H575" i="3" a="1"/>
  <c r="H575" i="3"/>
  <c r="H576" i="3" a="1"/>
  <c r="H576" i="3"/>
  <c r="H577" i="3" a="1"/>
  <c r="H577" i="3"/>
  <c r="H578" i="3" a="1"/>
  <c r="H578" i="3"/>
  <c r="H579" i="3" a="1"/>
  <c r="H579" i="3"/>
  <c r="H580" i="3" a="1"/>
  <c r="H580" i="3"/>
  <c r="H581" i="3" a="1"/>
  <c r="H581" i="3"/>
  <c r="H582" i="3" a="1"/>
  <c r="H582" i="3"/>
  <c r="H583" i="3" a="1"/>
  <c r="H583" i="3"/>
  <c r="H584" i="3" a="1"/>
  <c r="H584" i="3"/>
  <c r="H585" i="3" a="1"/>
  <c r="H585" i="3"/>
  <c r="H586" i="3" a="1"/>
  <c r="H586" i="3"/>
  <c r="H587" i="3" a="1"/>
  <c r="H587" i="3"/>
  <c r="H588" i="3" a="1"/>
  <c r="H588" i="3"/>
  <c r="H589" i="3" a="1"/>
  <c r="H589" i="3"/>
  <c r="H590" i="3" a="1"/>
  <c r="H590" i="3"/>
  <c r="H591" i="3" a="1"/>
  <c r="H591" i="3"/>
  <c r="H592" i="3" a="1"/>
  <c r="H592" i="3"/>
  <c r="H593" i="3" a="1"/>
  <c r="H593" i="3"/>
  <c r="H594" i="3" a="1"/>
  <c r="H594" i="3"/>
  <c r="H595" i="3" a="1"/>
  <c r="H595" i="3"/>
  <c r="H596" i="3" a="1"/>
  <c r="H596" i="3"/>
  <c r="H597" i="3" a="1"/>
  <c r="H597" i="3"/>
  <c r="H598" i="3" a="1"/>
  <c r="H598" i="3"/>
  <c r="H599" i="3" a="1"/>
  <c r="H599" i="3"/>
  <c r="H600" i="3" a="1"/>
  <c r="H600" i="3"/>
  <c r="H601" i="3" a="1"/>
  <c r="H601" i="3"/>
  <c r="H602" i="3" a="1"/>
  <c r="H602" i="3"/>
  <c r="H603" i="3" a="1"/>
  <c r="H603" i="3"/>
  <c r="H604" i="3" a="1"/>
  <c r="H604" i="3"/>
  <c r="H605" i="3" a="1"/>
  <c r="H605" i="3"/>
  <c r="H606" i="3" a="1"/>
  <c r="H606" i="3"/>
  <c r="H607" i="3" a="1"/>
  <c r="H607" i="3"/>
  <c r="H608" i="3" a="1"/>
  <c r="H608" i="3"/>
  <c r="H609" i="3" a="1"/>
  <c r="H609" i="3"/>
  <c r="H610" i="3" a="1"/>
  <c r="H610" i="3"/>
  <c r="H611" i="3" a="1"/>
  <c r="H611" i="3"/>
  <c r="H612" i="3" a="1"/>
  <c r="H612" i="3"/>
  <c r="H613" i="3" a="1"/>
  <c r="H613" i="3"/>
  <c r="H614" i="3" a="1"/>
  <c r="H614" i="3"/>
  <c r="H615" i="3" a="1"/>
  <c r="H615" i="3"/>
  <c r="H616" i="3" a="1"/>
  <c r="H616" i="3"/>
  <c r="H617" i="3" a="1"/>
  <c r="H617" i="3"/>
  <c r="H618" i="3" a="1"/>
  <c r="H618" i="3"/>
  <c r="H619" i="3" a="1"/>
  <c r="H619" i="3"/>
  <c r="H620" i="3" a="1"/>
  <c r="H620" i="3"/>
  <c r="H621" i="3" a="1"/>
  <c r="H621" i="3"/>
  <c r="H622" i="3" a="1"/>
  <c r="H622" i="3"/>
  <c r="H623" i="3" a="1"/>
  <c r="H623" i="3"/>
  <c r="H624" i="3" a="1"/>
  <c r="H624" i="3"/>
  <c r="H625" i="3" a="1"/>
  <c r="H625" i="3"/>
  <c r="H626" i="3" a="1"/>
  <c r="H626" i="3"/>
  <c r="H627" i="3" a="1"/>
  <c r="H627" i="3"/>
  <c r="H628" i="3" a="1"/>
  <c r="H628" i="3"/>
  <c r="H629" i="3" a="1"/>
  <c r="H629" i="3"/>
  <c r="H630" i="3" a="1"/>
  <c r="H630" i="3"/>
  <c r="H631" i="3" a="1"/>
  <c r="H631" i="3"/>
  <c r="H632" i="3" a="1"/>
  <c r="H632" i="3"/>
  <c r="H633" i="3" a="1"/>
  <c r="H633" i="3"/>
  <c r="H634" i="3" a="1"/>
  <c r="H634" i="3"/>
  <c r="H635" i="3" a="1"/>
  <c r="H635" i="3"/>
  <c r="H636" i="3" a="1"/>
  <c r="H636" i="3"/>
  <c r="H637" i="3" a="1"/>
  <c r="H637" i="3"/>
  <c r="H638" i="3" a="1"/>
  <c r="H638" i="3"/>
  <c r="H639" i="3" a="1"/>
  <c r="H639" i="3"/>
  <c r="H640" i="3" a="1"/>
  <c r="H640" i="3"/>
  <c r="H641" i="3" a="1"/>
  <c r="H641" i="3"/>
  <c r="H642" i="3" a="1"/>
  <c r="H642" i="3"/>
  <c r="H643" i="3" a="1"/>
  <c r="H643" i="3"/>
  <c r="H644" i="3" a="1"/>
  <c r="H644" i="3"/>
  <c r="H645" i="3" a="1"/>
  <c r="H645" i="3"/>
  <c r="H646" i="3" a="1"/>
  <c r="H646" i="3"/>
  <c r="H647" i="3" a="1"/>
  <c r="H647" i="3"/>
  <c r="H648" i="3" a="1"/>
  <c r="H648" i="3"/>
  <c r="H649" i="3" a="1"/>
  <c r="H649" i="3"/>
  <c r="H650" i="3" a="1"/>
  <c r="H650" i="3"/>
  <c r="H651" i="3" a="1"/>
  <c r="H651" i="3"/>
  <c r="H652" i="3" a="1"/>
  <c r="H652" i="3"/>
  <c r="H653" i="3" a="1"/>
  <c r="H653" i="3"/>
  <c r="H654" i="3" a="1"/>
  <c r="H654" i="3"/>
  <c r="H655" i="3" a="1"/>
  <c r="H655" i="3"/>
  <c r="H656" i="3" a="1"/>
  <c r="H656" i="3"/>
  <c r="H657" i="3" a="1"/>
  <c r="H657" i="3"/>
  <c r="H658" i="3" a="1"/>
  <c r="H658" i="3"/>
  <c r="H659" i="3" a="1"/>
  <c r="H659" i="3"/>
  <c r="H660" i="3" a="1"/>
  <c r="H660" i="3"/>
  <c r="H661" i="3" a="1"/>
  <c r="H661" i="3"/>
  <c r="H662" i="3" a="1"/>
  <c r="H662" i="3"/>
  <c r="H663" i="3" a="1"/>
  <c r="H663" i="3"/>
  <c r="H664" i="3" a="1"/>
  <c r="H664" i="3"/>
  <c r="H665" i="3" a="1"/>
  <c r="H665" i="3"/>
  <c r="H666" i="3" a="1"/>
  <c r="H666" i="3"/>
  <c r="H667" i="3" a="1"/>
  <c r="H667" i="3"/>
  <c r="H668" i="3" a="1"/>
  <c r="H668" i="3"/>
  <c r="H669" i="3" a="1"/>
  <c r="H669" i="3"/>
  <c r="H670" i="3" a="1"/>
  <c r="H670" i="3"/>
  <c r="H671" i="3" a="1"/>
  <c r="H671" i="3"/>
  <c r="H672" i="3" a="1"/>
  <c r="H672" i="3"/>
  <c r="H673" i="3" a="1"/>
  <c r="H673" i="3"/>
  <c r="H674" i="3" a="1"/>
  <c r="H674" i="3"/>
  <c r="H675" i="3" a="1"/>
  <c r="H675" i="3"/>
  <c r="H676" i="3" a="1"/>
  <c r="H676" i="3"/>
  <c r="H677" i="3" a="1"/>
  <c r="H677" i="3"/>
  <c r="H678" i="3" a="1"/>
  <c r="H678" i="3"/>
  <c r="H679" i="3" a="1"/>
  <c r="H679" i="3"/>
  <c r="H680" i="3" a="1"/>
  <c r="H680" i="3"/>
  <c r="H681" i="3" a="1"/>
  <c r="H681" i="3"/>
  <c r="H682" i="3" a="1"/>
  <c r="H682" i="3"/>
  <c r="H683" i="3" a="1"/>
  <c r="H683" i="3"/>
  <c r="H684" i="3" a="1"/>
  <c r="H684" i="3"/>
  <c r="H685" i="3" a="1"/>
  <c r="H685" i="3"/>
  <c r="H686" i="3" a="1"/>
  <c r="H686" i="3"/>
  <c r="H687" i="3" a="1"/>
  <c r="H687" i="3"/>
  <c r="H688" i="3" a="1"/>
  <c r="H688" i="3"/>
  <c r="H689" i="3" a="1"/>
  <c r="H689" i="3"/>
  <c r="H690" i="3" a="1"/>
  <c r="H690" i="3"/>
  <c r="H691" i="3" a="1"/>
  <c r="H691" i="3"/>
  <c r="H692" i="3" a="1"/>
  <c r="H692" i="3"/>
  <c r="H693" i="3" a="1"/>
  <c r="H693" i="3"/>
  <c r="H694" i="3" a="1"/>
  <c r="H694" i="3"/>
  <c r="H695" i="3" a="1"/>
  <c r="H695" i="3"/>
  <c r="H696" i="3" a="1"/>
  <c r="H696" i="3"/>
  <c r="H697" i="3" a="1"/>
  <c r="H697" i="3"/>
  <c r="H698" i="3" a="1"/>
  <c r="H698" i="3"/>
  <c r="H699" i="3" a="1"/>
  <c r="H699" i="3"/>
  <c r="H700" i="3" a="1"/>
  <c r="H700" i="3"/>
  <c r="H701" i="3" a="1"/>
  <c r="H701" i="3"/>
  <c r="H702" i="3" a="1"/>
  <c r="H702" i="3"/>
  <c r="H703" i="3" a="1"/>
  <c r="H703" i="3"/>
  <c r="H704" i="3" a="1"/>
  <c r="H704" i="3"/>
  <c r="H705" i="3" a="1"/>
  <c r="H705" i="3"/>
  <c r="H706" i="3" a="1"/>
  <c r="H706" i="3"/>
  <c r="H707" i="3" a="1"/>
  <c r="H707" i="3"/>
  <c r="H708" i="3" a="1"/>
  <c r="H708" i="3"/>
  <c r="H709" i="3" a="1"/>
  <c r="H709" i="3"/>
  <c r="H710" i="3" a="1"/>
  <c r="H710" i="3"/>
  <c r="H711" i="3" a="1"/>
  <c r="H711" i="3"/>
  <c r="H712" i="3" a="1"/>
  <c r="H712" i="3"/>
  <c r="H713" i="3" a="1"/>
  <c r="H713" i="3"/>
  <c r="H714" i="3" a="1"/>
  <c r="H714" i="3"/>
  <c r="H715" i="3" a="1"/>
  <c r="H715" i="3"/>
  <c r="H716" i="3" a="1"/>
  <c r="H716" i="3"/>
  <c r="H717" i="3" a="1"/>
  <c r="H717" i="3"/>
  <c r="H718" i="3" a="1"/>
  <c r="H718" i="3"/>
  <c r="H719" i="3" a="1"/>
  <c r="H719" i="3"/>
  <c r="H720" i="3" a="1"/>
  <c r="H720" i="3"/>
  <c r="H721" i="3" a="1"/>
  <c r="H721" i="3"/>
  <c r="H722" i="3" a="1"/>
  <c r="H722" i="3"/>
  <c r="H723" i="3" a="1"/>
  <c r="H723" i="3"/>
  <c r="H724" i="3" a="1"/>
  <c r="H724" i="3"/>
  <c r="H725" i="3" a="1"/>
  <c r="H725" i="3"/>
  <c r="H726" i="3" a="1"/>
  <c r="H726" i="3"/>
  <c r="H727" i="3" a="1"/>
  <c r="H727" i="3"/>
  <c r="H728" i="3" a="1"/>
  <c r="H728" i="3"/>
  <c r="H729" i="3" a="1"/>
  <c r="H729" i="3"/>
  <c r="H730" i="3" a="1"/>
  <c r="H730" i="3"/>
  <c r="H731" i="3" a="1"/>
  <c r="H731" i="3"/>
  <c r="H732" i="3" a="1"/>
  <c r="H732" i="3"/>
  <c r="H733" i="3" a="1"/>
  <c r="H733" i="3"/>
  <c r="H734" i="3" a="1"/>
  <c r="H734" i="3"/>
  <c r="H735" i="3" a="1"/>
  <c r="H735" i="3"/>
  <c r="H736" i="3" a="1"/>
  <c r="H736" i="3"/>
  <c r="H737" i="3" a="1"/>
  <c r="H737" i="3"/>
  <c r="H738" i="3" a="1"/>
  <c r="H738" i="3"/>
  <c r="H739" i="3" a="1"/>
  <c r="H739" i="3"/>
  <c r="H740" i="3" a="1"/>
  <c r="H740" i="3"/>
  <c r="H741" i="3" a="1"/>
  <c r="H741" i="3"/>
  <c r="H742" i="3" a="1"/>
  <c r="H742" i="3"/>
  <c r="H743" i="3" a="1"/>
  <c r="H743" i="3"/>
  <c r="H744" i="3" a="1"/>
  <c r="H744" i="3"/>
  <c r="H745" i="3" a="1"/>
  <c r="H745" i="3"/>
  <c r="H746" i="3" a="1"/>
  <c r="H746" i="3"/>
  <c r="H747" i="3" a="1"/>
  <c r="H747" i="3"/>
  <c r="H748" i="3" a="1"/>
  <c r="H748" i="3"/>
  <c r="H749" i="3" a="1"/>
  <c r="H749" i="3"/>
  <c r="H750" i="3" a="1"/>
  <c r="H750" i="3"/>
  <c r="H751" i="3" a="1"/>
  <c r="H751" i="3"/>
  <c r="H752" i="3" a="1"/>
  <c r="H752" i="3"/>
  <c r="H753" i="3" a="1"/>
  <c r="H753" i="3"/>
  <c r="H754" i="3" a="1"/>
  <c r="H754" i="3"/>
  <c r="H755" i="3" a="1"/>
  <c r="H755" i="3"/>
  <c r="H756" i="3" a="1"/>
  <c r="H756" i="3"/>
  <c r="H757" i="3" a="1"/>
  <c r="H757" i="3"/>
  <c r="H758" i="3" a="1"/>
  <c r="H758" i="3"/>
  <c r="H759" i="3" a="1"/>
  <c r="H759" i="3"/>
  <c r="H760" i="3" a="1"/>
  <c r="H760" i="3"/>
  <c r="H761" i="3" a="1"/>
  <c r="H761" i="3"/>
  <c r="H762" i="3" a="1"/>
  <c r="H762" i="3"/>
  <c r="H763" i="3" a="1"/>
  <c r="H763" i="3"/>
  <c r="H764" i="3" a="1"/>
  <c r="H764" i="3"/>
  <c r="H765" i="3" a="1"/>
  <c r="H765" i="3"/>
  <c r="H766" i="3" a="1"/>
  <c r="H766" i="3"/>
  <c r="H767" i="3" a="1"/>
  <c r="H767" i="3"/>
  <c r="H768" i="3" a="1"/>
  <c r="H768" i="3"/>
  <c r="H769" i="3" a="1"/>
  <c r="H769" i="3"/>
  <c r="H770" i="3" a="1"/>
  <c r="H770" i="3"/>
  <c r="H771" i="3" a="1"/>
  <c r="H771" i="3"/>
  <c r="H772" i="3" a="1"/>
  <c r="H772" i="3"/>
  <c r="H773" i="3" a="1"/>
  <c r="H773" i="3"/>
  <c r="H774" i="3" a="1"/>
  <c r="H774" i="3"/>
  <c r="H775" i="3" a="1"/>
  <c r="H775" i="3"/>
  <c r="H776" i="3" a="1"/>
  <c r="H776" i="3"/>
  <c r="H777" i="3" a="1"/>
  <c r="H777" i="3"/>
  <c r="H778" i="3" a="1"/>
  <c r="H778" i="3"/>
  <c r="H779" i="3" a="1"/>
  <c r="H779" i="3"/>
  <c r="H780" i="3" a="1"/>
  <c r="H780" i="3"/>
  <c r="H781" i="3" a="1"/>
  <c r="H781" i="3"/>
  <c r="H782" i="3" a="1"/>
  <c r="H782" i="3"/>
  <c r="H783" i="3" a="1"/>
  <c r="H783" i="3"/>
  <c r="H784" i="3" a="1"/>
  <c r="H784" i="3"/>
  <c r="H785" i="3" a="1"/>
  <c r="H785" i="3"/>
  <c r="H786" i="3" a="1"/>
  <c r="H786" i="3"/>
  <c r="H787" i="3" a="1"/>
  <c r="H787" i="3"/>
  <c r="H788" i="3" a="1"/>
  <c r="H788" i="3"/>
  <c r="H789" i="3" a="1"/>
  <c r="H789" i="3"/>
  <c r="H790" i="3" a="1"/>
  <c r="H790" i="3"/>
  <c r="H791" i="3" a="1"/>
  <c r="H791" i="3"/>
  <c r="H792" i="3" a="1"/>
  <c r="H792" i="3"/>
  <c r="H793" i="3" a="1"/>
  <c r="H793" i="3"/>
  <c r="H794" i="3" a="1"/>
  <c r="H794" i="3"/>
  <c r="H795" i="3" a="1"/>
  <c r="H795" i="3"/>
  <c r="H796" i="3" a="1"/>
  <c r="H796" i="3"/>
  <c r="H797" i="3" a="1"/>
  <c r="H797" i="3"/>
  <c r="H798" i="3" a="1"/>
  <c r="H798" i="3"/>
  <c r="H799" i="3" a="1"/>
  <c r="H799" i="3"/>
  <c r="H800" i="3" a="1"/>
  <c r="H800" i="3"/>
  <c r="H801" i="3" a="1"/>
  <c r="H801" i="3"/>
  <c r="H802" i="3" a="1"/>
  <c r="H802" i="3"/>
  <c r="H803" i="3" a="1"/>
  <c r="H803" i="3"/>
  <c r="H804" i="3" a="1"/>
  <c r="H804" i="3"/>
  <c r="H805" i="3" a="1"/>
  <c r="H805" i="3"/>
  <c r="H806" i="3" a="1"/>
  <c r="H806" i="3"/>
  <c r="H807" i="3" a="1"/>
  <c r="H807" i="3"/>
  <c r="H808" i="3" a="1"/>
  <c r="H808" i="3"/>
  <c r="H809" i="3" a="1"/>
  <c r="H809" i="3"/>
  <c r="H810" i="3" a="1"/>
  <c r="H810" i="3"/>
  <c r="H811" i="3" a="1"/>
  <c r="H811" i="3"/>
  <c r="H812" i="3" a="1"/>
  <c r="H812" i="3"/>
  <c r="H813" i="3" a="1"/>
  <c r="H813" i="3"/>
  <c r="H814" i="3" a="1"/>
  <c r="H814" i="3"/>
  <c r="H815" i="3" a="1"/>
  <c r="H815" i="3"/>
  <c r="H816" i="3" a="1"/>
  <c r="H816" i="3"/>
  <c r="H817" i="3" a="1"/>
  <c r="H817" i="3"/>
  <c r="H818" i="3" a="1"/>
  <c r="H818" i="3"/>
  <c r="H819" i="3" a="1"/>
  <c r="H819" i="3"/>
  <c r="H820" i="3" a="1"/>
  <c r="H820" i="3"/>
  <c r="H821" i="3" a="1"/>
  <c r="H821" i="3"/>
  <c r="H822" i="3" a="1"/>
  <c r="H822" i="3"/>
  <c r="H823" i="3" a="1"/>
  <c r="H823" i="3"/>
  <c r="H824" i="3" a="1"/>
  <c r="H824" i="3"/>
  <c r="H825" i="3" a="1"/>
  <c r="H825" i="3"/>
  <c r="H826" i="3" a="1"/>
  <c r="H826" i="3"/>
  <c r="H827" i="3" a="1"/>
  <c r="H827" i="3"/>
  <c r="H828" i="3" a="1"/>
  <c r="H828" i="3"/>
  <c r="H829" i="3" a="1"/>
  <c r="H829" i="3"/>
  <c r="H830" i="3" a="1"/>
  <c r="H830" i="3"/>
  <c r="H831" i="3" a="1"/>
  <c r="H831" i="3"/>
  <c r="H832" i="3" a="1"/>
  <c r="H832" i="3"/>
  <c r="H833" i="3" a="1"/>
  <c r="H833" i="3"/>
  <c r="H834" i="3" a="1"/>
  <c r="H834" i="3"/>
  <c r="H835" i="3" a="1"/>
  <c r="H835" i="3"/>
  <c r="H836" i="3" a="1"/>
  <c r="H836" i="3"/>
  <c r="H837" i="3" a="1"/>
  <c r="H837" i="3"/>
  <c r="H838" i="3" a="1"/>
  <c r="H838" i="3"/>
  <c r="H839" i="3" a="1"/>
  <c r="H839" i="3"/>
  <c r="H840" i="3" a="1"/>
  <c r="H840" i="3"/>
  <c r="H841" i="3" a="1"/>
  <c r="H841" i="3"/>
  <c r="H842" i="3" a="1"/>
  <c r="H842" i="3"/>
  <c r="H843" i="3" a="1"/>
  <c r="H843" i="3"/>
  <c r="H844" i="3" a="1"/>
  <c r="H844" i="3"/>
  <c r="H845" i="3" a="1"/>
  <c r="H845" i="3"/>
  <c r="H846" i="3" a="1"/>
  <c r="H846" i="3"/>
  <c r="H847" i="3" a="1"/>
  <c r="H847" i="3"/>
  <c r="H848" i="3" a="1"/>
  <c r="H848" i="3"/>
  <c r="H849" i="3" a="1"/>
  <c r="H849" i="3"/>
  <c r="H850" i="3" a="1"/>
  <c r="H850" i="3"/>
  <c r="H851" i="3" a="1"/>
  <c r="H851" i="3"/>
  <c r="H852" i="3" a="1"/>
  <c r="H852" i="3"/>
  <c r="H853" i="3" a="1"/>
  <c r="H853" i="3"/>
  <c r="H854" i="3" a="1"/>
  <c r="H854" i="3"/>
  <c r="H855" i="3" a="1"/>
  <c r="H855" i="3"/>
  <c r="H856" i="3" a="1"/>
  <c r="H856" i="3"/>
  <c r="H857" i="3" a="1"/>
  <c r="H857" i="3"/>
  <c r="H858" i="3" a="1"/>
  <c r="H858" i="3"/>
  <c r="H859" i="3" a="1"/>
  <c r="H859" i="3"/>
  <c r="H860" i="3" a="1"/>
  <c r="H860" i="3"/>
  <c r="H861" i="3" a="1"/>
  <c r="H861" i="3"/>
  <c r="H862" i="3" a="1"/>
  <c r="H862" i="3"/>
  <c r="H863" i="3" a="1"/>
  <c r="H863" i="3"/>
  <c r="H864" i="3" a="1"/>
  <c r="H864" i="3"/>
  <c r="H865" i="3" a="1"/>
  <c r="H865" i="3"/>
  <c r="H866" i="3" a="1"/>
  <c r="H866" i="3"/>
  <c r="H867" i="3" a="1"/>
  <c r="H867" i="3"/>
  <c r="H868" i="3" a="1"/>
  <c r="H868" i="3"/>
  <c r="H869" i="3" a="1"/>
  <c r="H869" i="3"/>
  <c r="H870" i="3" a="1"/>
  <c r="H870" i="3"/>
  <c r="H871" i="3" a="1"/>
  <c r="H871" i="3"/>
  <c r="H872" i="3" a="1"/>
  <c r="H872" i="3"/>
  <c r="H873" i="3" a="1"/>
  <c r="H873" i="3"/>
  <c r="H874" i="3" a="1"/>
  <c r="H874" i="3"/>
  <c r="H875" i="3" a="1"/>
  <c r="H875" i="3"/>
  <c r="H876" i="3" a="1"/>
  <c r="H876" i="3"/>
  <c r="H877" i="3" a="1"/>
  <c r="H877" i="3"/>
  <c r="H878" i="3" a="1"/>
  <c r="H878" i="3"/>
  <c r="H879" i="3" a="1"/>
  <c r="H879" i="3"/>
  <c r="H880" i="3" a="1"/>
  <c r="H880" i="3"/>
  <c r="H881" i="3" a="1"/>
  <c r="H881" i="3"/>
  <c r="H882" i="3" a="1"/>
  <c r="H882" i="3"/>
  <c r="H883" i="3" a="1"/>
  <c r="H883" i="3"/>
  <c r="H884" i="3" a="1"/>
  <c r="H884" i="3"/>
  <c r="H885" i="3" a="1"/>
  <c r="H885" i="3"/>
  <c r="H886" i="3" a="1"/>
  <c r="H886" i="3"/>
  <c r="H887" i="3" a="1"/>
  <c r="H887" i="3"/>
  <c r="H888" i="3" a="1"/>
  <c r="H888" i="3"/>
  <c r="H889" i="3" a="1"/>
  <c r="H889" i="3"/>
  <c r="H890" i="3" a="1"/>
  <c r="H890" i="3"/>
  <c r="H891" i="3" a="1"/>
  <c r="H891" i="3"/>
  <c r="H892" i="3" a="1"/>
  <c r="H892" i="3"/>
  <c r="H893" i="3" a="1"/>
  <c r="H893" i="3"/>
  <c r="H894" i="3" a="1"/>
  <c r="H894" i="3"/>
  <c r="H895" i="3" a="1"/>
  <c r="H895" i="3"/>
  <c r="H896" i="3" a="1"/>
  <c r="H896" i="3"/>
  <c r="H897" i="3" a="1"/>
  <c r="H897" i="3"/>
  <c r="H898" i="3" a="1"/>
  <c r="H898" i="3"/>
  <c r="H899" i="3" a="1"/>
  <c r="H899" i="3"/>
  <c r="H900" i="3" a="1"/>
  <c r="H900" i="3"/>
  <c r="H901" i="3" a="1"/>
  <c r="H901" i="3"/>
  <c r="H902" i="3" a="1"/>
  <c r="H902" i="3"/>
  <c r="H903" i="3" a="1"/>
  <c r="H903" i="3"/>
  <c r="H904" i="3" a="1"/>
  <c r="H904" i="3"/>
  <c r="H905" i="3" a="1"/>
  <c r="H905" i="3"/>
  <c r="H906" i="3" a="1"/>
  <c r="H906" i="3"/>
  <c r="H907" i="3" a="1"/>
  <c r="H907" i="3"/>
  <c r="H908" i="3" a="1"/>
  <c r="H908" i="3"/>
  <c r="H909" i="3" a="1"/>
  <c r="H909" i="3"/>
  <c r="H910" i="3" a="1"/>
  <c r="H910" i="3"/>
  <c r="H911" i="3" a="1"/>
  <c r="H911" i="3"/>
  <c r="H912" i="3" a="1"/>
  <c r="H912" i="3"/>
  <c r="H913" i="3" a="1"/>
  <c r="H913" i="3"/>
  <c r="H914" i="3" a="1"/>
  <c r="H914" i="3"/>
  <c r="H915" i="3" a="1"/>
  <c r="H915" i="3"/>
  <c r="H916" i="3" a="1"/>
  <c r="H916" i="3"/>
  <c r="H917" i="3" a="1"/>
  <c r="H917" i="3"/>
  <c r="H918" i="3" a="1"/>
  <c r="H918" i="3"/>
  <c r="H919" i="3" a="1"/>
  <c r="H919" i="3"/>
  <c r="H920" i="3" a="1"/>
  <c r="H920" i="3"/>
  <c r="H921" i="3" a="1"/>
  <c r="H921" i="3"/>
  <c r="H922" i="3" a="1"/>
  <c r="H922" i="3"/>
  <c r="H923" i="3" a="1"/>
  <c r="H923" i="3"/>
  <c r="H924" i="3" a="1"/>
  <c r="H924" i="3"/>
  <c r="H925" i="3" a="1"/>
  <c r="H925" i="3"/>
  <c r="H926" i="3" a="1"/>
  <c r="H926" i="3"/>
  <c r="H927" i="3" a="1"/>
  <c r="H927" i="3"/>
  <c r="H928" i="3" a="1"/>
  <c r="H928" i="3"/>
  <c r="H929" i="3" a="1"/>
  <c r="H929" i="3"/>
  <c r="H930" i="3" a="1"/>
  <c r="H930" i="3"/>
  <c r="H931" i="3" a="1"/>
  <c r="H931" i="3"/>
  <c r="H932" i="3" a="1"/>
  <c r="H932" i="3"/>
  <c r="H933" i="3" a="1"/>
  <c r="H933" i="3"/>
  <c r="H934" i="3" a="1"/>
  <c r="H934" i="3"/>
  <c r="H935" i="3" a="1"/>
  <c r="H935" i="3"/>
  <c r="H936" i="3" a="1"/>
  <c r="H936" i="3"/>
  <c r="H937" i="3" a="1"/>
  <c r="H937" i="3"/>
  <c r="H938" i="3" a="1"/>
  <c r="H938" i="3"/>
  <c r="H939" i="3" a="1"/>
  <c r="H939" i="3"/>
  <c r="H940" i="3" a="1"/>
  <c r="H940" i="3"/>
  <c r="H941" i="3" a="1"/>
  <c r="H941" i="3"/>
  <c r="H942" i="3" a="1"/>
  <c r="H942" i="3"/>
  <c r="H943" i="3" a="1"/>
  <c r="H943" i="3"/>
  <c r="H944" i="3" a="1"/>
  <c r="H944" i="3"/>
  <c r="H945" i="3" a="1"/>
  <c r="H945" i="3"/>
  <c r="H946" i="3" a="1"/>
  <c r="H946" i="3"/>
  <c r="H947" i="3" a="1"/>
  <c r="H947" i="3"/>
  <c r="H948" i="3" a="1"/>
  <c r="H948" i="3"/>
  <c r="H949" i="3" a="1"/>
  <c r="H949" i="3"/>
  <c r="H950" i="3" a="1"/>
  <c r="H950" i="3"/>
  <c r="H951" i="3" a="1"/>
  <c r="H951" i="3"/>
  <c r="H952" i="3" a="1"/>
  <c r="H952" i="3"/>
  <c r="H953" i="3" a="1"/>
  <c r="H953" i="3"/>
  <c r="H954" i="3" a="1"/>
  <c r="H954" i="3"/>
  <c r="H955" i="3" a="1"/>
  <c r="H955" i="3"/>
  <c r="H956" i="3" a="1"/>
  <c r="H956" i="3"/>
  <c r="H957" i="3" a="1"/>
  <c r="H957" i="3"/>
  <c r="H958" i="3" a="1"/>
  <c r="H958" i="3"/>
  <c r="H959" i="3" a="1"/>
  <c r="H959" i="3"/>
  <c r="H960" i="3" a="1"/>
  <c r="H960" i="3"/>
  <c r="H961" i="3" a="1"/>
  <c r="H961" i="3"/>
  <c r="H962" i="3" a="1"/>
  <c r="H962" i="3"/>
  <c r="H963" i="3" a="1"/>
  <c r="H963" i="3"/>
  <c r="H964" i="3" a="1"/>
  <c r="H964" i="3"/>
  <c r="H965" i="3" a="1"/>
  <c r="H965" i="3"/>
  <c r="H966" i="3" a="1"/>
  <c r="H966" i="3"/>
  <c r="H967" i="3" a="1"/>
  <c r="H967" i="3"/>
  <c r="H968" i="3" a="1"/>
  <c r="H968" i="3"/>
  <c r="H969" i="3" a="1"/>
  <c r="H969" i="3"/>
  <c r="H970" i="3" a="1"/>
  <c r="H970" i="3"/>
  <c r="H971" i="3" a="1"/>
  <c r="H971" i="3"/>
  <c r="H972" i="3" a="1"/>
  <c r="H972" i="3"/>
  <c r="H973" i="3" a="1"/>
  <c r="H973" i="3"/>
  <c r="H974" i="3" a="1"/>
  <c r="H974" i="3"/>
  <c r="H975" i="3" a="1"/>
  <c r="H975" i="3"/>
  <c r="H976" i="3" a="1"/>
  <c r="H976" i="3"/>
  <c r="H977" i="3" a="1"/>
  <c r="H977" i="3"/>
  <c r="H978" i="3" a="1"/>
  <c r="H978" i="3"/>
  <c r="H979" i="3" a="1"/>
  <c r="H979" i="3"/>
  <c r="H980" i="3" a="1"/>
  <c r="H980" i="3"/>
  <c r="H981" i="3" a="1"/>
  <c r="H981" i="3"/>
  <c r="H982" i="3" a="1"/>
  <c r="H982" i="3"/>
  <c r="H983" i="3" a="1"/>
  <c r="H983" i="3"/>
  <c r="H984" i="3" a="1"/>
  <c r="H984" i="3"/>
  <c r="H985" i="3" a="1"/>
  <c r="H985" i="3"/>
  <c r="H986" i="3" a="1"/>
  <c r="H986" i="3"/>
  <c r="H987" i="3" a="1"/>
  <c r="H987" i="3"/>
  <c r="H988" i="3" a="1"/>
  <c r="H988" i="3"/>
  <c r="H989" i="3" a="1"/>
  <c r="H989" i="3"/>
  <c r="H990" i="3" a="1"/>
  <c r="H990" i="3"/>
  <c r="H991" i="3" a="1"/>
  <c r="H991" i="3"/>
  <c r="H992" i="3" a="1"/>
  <c r="H992" i="3"/>
  <c r="H993" i="3" a="1"/>
  <c r="H993" i="3"/>
  <c r="H994" i="3" a="1"/>
  <c r="H994" i="3"/>
  <c r="H995" i="3" a="1"/>
  <c r="H995" i="3"/>
  <c r="H996" i="3" a="1"/>
  <c r="H996" i="3"/>
  <c r="H997" i="3" a="1"/>
  <c r="H997" i="3"/>
  <c r="H998" i="3" a="1"/>
  <c r="H998" i="3"/>
  <c r="H999" i="3" a="1"/>
  <c r="H999" i="3"/>
  <c r="H1000" i="3" a="1"/>
  <c r="H1000" i="3"/>
  <c r="H1001" i="3" a="1"/>
  <c r="H1001" i="3"/>
  <c r="H2" i="3" a="1"/>
  <c r="H2" i="3"/>
  <c r="R2" i="1" a="1"/>
  <c r="R2" i="1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8" i="3"/>
  <c r="G9" i="3"/>
  <c r="G10" i="3"/>
  <c r="G11" i="3"/>
  <c r="G12" i="3"/>
  <c r="G5" i="3"/>
  <c r="G6" i="3"/>
  <c r="G7" i="3"/>
  <c r="G4" i="3"/>
  <c r="G3" i="3"/>
  <c r="G2" i="3"/>
  <c r="C3" i="2"/>
  <c r="C4" i="2"/>
  <c r="C5" i="2"/>
  <c r="C2" i="2"/>
  <c r="R5" i="1" a="1"/>
  <c r="R5" i="1"/>
  <c r="R6" i="1" a="1"/>
  <c r="R6" i="1"/>
  <c r="R7" i="1" a="1"/>
  <c r="R7" i="1"/>
  <c r="R8" i="1" a="1"/>
  <c r="R8" i="1"/>
  <c r="R9" i="1" a="1"/>
  <c r="R9" i="1"/>
  <c r="R10" i="1" a="1"/>
  <c r="R10" i="1"/>
  <c r="R11" i="1" a="1"/>
  <c r="R11" i="1"/>
  <c r="R12" i="1" a="1"/>
  <c r="R12" i="1"/>
  <c r="R13" i="1" a="1"/>
  <c r="R13" i="1"/>
  <c r="R14" i="1" a="1"/>
  <c r="R14" i="1"/>
  <c r="R15" i="1" a="1"/>
  <c r="R15" i="1"/>
  <c r="R16" i="1" a="1"/>
  <c r="R16" i="1"/>
  <c r="R17" i="1" a="1"/>
  <c r="R17" i="1"/>
  <c r="R18" i="1" a="1"/>
  <c r="R18" i="1"/>
  <c r="R19" i="1" a="1"/>
  <c r="R19" i="1"/>
  <c r="R20" i="1" a="1"/>
  <c r="R20" i="1"/>
  <c r="R21" i="1" a="1"/>
  <c r="R21" i="1"/>
  <c r="R22" i="1" a="1"/>
  <c r="R22" i="1"/>
  <c r="R23" i="1" a="1"/>
  <c r="R23" i="1"/>
  <c r="R24" i="1" a="1"/>
  <c r="R24" i="1"/>
  <c r="R25" i="1" a="1"/>
  <c r="R25" i="1"/>
  <c r="R26" i="1" a="1"/>
  <c r="R26" i="1"/>
  <c r="R27" i="1" a="1"/>
  <c r="R27" i="1"/>
  <c r="R28" i="1" a="1"/>
  <c r="R28" i="1"/>
  <c r="R29" i="1" a="1"/>
  <c r="R29" i="1"/>
  <c r="R30" i="1" a="1"/>
  <c r="R30" i="1"/>
  <c r="R31" i="1" a="1"/>
  <c r="R31" i="1"/>
  <c r="R32" i="1" a="1"/>
  <c r="R32" i="1"/>
  <c r="R33" i="1" a="1"/>
  <c r="R33" i="1"/>
  <c r="R34" i="1" a="1"/>
  <c r="R34" i="1"/>
  <c r="R35" i="1" a="1"/>
  <c r="R35" i="1"/>
  <c r="R36" i="1" a="1"/>
  <c r="R36" i="1"/>
  <c r="R37" i="1" a="1"/>
  <c r="R37" i="1"/>
  <c r="R38" i="1" a="1"/>
  <c r="R38" i="1"/>
  <c r="R39" i="1" a="1"/>
  <c r="R39" i="1"/>
  <c r="R40" i="1" a="1"/>
  <c r="R40" i="1"/>
  <c r="R41" i="1" a="1"/>
  <c r="R41" i="1"/>
  <c r="R42" i="1" a="1"/>
  <c r="R42" i="1"/>
  <c r="R43" i="1" a="1"/>
  <c r="R43" i="1"/>
  <c r="R44" i="1" a="1"/>
  <c r="R44" i="1"/>
  <c r="R45" i="1" a="1"/>
  <c r="R45" i="1"/>
  <c r="R46" i="1" a="1"/>
  <c r="R46" i="1"/>
  <c r="R47" i="1" a="1"/>
  <c r="R47" i="1"/>
  <c r="R48" i="1" a="1"/>
  <c r="R48" i="1"/>
  <c r="R49" i="1" a="1"/>
  <c r="R49" i="1"/>
  <c r="R50" i="1" a="1"/>
  <c r="R50" i="1"/>
  <c r="R51" i="1" a="1"/>
  <c r="R51" i="1"/>
  <c r="R52" i="1" a="1"/>
  <c r="R52" i="1"/>
  <c r="R53" i="1" a="1"/>
  <c r="R53" i="1"/>
  <c r="R54" i="1" a="1"/>
  <c r="R54" i="1"/>
  <c r="R55" i="1" a="1"/>
  <c r="R55" i="1"/>
  <c r="R56" i="1" a="1"/>
  <c r="R56" i="1"/>
  <c r="R57" i="1" a="1"/>
  <c r="R57" i="1"/>
  <c r="R58" i="1" a="1"/>
  <c r="R58" i="1"/>
  <c r="R59" i="1" a="1"/>
  <c r="R59" i="1"/>
  <c r="R60" i="1" a="1"/>
  <c r="R60" i="1"/>
  <c r="R61" i="1" a="1"/>
  <c r="R61" i="1"/>
  <c r="R62" i="1" a="1"/>
  <c r="R62" i="1"/>
  <c r="R63" i="1" a="1"/>
  <c r="R63" i="1"/>
  <c r="R64" i="1" a="1"/>
  <c r="R64" i="1"/>
  <c r="R65" i="1" a="1"/>
  <c r="R65" i="1"/>
  <c r="R66" i="1" a="1"/>
  <c r="R66" i="1"/>
  <c r="R67" i="1" a="1"/>
  <c r="R67" i="1"/>
  <c r="R68" i="1" a="1"/>
  <c r="R68" i="1"/>
  <c r="R69" i="1" a="1"/>
  <c r="R69" i="1"/>
  <c r="R70" i="1" a="1"/>
  <c r="R70" i="1"/>
  <c r="R71" i="1" a="1"/>
  <c r="R71" i="1"/>
  <c r="R72" i="1" a="1"/>
  <c r="R72" i="1"/>
  <c r="R73" i="1" a="1"/>
  <c r="R73" i="1"/>
  <c r="R74" i="1" a="1"/>
  <c r="R74" i="1"/>
  <c r="R75" i="1" a="1"/>
  <c r="R75" i="1"/>
  <c r="R76" i="1" a="1"/>
  <c r="R76" i="1"/>
  <c r="R77" i="1" a="1"/>
  <c r="R77" i="1"/>
  <c r="R78" i="1" a="1"/>
  <c r="R78" i="1"/>
  <c r="R79" i="1" a="1"/>
  <c r="R79" i="1"/>
  <c r="R80" i="1" a="1"/>
  <c r="R80" i="1"/>
  <c r="R81" i="1" a="1"/>
  <c r="R81" i="1"/>
  <c r="R82" i="1" a="1"/>
  <c r="R82" i="1"/>
  <c r="R83" i="1" a="1"/>
  <c r="R83" i="1"/>
  <c r="R84" i="1" a="1"/>
  <c r="R84" i="1"/>
  <c r="R85" i="1" a="1"/>
  <c r="R85" i="1"/>
  <c r="R86" i="1" a="1"/>
  <c r="R86" i="1"/>
  <c r="R87" i="1" a="1"/>
  <c r="R87" i="1"/>
  <c r="R88" i="1" a="1"/>
  <c r="R88" i="1"/>
  <c r="R89" i="1" a="1"/>
  <c r="R89" i="1"/>
  <c r="R90" i="1" a="1"/>
  <c r="R90" i="1"/>
  <c r="R91" i="1" a="1"/>
  <c r="R91" i="1"/>
  <c r="R92" i="1" a="1"/>
  <c r="R92" i="1"/>
  <c r="R93" i="1" a="1"/>
  <c r="R93" i="1"/>
  <c r="R94" i="1" a="1"/>
  <c r="R94" i="1"/>
  <c r="R95" i="1" a="1"/>
  <c r="R95" i="1"/>
  <c r="R96" i="1" a="1"/>
  <c r="R96" i="1"/>
  <c r="R97" i="1" a="1"/>
  <c r="R97" i="1"/>
  <c r="R98" i="1" a="1"/>
  <c r="R98" i="1"/>
  <c r="R99" i="1" a="1"/>
  <c r="R99" i="1"/>
  <c r="R100" i="1" a="1"/>
  <c r="R100" i="1"/>
  <c r="R101" i="1" a="1"/>
  <c r="R101" i="1"/>
  <c r="R102" i="1" a="1"/>
  <c r="R102" i="1"/>
  <c r="R103" i="1" a="1"/>
  <c r="R103" i="1"/>
  <c r="R104" i="1" a="1"/>
  <c r="R104" i="1"/>
  <c r="R105" i="1" a="1"/>
  <c r="R105" i="1"/>
  <c r="R106" i="1" a="1"/>
  <c r="R106" i="1"/>
  <c r="R107" i="1" a="1"/>
  <c r="R107" i="1"/>
  <c r="R108" i="1" a="1"/>
  <c r="R108" i="1"/>
  <c r="R109" i="1" a="1"/>
  <c r="R109" i="1"/>
  <c r="R110" i="1" a="1"/>
  <c r="R110" i="1"/>
  <c r="R111" i="1" a="1"/>
  <c r="R111" i="1"/>
  <c r="R112" i="1" a="1"/>
  <c r="R112" i="1"/>
  <c r="R113" i="1" a="1"/>
  <c r="R113" i="1"/>
  <c r="R114" i="1" a="1"/>
  <c r="R114" i="1"/>
  <c r="R115" i="1" a="1"/>
  <c r="R115" i="1"/>
  <c r="R116" i="1" a="1"/>
  <c r="R116" i="1"/>
  <c r="R117" i="1" a="1"/>
  <c r="R117" i="1"/>
  <c r="R118" i="1" a="1"/>
  <c r="R118" i="1"/>
  <c r="R119" i="1" a="1"/>
  <c r="R119" i="1"/>
  <c r="R120" i="1" a="1"/>
  <c r="R120" i="1"/>
  <c r="R121" i="1" a="1"/>
  <c r="R121" i="1"/>
  <c r="R122" i="1" a="1"/>
  <c r="R122" i="1"/>
  <c r="R123" i="1" a="1"/>
  <c r="R123" i="1"/>
  <c r="R124" i="1" a="1"/>
  <c r="R124" i="1"/>
  <c r="R125" i="1" a="1"/>
  <c r="R125" i="1"/>
  <c r="R126" i="1" a="1"/>
  <c r="R126" i="1"/>
  <c r="R127" i="1" a="1"/>
  <c r="R127" i="1"/>
  <c r="R128" i="1" a="1"/>
  <c r="R128" i="1"/>
  <c r="R129" i="1" a="1"/>
  <c r="R129" i="1"/>
  <c r="R130" i="1" a="1"/>
  <c r="R130" i="1"/>
  <c r="R131" i="1" a="1"/>
  <c r="R131" i="1"/>
  <c r="R132" i="1" a="1"/>
  <c r="R132" i="1"/>
  <c r="R133" i="1" a="1"/>
  <c r="R133" i="1"/>
  <c r="R134" i="1" a="1"/>
  <c r="R134" i="1"/>
  <c r="R135" i="1" a="1"/>
  <c r="R135" i="1"/>
  <c r="R136" i="1" a="1"/>
  <c r="R136" i="1"/>
  <c r="R137" i="1" a="1"/>
  <c r="R137" i="1"/>
  <c r="R138" i="1" a="1"/>
  <c r="R138" i="1"/>
  <c r="R139" i="1" a="1"/>
  <c r="R139" i="1"/>
  <c r="R140" i="1" a="1"/>
  <c r="R140" i="1"/>
  <c r="R141" i="1" a="1"/>
  <c r="R141" i="1"/>
  <c r="R142" i="1" a="1"/>
  <c r="R142" i="1"/>
  <c r="R143" i="1" a="1"/>
  <c r="R143" i="1"/>
  <c r="R144" i="1" a="1"/>
  <c r="R144" i="1"/>
  <c r="R145" i="1" a="1"/>
  <c r="R145" i="1"/>
  <c r="R146" i="1" a="1"/>
  <c r="R146" i="1"/>
  <c r="R147" i="1" a="1"/>
  <c r="R147" i="1"/>
  <c r="R148" i="1" a="1"/>
  <c r="R148" i="1"/>
  <c r="R149" i="1" a="1"/>
  <c r="R149" i="1"/>
  <c r="R150" i="1" a="1"/>
  <c r="R150" i="1"/>
  <c r="R151" i="1" a="1"/>
  <c r="R151" i="1"/>
  <c r="R152" i="1" a="1"/>
  <c r="R152" i="1"/>
  <c r="R153" i="1" a="1"/>
  <c r="R153" i="1"/>
  <c r="R154" i="1" a="1"/>
  <c r="R154" i="1"/>
  <c r="R155" i="1" a="1"/>
  <c r="R155" i="1"/>
  <c r="R156" i="1" a="1"/>
  <c r="R156" i="1"/>
  <c r="R157" i="1" a="1"/>
  <c r="R157" i="1"/>
  <c r="R158" i="1" a="1"/>
  <c r="R158" i="1"/>
  <c r="R159" i="1" a="1"/>
  <c r="R159" i="1"/>
  <c r="R160" i="1" a="1"/>
  <c r="R160" i="1"/>
  <c r="R161" i="1" a="1"/>
  <c r="R161" i="1"/>
  <c r="R162" i="1" a="1"/>
  <c r="R162" i="1"/>
  <c r="R163" i="1" a="1"/>
  <c r="R163" i="1"/>
  <c r="R164" i="1" a="1"/>
  <c r="R164" i="1"/>
  <c r="R165" i="1" a="1"/>
  <c r="R165" i="1"/>
  <c r="R166" i="1" a="1"/>
  <c r="R166" i="1"/>
  <c r="R167" i="1" a="1"/>
  <c r="R167" i="1"/>
  <c r="R168" i="1" a="1"/>
  <c r="R168" i="1"/>
  <c r="R169" i="1" a="1"/>
  <c r="R169" i="1"/>
  <c r="R170" i="1" a="1"/>
  <c r="R170" i="1"/>
  <c r="R171" i="1" a="1"/>
  <c r="R171" i="1"/>
  <c r="R172" i="1" a="1"/>
  <c r="R172" i="1"/>
  <c r="R173" i="1" a="1"/>
  <c r="R173" i="1"/>
  <c r="R174" i="1" a="1"/>
  <c r="R174" i="1"/>
  <c r="R175" i="1" a="1"/>
  <c r="R175" i="1"/>
  <c r="R176" i="1" a="1"/>
  <c r="R176" i="1"/>
  <c r="R177" i="1" a="1"/>
  <c r="R177" i="1"/>
  <c r="R178" i="1" a="1"/>
  <c r="R178" i="1"/>
  <c r="R179" i="1" a="1"/>
  <c r="R179" i="1"/>
  <c r="R180" i="1" a="1"/>
  <c r="R180" i="1"/>
  <c r="R181" i="1" a="1"/>
  <c r="R181" i="1"/>
  <c r="R182" i="1" a="1"/>
  <c r="R182" i="1"/>
  <c r="R183" i="1" a="1"/>
  <c r="R183" i="1"/>
  <c r="R184" i="1" a="1"/>
  <c r="R184" i="1"/>
  <c r="R185" i="1" a="1"/>
  <c r="R185" i="1"/>
  <c r="R186" i="1" a="1"/>
  <c r="R186" i="1"/>
  <c r="R187" i="1" a="1"/>
  <c r="R187" i="1"/>
  <c r="R188" i="1" a="1"/>
  <c r="R188" i="1"/>
  <c r="R189" i="1" a="1"/>
  <c r="R189" i="1"/>
  <c r="R190" i="1" a="1"/>
  <c r="R190" i="1"/>
  <c r="R191" i="1" a="1"/>
  <c r="R191" i="1"/>
  <c r="R192" i="1" a="1"/>
  <c r="R192" i="1"/>
  <c r="R193" i="1" a="1"/>
  <c r="R193" i="1"/>
  <c r="R194" i="1" a="1"/>
  <c r="R194" i="1"/>
  <c r="R195" i="1" a="1"/>
  <c r="R195" i="1"/>
  <c r="R196" i="1" a="1"/>
  <c r="R196" i="1"/>
  <c r="R197" i="1" a="1"/>
  <c r="R197" i="1"/>
  <c r="R198" i="1" a="1"/>
  <c r="R198" i="1"/>
  <c r="R199" i="1" a="1"/>
  <c r="R199" i="1"/>
  <c r="R200" i="1" a="1"/>
  <c r="R200" i="1"/>
  <c r="R201" i="1" a="1"/>
  <c r="R201" i="1"/>
  <c r="R202" i="1" a="1"/>
  <c r="R202" i="1"/>
  <c r="R203" i="1" a="1"/>
  <c r="R203" i="1"/>
  <c r="R204" i="1" a="1"/>
  <c r="R204" i="1"/>
  <c r="R205" i="1" a="1"/>
  <c r="R205" i="1"/>
  <c r="R206" i="1" a="1"/>
  <c r="R206" i="1"/>
  <c r="R207" i="1" a="1"/>
  <c r="R207" i="1"/>
  <c r="R208" i="1" a="1"/>
  <c r="R208" i="1"/>
  <c r="R209" i="1" a="1"/>
  <c r="R209" i="1"/>
  <c r="R210" i="1" a="1"/>
  <c r="R210" i="1"/>
  <c r="R211" i="1" a="1"/>
  <c r="R211" i="1"/>
  <c r="R212" i="1" a="1"/>
  <c r="R212" i="1"/>
  <c r="R213" i="1" a="1"/>
  <c r="R213" i="1"/>
  <c r="R214" i="1" a="1"/>
  <c r="R214" i="1"/>
  <c r="R215" i="1" a="1"/>
  <c r="R215" i="1"/>
  <c r="R216" i="1" a="1"/>
  <c r="R216" i="1"/>
  <c r="R217" i="1" a="1"/>
  <c r="R217" i="1"/>
  <c r="R218" i="1" a="1"/>
  <c r="R218" i="1"/>
  <c r="R219" i="1" a="1"/>
  <c r="R219" i="1"/>
  <c r="R220" i="1" a="1"/>
  <c r="R220" i="1"/>
  <c r="R221" i="1" a="1"/>
  <c r="R221" i="1"/>
  <c r="R222" i="1" a="1"/>
  <c r="R222" i="1"/>
  <c r="R223" i="1" a="1"/>
  <c r="R223" i="1"/>
  <c r="R224" i="1" a="1"/>
  <c r="R224" i="1"/>
  <c r="R225" i="1" a="1"/>
  <c r="R225" i="1"/>
  <c r="R226" i="1" a="1"/>
  <c r="R226" i="1"/>
  <c r="R227" i="1" a="1"/>
  <c r="R227" i="1"/>
  <c r="R228" i="1" a="1"/>
  <c r="R228" i="1"/>
  <c r="R229" i="1" a="1"/>
  <c r="R229" i="1"/>
  <c r="R230" i="1" a="1"/>
  <c r="R230" i="1"/>
  <c r="R231" i="1" a="1"/>
  <c r="R231" i="1"/>
  <c r="R232" i="1" a="1"/>
  <c r="R232" i="1"/>
  <c r="R233" i="1" a="1"/>
  <c r="R233" i="1"/>
  <c r="R234" i="1" a="1"/>
  <c r="R234" i="1"/>
  <c r="R235" i="1" a="1"/>
  <c r="R235" i="1"/>
  <c r="R236" i="1" a="1"/>
  <c r="R236" i="1"/>
  <c r="R237" i="1" a="1"/>
  <c r="R237" i="1"/>
  <c r="R238" i="1" a="1"/>
  <c r="R238" i="1"/>
  <c r="R239" i="1" a="1"/>
  <c r="R239" i="1"/>
  <c r="R240" i="1" a="1"/>
  <c r="R240" i="1"/>
  <c r="R241" i="1" a="1"/>
  <c r="R241" i="1"/>
  <c r="R242" i="1" a="1"/>
  <c r="R242" i="1"/>
  <c r="R243" i="1" a="1"/>
  <c r="R243" i="1"/>
  <c r="R244" i="1" a="1"/>
  <c r="R244" i="1"/>
  <c r="R245" i="1" a="1"/>
  <c r="R245" i="1"/>
  <c r="R246" i="1" a="1"/>
  <c r="R246" i="1"/>
  <c r="R247" i="1" a="1"/>
  <c r="R247" i="1"/>
  <c r="R248" i="1" a="1"/>
  <c r="R248" i="1"/>
  <c r="R249" i="1" a="1"/>
  <c r="R249" i="1"/>
  <c r="R250" i="1" a="1"/>
  <c r="R250" i="1"/>
  <c r="R251" i="1" a="1"/>
  <c r="R251" i="1"/>
  <c r="R252" i="1" a="1"/>
  <c r="R252" i="1"/>
  <c r="R253" i="1" a="1"/>
  <c r="R253" i="1"/>
  <c r="R254" i="1" a="1"/>
  <c r="R254" i="1"/>
  <c r="R255" i="1" a="1"/>
  <c r="R255" i="1"/>
  <c r="R256" i="1" a="1"/>
  <c r="R256" i="1"/>
  <c r="R257" i="1" a="1"/>
  <c r="R257" i="1"/>
  <c r="R258" i="1" a="1"/>
  <c r="R258" i="1"/>
  <c r="R259" i="1" a="1"/>
  <c r="R259" i="1"/>
  <c r="R260" i="1" a="1"/>
  <c r="R260" i="1"/>
  <c r="R261" i="1" a="1"/>
  <c r="R261" i="1"/>
  <c r="R262" i="1" a="1"/>
  <c r="R262" i="1"/>
  <c r="R263" i="1" a="1"/>
  <c r="R263" i="1"/>
  <c r="R264" i="1" a="1"/>
  <c r="R264" i="1"/>
  <c r="R265" i="1" a="1"/>
  <c r="R265" i="1"/>
  <c r="R266" i="1" a="1"/>
  <c r="R266" i="1"/>
  <c r="R267" i="1" a="1"/>
  <c r="R267" i="1"/>
  <c r="R268" i="1" a="1"/>
  <c r="R268" i="1"/>
  <c r="R269" i="1" a="1"/>
  <c r="R269" i="1"/>
  <c r="R270" i="1" a="1"/>
  <c r="R270" i="1"/>
  <c r="R271" i="1" a="1"/>
  <c r="R271" i="1"/>
  <c r="R272" i="1" a="1"/>
  <c r="R272" i="1"/>
  <c r="R273" i="1" a="1"/>
  <c r="R273" i="1"/>
  <c r="R274" i="1" a="1"/>
  <c r="R274" i="1"/>
  <c r="R275" i="1" a="1"/>
  <c r="R275" i="1"/>
  <c r="R276" i="1" a="1"/>
  <c r="R276" i="1"/>
  <c r="R277" i="1" a="1"/>
  <c r="R277" i="1"/>
  <c r="R278" i="1" a="1"/>
  <c r="R278" i="1"/>
  <c r="R279" i="1" a="1"/>
  <c r="R279" i="1"/>
  <c r="R280" i="1" a="1"/>
  <c r="R280" i="1"/>
  <c r="R281" i="1" a="1"/>
  <c r="R281" i="1"/>
  <c r="R282" i="1" a="1"/>
  <c r="R282" i="1"/>
  <c r="R283" i="1" a="1"/>
  <c r="R283" i="1"/>
  <c r="R284" i="1" a="1"/>
  <c r="R284" i="1"/>
  <c r="R285" i="1" a="1"/>
  <c r="R285" i="1"/>
  <c r="R286" i="1" a="1"/>
  <c r="R286" i="1"/>
  <c r="R287" i="1" a="1"/>
  <c r="R287" i="1"/>
  <c r="R288" i="1" a="1"/>
  <c r="R288" i="1"/>
  <c r="R289" i="1" a="1"/>
  <c r="R289" i="1"/>
  <c r="R290" i="1" a="1"/>
  <c r="R290" i="1"/>
  <c r="R291" i="1" a="1"/>
  <c r="R291" i="1"/>
  <c r="R292" i="1" a="1"/>
  <c r="R292" i="1"/>
  <c r="R293" i="1" a="1"/>
  <c r="R293" i="1"/>
  <c r="R294" i="1" a="1"/>
  <c r="R294" i="1"/>
  <c r="R295" i="1" a="1"/>
  <c r="R295" i="1"/>
  <c r="R296" i="1" a="1"/>
  <c r="R296" i="1"/>
  <c r="R297" i="1" a="1"/>
  <c r="R297" i="1"/>
  <c r="R298" i="1" a="1"/>
  <c r="R298" i="1"/>
  <c r="R299" i="1" a="1"/>
  <c r="R299" i="1"/>
  <c r="R300" i="1" a="1"/>
  <c r="R300" i="1"/>
  <c r="R301" i="1" a="1"/>
  <c r="R301" i="1"/>
  <c r="R302" i="1" a="1"/>
  <c r="R302" i="1"/>
  <c r="R303" i="1" a="1"/>
  <c r="R303" i="1"/>
  <c r="R304" i="1" a="1"/>
  <c r="R304" i="1"/>
  <c r="R305" i="1" a="1"/>
  <c r="R305" i="1"/>
  <c r="R306" i="1" a="1"/>
  <c r="R306" i="1"/>
  <c r="R307" i="1" a="1"/>
  <c r="R307" i="1"/>
  <c r="R308" i="1" a="1"/>
  <c r="R308" i="1"/>
  <c r="R309" i="1" a="1"/>
  <c r="R309" i="1"/>
  <c r="R310" i="1" a="1"/>
  <c r="R310" i="1"/>
  <c r="R311" i="1" a="1"/>
  <c r="R311" i="1"/>
  <c r="R312" i="1" a="1"/>
  <c r="R312" i="1"/>
  <c r="R313" i="1" a="1"/>
  <c r="R313" i="1"/>
  <c r="R314" i="1" a="1"/>
  <c r="R314" i="1"/>
  <c r="R315" i="1" a="1"/>
  <c r="R315" i="1"/>
  <c r="R316" i="1" a="1"/>
  <c r="R316" i="1"/>
  <c r="R317" i="1" a="1"/>
  <c r="R317" i="1"/>
  <c r="R318" i="1" a="1"/>
  <c r="R318" i="1"/>
  <c r="R319" i="1" a="1"/>
  <c r="R319" i="1"/>
  <c r="R320" i="1" a="1"/>
  <c r="R320" i="1"/>
  <c r="R321" i="1" a="1"/>
  <c r="R321" i="1"/>
  <c r="R322" i="1" a="1"/>
  <c r="R322" i="1"/>
  <c r="R323" i="1" a="1"/>
  <c r="R323" i="1"/>
  <c r="R324" i="1" a="1"/>
  <c r="R324" i="1"/>
  <c r="R325" i="1" a="1"/>
  <c r="R325" i="1"/>
  <c r="R326" i="1" a="1"/>
  <c r="R326" i="1"/>
  <c r="R327" i="1" a="1"/>
  <c r="R327" i="1"/>
  <c r="R328" i="1" a="1"/>
  <c r="R328" i="1"/>
  <c r="R329" i="1" a="1"/>
  <c r="R329" i="1"/>
  <c r="R330" i="1" a="1"/>
  <c r="R330" i="1"/>
  <c r="R331" i="1" a="1"/>
  <c r="R331" i="1"/>
  <c r="R332" i="1" a="1"/>
  <c r="R332" i="1"/>
  <c r="R333" i="1" a="1"/>
  <c r="R333" i="1"/>
  <c r="R334" i="1" a="1"/>
  <c r="R334" i="1"/>
  <c r="R335" i="1" a="1"/>
  <c r="R335" i="1"/>
  <c r="R336" i="1" a="1"/>
  <c r="R336" i="1"/>
  <c r="R337" i="1" a="1"/>
  <c r="R337" i="1"/>
  <c r="R338" i="1" a="1"/>
  <c r="R338" i="1"/>
  <c r="R339" i="1" a="1"/>
  <c r="R339" i="1"/>
  <c r="R340" i="1" a="1"/>
  <c r="R340" i="1"/>
  <c r="R341" i="1" a="1"/>
  <c r="R341" i="1"/>
  <c r="R342" i="1" a="1"/>
  <c r="R342" i="1"/>
  <c r="R343" i="1" a="1"/>
  <c r="R343" i="1"/>
  <c r="R344" i="1" a="1"/>
  <c r="R344" i="1"/>
  <c r="R345" i="1" a="1"/>
  <c r="R345" i="1"/>
  <c r="R346" i="1" a="1"/>
  <c r="R346" i="1"/>
  <c r="R347" i="1" a="1"/>
  <c r="R347" i="1"/>
  <c r="R348" i="1" a="1"/>
  <c r="R348" i="1"/>
  <c r="R349" i="1" a="1"/>
  <c r="R349" i="1"/>
  <c r="R350" i="1" a="1"/>
  <c r="R350" i="1"/>
  <c r="R351" i="1" a="1"/>
  <c r="R351" i="1"/>
  <c r="R352" i="1" a="1"/>
  <c r="R352" i="1"/>
  <c r="R353" i="1" a="1"/>
  <c r="R353" i="1"/>
  <c r="R354" i="1" a="1"/>
  <c r="R354" i="1"/>
  <c r="R355" i="1" a="1"/>
  <c r="R355" i="1"/>
  <c r="R356" i="1" a="1"/>
  <c r="R356" i="1"/>
  <c r="R357" i="1" a="1"/>
  <c r="R357" i="1"/>
  <c r="R358" i="1" a="1"/>
  <c r="R358" i="1"/>
  <c r="R359" i="1" a="1"/>
  <c r="R359" i="1"/>
  <c r="R360" i="1" a="1"/>
  <c r="R360" i="1"/>
  <c r="R361" i="1" a="1"/>
  <c r="R361" i="1"/>
  <c r="R362" i="1" a="1"/>
  <c r="R362" i="1"/>
  <c r="R363" i="1" a="1"/>
  <c r="R363" i="1"/>
  <c r="R364" i="1" a="1"/>
  <c r="R364" i="1"/>
  <c r="R365" i="1" a="1"/>
  <c r="R365" i="1"/>
  <c r="R366" i="1" a="1"/>
  <c r="R366" i="1"/>
  <c r="R367" i="1" a="1"/>
  <c r="R367" i="1"/>
  <c r="R368" i="1" a="1"/>
  <c r="R368" i="1"/>
  <c r="R369" i="1" a="1"/>
  <c r="R369" i="1"/>
  <c r="R370" i="1" a="1"/>
  <c r="R370" i="1"/>
  <c r="R371" i="1" a="1"/>
  <c r="R371" i="1"/>
  <c r="R372" i="1" a="1"/>
  <c r="R372" i="1"/>
  <c r="R373" i="1" a="1"/>
  <c r="R373" i="1"/>
  <c r="R374" i="1" a="1"/>
  <c r="R374" i="1"/>
  <c r="R375" i="1" a="1"/>
  <c r="R375" i="1"/>
  <c r="R376" i="1" a="1"/>
  <c r="R376" i="1"/>
  <c r="R377" i="1" a="1"/>
  <c r="R377" i="1"/>
  <c r="R378" i="1" a="1"/>
  <c r="R378" i="1"/>
  <c r="R379" i="1" a="1"/>
  <c r="R379" i="1"/>
  <c r="R380" i="1" a="1"/>
  <c r="R380" i="1"/>
  <c r="R381" i="1" a="1"/>
  <c r="R381" i="1"/>
  <c r="R382" i="1" a="1"/>
  <c r="R382" i="1"/>
  <c r="R383" i="1" a="1"/>
  <c r="R383" i="1"/>
  <c r="R384" i="1" a="1"/>
  <c r="R384" i="1"/>
  <c r="R385" i="1" a="1"/>
  <c r="R385" i="1"/>
  <c r="R386" i="1" a="1"/>
  <c r="R386" i="1"/>
  <c r="R387" i="1" a="1"/>
  <c r="R387" i="1"/>
  <c r="R388" i="1" a="1"/>
  <c r="R388" i="1"/>
  <c r="R389" i="1" a="1"/>
  <c r="R389" i="1"/>
  <c r="R390" i="1" a="1"/>
  <c r="R390" i="1"/>
  <c r="R391" i="1" a="1"/>
  <c r="R391" i="1"/>
  <c r="R392" i="1" a="1"/>
  <c r="R392" i="1"/>
  <c r="R393" i="1" a="1"/>
  <c r="R393" i="1"/>
  <c r="R394" i="1" a="1"/>
  <c r="R394" i="1"/>
  <c r="R395" i="1" a="1"/>
  <c r="R395" i="1"/>
  <c r="R396" i="1" a="1"/>
  <c r="R396" i="1"/>
  <c r="R397" i="1" a="1"/>
  <c r="R397" i="1"/>
  <c r="R398" i="1" a="1"/>
  <c r="R398" i="1"/>
  <c r="R399" i="1" a="1"/>
  <c r="R399" i="1"/>
  <c r="R400" i="1" a="1"/>
  <c r="R400" i="1"/>
  <c r="R401" i="1" a="1"/>
  <c r="R401" i="1"/>
  <c r="R402" i="1" a="1"/>
  <c r="R402" i="1"/>
  <c r="R403" i="1" a="1"/>
  <c r="R403" i="1"/>
  <c r="R404" i="1" a="1"/>
  <c r="R404" i="1"/>
  <c r="R405" i="1" a="1"/>
  <c r="R405" i="1"/>
  <c r="R406" i="1" a="1"/>
  <c r="R406" i="1"/>
  <c r="R407" i="1" a="1"/>
  <c r="R407" i="1"/>
  <c r="R408" i="1" a="1"/>
  <c r="R408" i="1"/>
  <c r="R409" i="1" a="1"/>
  <c r="R409" i="1"/>
  <c r="R410" i="1" a="1"/>
  <c r="R410" i="1"/>
  <c r="R411" i="1" a="1"/>
  <c r="R411" i="1"/>
  <c r="R412" i="1" a="1"/>
  <c r="R412" i="1"/>
  <c r="R413" i="1" a="1"/>
  <c r="R413" i="1"/>
  <c r="R414" i="1" a="1"/>
  <c r="R414" i="1"/>
  <c r="R415" i="1" a="1"/>
  <c r="R415" i="1"/>
  <c r="R416" i="1" a="1"/>
  <c r="R416" i="1"/>
  <c r="R417" i="1" a="1"/>
  <c r="R417" i="1"/>
  <c r="R418" i="1" a="1"/>
  <c r="R418" i="1"/>
  <c r="R419" i="1" a="1"/>
  <c r="R419" i="1"/>
  <c r="R420" i="1" a="1"/>
  <c r="R420" i="1"/>
  <c r="R421" i="1" a="1"/>
  <c r="R421" i="1"/>
  <c r="R422" i="1" a="1"/>
  <c r="R422" i="1"/>
  <c r="R423" i="1" a="1"/>
  <c r="R423" i="1"/>
  <c r="R424" i="1" a="1"/>
  <c r="R424" i="1"/>
  <c r="R425" i="1" a="1"/>
  <c r="R425" i="1"/>
  <c r="R426" i="1" a="1"/>
  <c r="R426" i="1"/>
  <c r="R427" i="1" a="1"/>
  <c r="R427" i="1"/>
  <c r="R428" i="1" a="1"/>
  <c r="R428" i="1"/>
  <c r="R429" i="1" a="1"/>
  <c r="R429" i="1"/>
  <c r="R430" i="1" a="1"/>
  <c r="R430" i="1"/>
  <c r="R431" i="1" a="1"/>
  <c r="R431" i="1"/>
  <c r="R432" i="1" a="1"/>
  <c r="R432" i="1"/>
  <c r="R433" i="1" a="1"/>
  <c r="R433" i="1"/>
  <c r="R434" i="1" a="1"/>
  <c r="R434" i="1"/>
  <c r="R435" i="1" a="1"/>
  <c r="R435" i="1"/>
  <c r="R436" i="1" a="1"/>
  <c r="R436" i="1"/>
  <c r="R437" i="1" a="1"/>
  <c r="R437" i="1"/>
  <c r="R438" i="1" a="1"/>
  <c r="R438" i="1"/>
  <c r="R439" i="1" a="1"/>
  <c r="R439" i="1"/>
  <c r="R440" i="1" a="1"/>
  <c r="R440" i="1"/>
  <c r="R441" i="1" a="1"/>
  <c r="R441" i="1"/>
  <c r="R442" i="1" a="1"/>
  <c r="R442" i="1"/>
  <c r="R443" i="1" a="1"/>
  <c r="R443" i="1"/>
  <c r="R444" i="1" a="1"/>
  <c r="R444" i="1"/>
  <c r="R445" i="1" a="1"/>
  <c r="R445" i="1"/>
  <c r="R446" i="1" a="1"/>
  <c r="R446" i="1"/>
  <c r="R447" i="1" a="1"/>
  <c r="R447" i="1"/>
  <c r="R448" i="1" a="1"/>
  <c r="R448" i="1"/>
  <c r="R449" i="1" a="1"/>
  <c r="R449" i="1"/>
  <c r="R450" i="1" a="1"/>
  <c r="R450" i="1"/>
  <c r="R451" i="1" a="1"/>
  <c r="R451" i="1"/>
  <c r="R452" i="1" a="1"/>
  <c r="R452" i="1"/>
  <c r="R453" i="1" a="1"/>
  <c r="R453" i="1"/>
  <c r="R454" i="1" a="1"/>
  <c r="R454" i="1"/>
  <c r="R455" i="1" a="1"/>
  <c r="R455" i="1"/>
  <c r="R456" i="1" a="1"/>
  <c r="R456" i="1"/>
  <c r="R457" i="1" a="1"/>
  <c r="R457" i="1"/>
  <c r="R458" i="1" a="1"/>
  <c r="R458" i="1"/>
  <c r="R459" i="1" a="1"/>
  <c r="R459" i="1"/>
  <c r="R460" i="1" a="1"/>
  <c r="R460" i="1"/>
  <c r="R461" i="1" a="1"/>
  <c r="R461" i="1"/>
  <c r="R462" i="1" a="1"/>
  <c r="R462" i="1"/>
  <c r="R463" i="1" a="1"/>
  <c r="R463" i="1"/>
  <c r="R464" i="1" a="1"/>
  <c r="R464" i="1"/>
  <c r="R465" i="1" a="1"/>
  <c r="R465" i="1"/>
  <c r="R466" i="1" a="1"/>
  <c r="R466" i="1"/>
  <c r="R467" i="1" a="1"/>
  <c r="R467" i="1"/>
  <c r="R468" i="1" a="1"/>
  <c r="R468" i="1"/>
  <c r="R469" i="1" a="1"/>
  <c r="R469" i="1"/>
  <c r="R470" i="1" a="1"/>
  <c r="R470" i="1"/>
  <c r="R471" i="1" a="1"/>
  <c r="R471" i="1"/>
  <c r="R472" i="1" a="1"/>
  <c r="R472" i="1"/>
  <c r="R473" i="1" a="1"/>
  <c r="R473" i="1"/>
  <c r="R474" i="1" a="1"/>
  <c r="R474" i="1"/>
  <c r="R475" i="1" a="1"/>
  <c r="R475" i="1"/>
  <c r="R476" i="1" a="1"/>
  <c r="R476" i="1"/>
  <c r="R477" i="1" a="1"/>
  <c r="R477" i="1"/>
  <c r="R478" i="1" a="1"/>
  <c r="R478" i="1"/>
  <c r="R479" i="1" a="1"/>
  <c r="R479" i="1"/>
  <c r="R480" i="1" a="1"/>
  <c r="R480" i="1"/>
  <c r="R481" i="1" a="1"/>
  <c r="R481" i="1"/>
  <c r="R482" i="1" a="1"/>
  <c r="R482" i="1"/>
  <c r="R483" i="1" a="1"/>
  <c r="R483" i="1"/>
  <c r="R484" i="1" a="1"/>
  <c r="R484" i="1"/>
  <c r="R485" i="1" a="1"/>
  <c r="R485" i="1"/>
  <c r="R486" i="1" a="1"/>
  <c r="R486" i="1"/>
  <c r="R487" i="1" a="1"/>
  <c r="R487" i="1"/>
  <c r="R488" i="1" a="1"/>
  <c r="R488" i="1"/>
  <c r="R489" i="1" a="1"/>
  <c r="R489" i="1"/>
  <c r="R490" i="1" a="1"/>
  <c r="R490" i="1"/>
  <c r="R491" i="1" a="1"/>
  <c r="R491" i="1"/>
  <c r="R492" i="1" a="1"/>
  <c r="R492" i="1"/>
  <c r="R493" i="1" a="1"/>
  <c r="R493" i="1"/>
  <c r="R494" i="1" a="1"/>
  <c r="R494" i="1"/>
  <c r="R495" i="1" a="1"/>
  <c r="R495" i="1"/>
  <c r="R496" i="1" a="1"/>
  <c r="R496" i="1"/>
  <c r="R497" i="1" a="1"/>
  <c r="R497" i="1"/>
  <c r="R498" i="1" a="1"/>
  <c r="R498" i="1"/>
  <c r="R499" i="1" a="1"/>
  <c r="R499" i="1"/>
  <c r="R500" i="1" a="1"/>
  <c r="R500" i="1"/>
  <c r="R501" i="1" a="1"/>
  <c r="R501" i="1"/>
  <c r="R502" i="1" a="1"/>
  <c r="R502" i="1"/>
  <c r="R503" i="1" a="1"/>
  <c r="R503" i="1"/>
  <c r="R504" i="1" a="1"/>
  <c r="R504" i="1"/>
  <c r="R505" i="1" a="1"/>
  <c r="R505" i="1"/>
  <c r="R506" i="1" a="1"/>
  <c r="R506" i="1"/>
  <c r="R507" i="1" a="1"/>
  <c r="R507" i="1"/>
  <c r="R508" i="1" a="1"/>
  <c r="R508" i="1"/>
  <c r="R509" i="1" a="1"/>
  <c r="R509" i="1"/>
  <c r="R510" i="1" a="1"/>
  <c r="R510" i="1"/>
  <c r="R511" i="1" a="1"/>
  <c r="R511" i="1"/>
  <c r="R512" i="1" a="1"/>
  <c r="R512" i="1"/>
  <c r="R513" i="1" a="1"/>
  <c r="R513" i="1"/>
  <c r="R514" i="1" a="1"/>
  <c r="R514" i="1"/>
  <c r="R515" i="1" a="1"/>
  <c r="R515" i="1"/>
  <c r="R516" i="1" a="1"/>
  <c r="R516" i="1"/>
  <c r="R517" i="1" a="1"/>
  <c r="R517" i="1"/>
  <c r="R518" i="1" a="1"/>
  <c r="R518" i="1"/>
  <c r="R519" i="1" a="1"/>
  <c r="R519" i="1"/>
  <c r="R520" i="1" a="1"/>
  <c r="R520" i="1"/>
  <c r="R521" i="1" a="1"/>
  <c r="R521" i="1"/>
  <c r="R522" i="1" a="1"/>
  <c r="R522" i="1"/>
  <c r="R523" i="1" a="1"/>
  <c r="R523" i="1"/>
  <c r="R524" i="1" a="1"/>
  <c r="R524" i="1"/>
  <c r="R525" i="1" a="1"/>
  <c r="R525" i="1"/>
  <c r="R526" i="1" a="1"/>
  <c r="R526" i="1"/>
  <c r="R527" i="1" a="1"/>
  <c r="R527" i="1"/>
  <c r="R528" i="1" a="1"/>
  <c r="R528" i="1"/>
  <c r="R529" i="1" a="1"/>
  <c r="R529" i="1"/>
  <c r="R530" i="1" a="1"/>
  <c r="R530" i="1"/>
  <c r="R531" i="1" a="1"/>
  <c r="R531" i="1"/>
  <c r="R532" i="1" a="1"/>
  <c r="R532" i="1"/>
  <c r="R533" i="1" a="1"/>
  <c r="R533" i="1"/>
  <c r="R534" i="1" a="1"/>
  <c r="R534" i="1"/>
  <c r="R535" i="1" a="1"/>
  <c r="R535" i="1"/>
  <c r="R536" i="1" a="1"/>
  <c r="R536" i="1"/>
  <c r="R537" i="1" a="1"/>
  <c r="R537" i="1"/>
  <c r="R538" i="1" a="1"/>
  <c r="R538" i="1"/>
  <c r="R539" i="1" a="1"/>
  <c r="R539" i="1"/>
  <c r="R540" i="1" a="1"/>
  <c r="R540" i="1"/>
  <c r="R541" i="1" a="1"/>
  <c r="R541" i="1"/>
  <c r="R542" i="1" a="1"/>
  <c r="R542" i="1"/>
  <c r="R543" i="1" a="1"/>
  <c r="R543" i="1"/>
  <c r="R544" i="1" a="1"/>
  <c r="R544" i="1"/>
  <c r="R545" i="1" a="1"/>
  <c r="R545" i="1"/>
  <c r="R546" i="1" a="1"/>
  <c r="R546" i="1"/>
  <c r="R547" i="1" a="1"/>
  <c r="R547" i="1"/>
  <c r="R548" i="1" a="1"/>
  <c r="R548" i="1"/>
  <c r="R549" i="1" a="1"/>
  <c r="R549" i="1"/>
  <c r="R550" i="1" a="1"/>
  <c r="R550" i="1"/>
  <c r="R551" i="1" a="1"/>
  <c r="R551" i="1"/>
  <c r="R552" i="1" a="1"/>
  <c r="R552" i="1"/>
  <c r="R553" i="1" a="1"/>
  <c r="R553" i="1"/>
  <c r="R554" i="1" a="1"/>
  <c r="R554" i="1"/>
  <c r="R555" i="1" a="1"/>
  <c r="R555" i="1"/>
  <c r="R556" i="1" a="1"/>
  <c r="R556" i="1"/>
  <c r="R557" i="1" a="1"/>
  <c r="R557" i="1"/>
  <c r="R558" i="1" a="1"/>
  <c r="R558" i="1"/>
  <c r="R559" i="1" a="1"/>
  <c r="R559" i="1"/>
  <c r="R560" i="1" a="1"/>
  <c r="R560" i="1"/>
  <c r="R561" i="1" a="1"/>
  <c r="R561" i="1"/>
  <c r="R562" i="1" a="1"/>
  <c r="R562" i="1"/>
  <c r="R563" i="1" a="1"/>
  <c r="R563" i="1"/>
  <c r="R564" i="1" a="1"/>
  <c r="R564" i="1"/>
  <c r="R565" i="1" a="1"/>
  <c r="R565" i="1"/>
  <c r="R566" i="1" a="1"/>
  <c r="R566" i="1"/>
  <c r="R567" i="1" a="1"/>
  <c r="R567" i="1"/>
  <c r="R568" i="1" a="1"/>
  <c r="R568" i="1"/>
  <c r="R569" i="1" a="1"/>
  <c r="R569" i="1"/>
  <c r="R570" i="1" a="1"/>
  <c r="R570" i="1"/>
  <c r="R571" i="1" a="1"/>
  <c r="R571" i="1"/>
  <c r="R572" i="1" a="1"/>
  <c r="R572" i="1"/>
  <c r="R573" i="1" a="1"/>
  <c r="R573" i="1"/>
  <c r="R574" i="1" a="1"/>
  <c r="R574" i="1"/>
  <c r="R575" i="1" a="1"/>
  <c r="R575" i="1"/>
  <c r="R576" i="1" a="1"/>
  <c r="R576" i="1"/>
  <c r="R577" i="1" a="1"/>
  <c r="R577" i="1"/>
  <c r="R578" i="1" a="1"/>
  <c r="R578" i="1"/>
  <c r="R579" i="1" a="1"/>
  <c r="R579" i="1"/>
  <c r="R580" i="1" a="1"/>
  <c r="R580" i="1"/>
  <c r="R581" i="1" a="1"/>
  <c r="R581" i="1"/>
  <c r="R582" i="1" a="1"/>
  <c r="R582" i="1"/>
  <c r="R583" i="1" a="1"/>
  <c r="R583" i="1"/>
  <c r="R584" i="1" a="1"/>
  <c r="R584" i="1"/>
  <c r="R585" i="1" a="1"/>
  <c r="R585" i="1"/>
  <c r="R586" i="1" a="1"/>
  <c r="R586" i="1"/>
  <c r="R587" i="1" a="1"/>
  <c r="R587" i="1"/>
  <c r="R588" i="1" a="1"/>
  <c r="R588" i="1"/>
  <c r="R589" i="1" a="1"/>
  <c r="R589" i="1"/>
  <c r="R590" i="1" a="1"/>
  <c r="R590" i="1"/>
  <c r="R591" i="1" a="1"/>
  <c r="R591" i="1"/>
  <c r="R592" i="1" a="1"/>
  <c r="R592" i="1"/>
  <c r="R593" i="1" a="1"/>
  <c r="R593" i="1"/>
  <c r="R594" i="1" a="1"/>
  <c r="R594" i="1"/>
  <c r="R595" i="1" a="1"/>
  <c r="R595" i="1"/>
  <c r="R596" i="1" a="1"/>
  <c r="R596" i="1"/>
  <c r="R597" i="1" a="1"/>
  <c r="R597" i="1"/>
  <c r="R598" i="1" a="1"/>
  <c r="R598" i="1"/>
  <c r="R599" i="1" a="1"/>
  <c r="R599" i="1"/>
  <c r="R600" i="1" a="1"/>
  <c r="R600" i="1"/>
  <c r="R601" i="1" a="1"/>
  <c r="R601" i="1"/>
  <c r="R602" i="1" a="1"/>
  <c r="R602" i="1"/>
  <c r="R603" i="1" a="1"/>
  <c r="R603" i="1"/>
  <c r="R604" i="1" a="1"/>
  <c r="R604" i="1"/>
  <c r="R605" i="1" a="1"/>
  <c r="R605" i="1"/>
  <c r="R606" i="1" a="1"/>
  <c r="R606" i="1"/>
  <c r="R607" i="1" a="1"/>
  <c r="R607" i="1"/>
  <c r="R608" i="1" a="1"/>
  <c r="R608" i="1"/>
  <c r="R609" i="1" a="1"/>
  <c r="R609" i="1"/>
  <c r="R610" i="1" a="1"/>
  <c r="R610" i="1"/>
  <c r="R611" i="1" a="1"/>
  <c r="R611" i="1"/>
  <c r="R612" i="1" a="1"/>
  <c r="R612" i="1"/>
  <c r="R613" i="1" a="1"/>
  <c r="R613" i="1"/>
  <c r="R614" i="1" a="1"/>
  <c r="R614" i="1"/>
  <c r="R615" i="1" a="1"/>
  <c r="R615" i="1"/>
  <c r="R616" i="1" a="1"/>
  <c r="R616" i="1"/>
  <c r="R617" i="1" a="1"/>
  <c r="R617" i="1"/>
  <c r="R618" i="1" a="1"/>
  <c r="R618" i="1"/>
  <c r="R619" i="1" a="1"/>
  <c r="R619" i="1"/>
  <c r="R620" i="1" a="1"/>
  <c r="R620" i="1"/>
  <c r="R621" i="1" a="1"/>
  <c r="R621" i="1"/>
  <c r="R622" i="1" a="1"/>
  <c r="R622" i="1"/>
  <c r="R623" i="1" a="1"/>
  <c r="R623" i="1"/>
  <c r="R624" i="1" a="1"/>
  <c r="R624" i="1"/>
  <c r="R625" i="1" a="1"/>
  <c r="R625" i="1"/>
  <c r="R626" i="1" a="1"/>
  <c r="R626" i="1"/>
  <c r="R627" i="1" a="1"/>
  <c r="R627" i="1"/>
  <c r="R628" i="1" a="1"/>
  <c r="R628" i="1"/>
  <c r="R629" i="1" a="1"/>
  <c r="R629" i="1"/>
  <c r="R630" i="1" a="1"/>
  <c r="R630" i="1"/>
  <c r="R631" i="1" a="1"/>
  <c r="R631" i="1"/>
  <c r="R632" i="1" a="1"/>
  <c r="R632" i="1"/>
  <c r="R633" i="1" a="1"/>
  <c r="R633" i="1"/>
  <c r="R634" i="1" a="1"/>
  <c r="R634" i="1"/>
  <c r="R635" i="1" a="1"/>
  <c r="R635" i="1"/>
  <c r="R636" i="1" a="1"/>
  <c r="R636" i="1"/>
  <c r="R637" i="1" a="1"/>
  <c r="R637" i="1"/>
  <c r="R638" i="1" a="1"/>
  <c r="R638" i="1"/>
  <c r="R639" i="1" a="1"/>
  <c r="R639" i="1"/>
  <c r="R640" i="1" a="1"/>
  <c r="R640" i="1"/>
  <c r="R641" i="1" a="1"/>
  <c r="R641" i="1"/>
  <c r="R642" i="1" a="1"/>
  <c r="R642" i="1"/>
  <c r="R643" i="1" a="1"/>
  <c r="R643" i="1"/>
  <c r="R644" i="1" a="1"/>
  <c r="R644" i="1"/>
  <c r="R645" i="1" a="1"/>
  <c r="R645" i="1"/>
  <c r="R646" i="1" a="1"/>
  <c r="R646" i="1"/>
  <c r="R647" i="1" a="1"/>
  <c r="R647" i="1"/>
  <c r="R648" i="1" a="1"/>
  <c r="R648" i="1"/>
  <c r="R649" i="1" a="1"/>
  <c r="R649" i="1"/>
  <c r="R650" i="1" a="1"/>
  <c r="R650" i="1"/>
  <c r="R651" i="1" a="1"/>
  <c r="R651" i="1"/>
  <c r="R652" i="1" a="1"/>
  <c r="R652" i="1"/>
  <c r="R653" i="1" a="1"/>
  <c r="R653" i="1"/>
  <c r="R654" i="1" a="1"/>
  <c r="R654" i="1"/>
  <c r="R655" i="1" a="1"/>
  <c r="R655" i="1"/>
  <c r="R656" i="1" a="1"/>
  <c r="R656" i="1"/>
  <c r="R657" i="1" a="1"/>
  <c r="R657" i="1"/>
  <c r="R658" i="1" a="1"/>
  <c r="R658" i="1"/>
  <c r="R659" i="1" a="1"/>
  <c r="R659" i="1"/>
  <c r="R660" i="1" a="1"/>
  <c r="R660" i="1"/>
  <c r="R661" i="1" a="1"/>
  <c r="R661" i="1"/>
  <c r="R662" i="1" a="1"/>
  <c r="R662" i="1"/>
  <c r="R663" i="1" a="1"/>
  <c r="R663" i="1"/>
  <c r="R664" i="1" a="1"/>
  <c r="R664" i="1"/>
  <c r="R665" i="1" a="1"/>
  <c r="R665" i="1"/>
  <c r="R666" i="1" a="1"/>
  <c r="R666" i="1"/>
  <c r="R667" i="1" a="1"/>
  <c r="R667" i="1"/>
  <c r="R668" i="1" a="1"/>
  <c r="R668" i="1"/>
  <c r="R669" i="1" a="1"/>
  <c r="R669" i="1"/>
  <c r="R670" i="1" a="1"/>
  <c r="R670" i="1"/>
  <c r="R671" i="1" a="1"/>
  <c r="R671" i="1"/>
  <c r="R672" i="1" a="1"/>
  <c r="R672" i="1"/>
  <c r="R673" i="1" a="1"/>
  <c r="R673" i="1"/>
  <c r="R674" i="1" a="1"/>
  <c r="R674" i="1"/>
  <c r="R675" i="1" a="1"/>
  <c r="R675" i="1"/>
  <c r="R676" i="1" a="1"/>
  <c r="R676" i="1"/>
  <c r="R677" i="1" a="1"/>
  <c r="R677" i="1"/>
  <c r="R678" i="1" a="1"/>
  <c r="R678" i="1"/>
  <c r="R679" i="1" a="1"/>
  <c r="R679" i="1"/>
  <c r="R680" i="1" a="1"/>
  <c r="R680" i="1"/>
  <c r="R681" i="1" a="1"/>
  <c r="R681" i="1"/>
  <c r="R682" i="1" a="1"/>
  <c r="R682" i="1"/>
  <c r="R683" i="1" a="1"/>
  <c r="R683" i="1"/>
  <c r="R684" i="1" a="1"/>
  <c r="R684" i="1"/>
  <c r="R685" i="1" a="1"/>
  <c r="R685" i="1"/>
  <c r="R686" i="1" a="1"/>
  <c r="R686" i="1"/>
  <c r="R687" i="1" a="1"/>
  <c r="R687" i="1"/>
  <c r="R688" i="1" a="1"/>
  <c r="R688" i="1"/>
  <c r="R689" i="1" a="1"/>
  <c r="R689" i="1"/>
  <c r="R690" i="1" a="1"/>
  <c r="R690" i="1"/>
  <c r="R691" i="1" a="1"/>
  <c r="R691" i="1"/>
  <c r="R692" i="1" a="1"/>
  <c r="R692" i="1"/>
  <c r="R693" i="1" a="1"/>
  <c r="R693" i="1"/>
  <c r="R694" i="1" a="1"/>
  <c r="R694" i="1"/>
  <c r="R695" i="1" a="1"/>
  <c r="R695" i="1"/>
  <c r="R696" i="1" a="1"/>
  <c r="R696" i="1"/>
  <c r="R697" i="1" a="1"/>
  <c r="R697" i="1"/>
  <c r="R698" i="1" a="1"/>
  <c r="R698" i="1"/>
  <c r="R699" i="1" a="1"/>
  <c r="R699" i="1"/>
  <c r="R700" i="1" a="1"/>
  <c r="R700" i="1"/>
  <c r="R701" i="1" a="1"/>
  <c r="R701" i="1"/>
  <c r="R702" i="1" a="1"/>
  <c r="R702" i="1"/>
  <c r="R703" i="1" a="1"/>
  <c r="R703" i="1"/>
  <c r="R704" i="1" a="1"/>
  <c r="R704" i="1"/>
  <c r="R705" i="1" a="1"/>
  <c r="R705" i="1"/>
  <c r="R706" i="1" a="1"/>
  <c r="R706" i="1"/>
  <c r="R707" i="1" a="1"/>
  <c r="R707" i="1"/>
  <c r="R708" i="1" a="1"/>
  <c r="R708" i="1"/>
  <c r="R709" i="1" a="1"/>
  <c r="R709" i="1"/>
  <c r="R710" i="1" a="1"/>
  <c r="R710" i="1"/>
  <c r="R711" i="1" a="1"/>
  <c r="R711" i="1"/>
  <c r="R712" i="1" a="1"/>
  <c r="R712" i="1"/>
  <c r="R713" i="1" a="1"/>
  <c r="R713" i="1"/>
  <c r="R714" i="1" a="1"/>
  <c r="R714" i="1"/>
  <c r="R715" i="1" a="1"/>
  <c r="R715" i="1"/>
  <c r="R716" i="1" a="1"/>
  <c r="R716" i="1"/>
  <c r="R717" i="1" a="1"/>
  <c r="R717" i="1"/>
  <c r="R718" i="1" a="1"/>
  <c r="R718" i="1"/>
  <c r="R719" i="1" a="1"/>
  <c r="R719" i="1"/>
  <c r="R720" i="1" a="1"/>
  <c r="R720" i="1"/>
  <c r="R721" i="1" a="1"/>
  <c r="R721" i="1"/>
  <c r="R722" i="1" a="1"/>
  <c r="R722" i="1"/>
  <c r="R723" i="1" a="1"/>
  <c r="R723" i="1"/>
  <c r="R724" i="1" a="1"/>
  <c r="R724" i="1"/>
  <c r="R725" i="1" a="1"/>
  <c r="R725" i="1"/>
  <c r="R726" i="1" a="1"/>
  <c r="R726" i="1"/>
  <c r="R727" i="1" a="1"/>
  <c r="R727" i="1"/>
  <c r="R728" i="1" a="1"/>
  <c r="R728" i="1"/>
  <c r="R729" i="1" a="1"/>
  <c r="R729" i="1"/>
  <c r="R730" i="1" a="1"/>
  <c r="R730" i="1"/>
  <c r="R731" i="1" a="1"/>
  <c r="R731" i="1"/>
  <c r="R732" i="1" a="1"/>
  <c r="R732" i="1"/>
  <c r="R733" i="1" a="1"/>
  <c r="R733" i="1"/>
  <c r="R734" i="1" a="1"/>
  <c r="R734" i="1"/>
  <c r="R735" i="1" a="1"/>
  <c r="R735" i="1"/>
  <c r="R736" i="1" a="1"/>
  <c r="R736" i="1"/>
  <c r="R737" i="1" a="1"/>
  <c r="R737" i="1"/>
  <c r="R738" i="1" a="1"/>
  <c r="R738" i="1"/>
  <c r="R739" i="1" a="1"/>
  <c r="R739" i="1"/>
  <c r="R740" i="1" a="1"/>
  <c r="R740" i="1"/>
  <c r="R741" i="1" a="1"/>
  <c r="R741" i="1"/>
  <c r="R742" i="1" a="1"/>
  <c r="R742" i="1"/>
  <c r="R743" i="1" a="1"/>
  <c r="R743" i="1"/>
  <c r="R744" i="1" a="1"/>
  <c r="R744" i="1"/>
  <c r="R745" i="1" a="1"/>
  <c r="R745" i="1"/>
  <c r="R746" i="1" a="1"/>
  <c r="R746" i="1"/>
  <c r="R747" i="1" a="1"/>
  <c r="R747" i="1"/>
  <c r="R748" i="1" a="1"/>
  <c r="R748" i="1"/>
  <c r="R749" i="1" a="1"/>
  <c r="R749" i="1"/>
  <c r="R750" i="1" a="1"/>
  <c r="R750" i="1"/>
  <c r="R751" i="1" a="1"/>
  <c r="R751" i="1"/>
  <c r="R752" i="1" a="1"/>
  <c r="R752" i="1"/>
  <c r="R753" i="1" a="1"/>
  <c r="R753" i="1"/>
  <c r="R754" i="1" a="1"/>
  <c r="R754" i="1"/>
  <c r="R755" i="1" a="1"/>
  <c r="R755" i="1"/>
  <c r="R756" i="1" a="1"/>
  <c r="R756" i="1"/>
  <c r="R757" i="1" a="1"/>
  <c r="R757" i="1"/>
  <c r="R758" i="1" a="1"/>
  <c r="R758" i="1"/>
  <c r="R759" i="1" a="1"/>
  <c r="R759" i="1"/>
  <c r="R760" i="1" a="1"/>
  <c r="R760" i="1"/>
  <c r="R761" i="1" a="1"/>
  <c r="R761" i="1"/>
  <c r="R762" i="1" a="1"/>
  <c r="R762" i="1"/>
  <c r="R763" i="1" a="1"/>
  <c r="R763" i="1"/>
  <c r="R764" i="1" a="1"/>
  <c r="R764" i="1"/>
  <c r="R765" i="1" a="1"/>
  <c r="R765" i="1"/>
  <c r="R766" i="1" a="1"/>
  <c r="R766" i="1"/>
  <c r="R767" i="1" a="1"/>
  <c r="R767" i="1"/>
  <c r="R768" i="1" a="1"/>
  <c r="R768" i="1"/>
  <c r="R769" i="1" a="1"/>
  <c r="R769" i="1"/>
  <c r="R770" i="1" a="1"/>
  <c r="R770" i="1"/>
  <c r="R771" i="1" a="1"/>
  <c r="R771" i="1"/>
  <c r="R772" i="1" a="1"/>
  <c r="R772" i="1"/>
  <c r="R773" i="1" a="1"/>
  <c r="R773" i="1"/>
  <c r="R774" i="1" a="1"/>
  <c r="R774" i="1"/>
  <c r="R775" i="1" a="1"/>
  <c r="R775" i="1"/>
  <c r="R776" i="1" a="1"/>
  <c r="R776" i="1"/>
  <c r="R777" i="1" a="1"/>
  <c r="R777" i="1"/>
  <c r="R778" i="1" a="1"/>
  <c r="R778" i="1"/>
  <c r="R779" i="1" a="1"/>
  <c r="R779" i="1"/>
  <c r="R780" i="1" a="1"/>
  <c r="R780" i="1"/>
  <c r="R781" i="1" a="1"/>
  <c r="R781" i="1"/>
  <c r="R782" i="1" a="1"/>
  <c r="R782" i="1"/>
  <c r="R783" i="1" a="1"/>
  <c r="R783" i="1"/>
  <c r="R784" i="1" a="1"/>
  <c r="R784" i="1"/>
  <c r="R785" i="1" a="1"/>
  <c r="R785" i="1"/>
  <c r="R786" i="1" a="1"/>
  <c r="R786" i="1"/>
  <c r="R787" i="1" a="1"/>
  <c r="R787" i="1"/>
  <c r="R788" i="1" a="1"/>
  <c r="R788" i="1"/>
  <c r="R789" i="1" a="1"/>
  <c r="R789" i="1"/>
  <c r="R790" i="1" a="1"/>
  <c r="R790" i="1"/>
  <c r="R791" i="1" a="1"/>
  <c r="R791" i="1"/>
  <c r="R792" i="1" a="1"/>
  <c r="R792" i="1"/>
  <c r="R793" i="1" a="1"/>
  <c r="R793" i="1"/>
  <c r="R794" i="1" a="1"/>
  <c r="R794" i="1"/>
  <c r="R795" i="1" a="1"/>
  <c r="R795" i="1"/>
  <c r="R796" i="1" a="1"/>
  <c r="R796" i="1"/>
  <c r="R797" i="1" a="1"/>
  <c r="R797" i="1"/>
  <c r="R798" i="1" a="1"/>
  <c r="R798" i="1"/>
  <c r="R799" i="1" a="1"/>
  <c r="R799" i="1"/>
  <c r="R800" i="1" a="1"/>
  <c r="R800" i="1"/>
  <c r="R801" i="1" a="1"/>
  <c r="R801" i="1"/>
  <c r="R802" i="1" a="1"/>
  <c r="R802" i="1"/>
  <c r="R803" i="1" a="1"/>
  <c r="R803" i="1"/>
  <c r="R804" i="1" a="1"/>
  <c r="R804" i="1"/>
  <c r="R805" i="1" a="1"/>
  <c r="R805" i="1"/>
  <c r="R806" i="1" a="1"/>
  <c r="R806" i="1"/>
  <c r="R807" i="1" a="1"/>
  <c r="R807" i="1"/>
  <c r="R808" i="1" a="1"/>
  <c r="R808" i="1"/>
  <c r="R809" i="1" a="1"/>
  <c r="R809" i="1"/>
  <c r="R810" i="1" a="1"/>
  <c r="R810" i="1"/>
  <c r="R811" i="1" a="1"/>
  <c r="R811" i="1"/>
  <c r="R812" i="1" a="1"/>
  <c r="R812" i="1"/>
  <c r="R813" i="1" a="1"/>
  <c r="R813" i="1"/>
  <c r="R814" i="1" a="1"/>
  <c r="R814" i="1"/>
  <c r="R815" i="1" a="1"/>
  <c r="R815" i="1"/>
  <c r="R816" i="1" a="1"/>
  <c r="R816" i="1"/>
  <c r="R817" i="1" a="1"/>
  <c r="R817" i="1"/>
  <c r="R818" i="1" a="1"/>
  <c r="R818" i="1"/>
  <c r="R819" i="1" a="1"/>
  <c r="R819" i="1"/>
  <c r="R820" i="1" a="1"/>
  <c r="R820" i="1"/>
  <c r="R821" i="1" a="1"/>
  <c r="R821" i="1"/>
  <c r="R822" i="1" a="1"/>
  <c r="R822" i="1"/>
  <c r="R823" i="1" a="1"/>
  <c r="R823" i="1"/>
  <c r="R824" i="1" a="1"/>
  <c r="R824" i="1"/>
  <c r="R825" i="1" a="1"/>
  <c r="R825" i="1"/>
  <c r="R826" i="1" a="1"/>
  <c r="R826" i="1"/>
  <c r="R827" i="1" a="1"/>
  <c r="R827" i="1"/>
  <c r="R828" i="1" a="1"/>
  <c r="R828" i="1"/>
  <c r="R829" i="1" a="1"/>
  <c r="R829" i="1"/>
  <c r="R830" i="1" a="1"/>
  <c r="R830" i="1"/>
  <c r="R831" i="1" a="1"/>
  <c r="R831" i="1"/>
  <c r="R832" i="1" a="1"/>
  <c r="R832" i="1"/>
  <c r="R833" i="1" a="1"/>
  <c r="R833" i="1"/>
  <c r="R834" i="1" a="1"/>
  <c r="R834" i="1"/>
  <c r="R835" i="1" a="1"/>
  <c r="R835" i="1"/>
  <c r="R836" i="1" a="1"/>
  <c r="R836" i="1"/>
  <c r="R837" i="1" a="1"/>
  <c r="R837" i="1"/>
  <c r="R838" i="1" a="1"/>
  <c r="R838" i="1"/>
  <c r="R839" i="1" a="1"/>
  <c r="R839" i="1"/>
  <c r="R840" i="1" a="1"/>
  <c r="R840" i="1"/>
  <c r="R841" i="1" a="1"/>
  <c r="R841" i="1"/>
  <c r="R842" i="1" a="1"/>
  <c r="R842" i="1"/>
  <c r="R843" i="1" a="1"/>
  <c r="R843" i="1"/>
  <c r="R844" i="1" a="1"/>
  <c r="R844" i="1"/>
  <c r="R845" i="1" a="1"/>
  <c r="R845" i="1"/>
  <c r="R846" i="1" a="1"/>
  <c r="R846" i="1"/>
  <c r="R847" i="1" a="1"/>
  <c r="R847" i="1"/>
  <c r="R848" i="1" a="1"/>
  <c r="R848" i="1"/>
  <c r="R849" i="1" a="1"/>
  <c r="R849" i="1"/>
  <c r="R850" i="1" a="1"/>
  <c r="R850" i="1"/>
  <c r="R851" i="1" a="1"/>
  <c r="R851" i="1"/>
  <c r="R852" i="1" a="1"/>
  <c r="R852" i="1"/>
  <c r="R853" i="1" a="1"/>
  <c r="R853" i="1"/>
  <c r="R854" i="1" a="1"/>
  <c r="R854" i="1"/>
  <c r="R855" i="1" a="1"/>
  <c r="R855" i="1"/>
  <c r="R856" i="1" a="1"/>
  <c r="R856" i="1"/>
  <c r="R857" i="1" a="1"/>
  <c r="R857" i="1"/>
  <c r="R858" i="1" a="1"/>
  <c r="R858" i="1"/>
  <c r="R859" i="1" a="1"/>
  <c r="R859" i="1"/>
  <c r="R860" i="1" a="1"/>
  <c r="R860" i="1"/>
  <c r="R861" i="1" a="1"/>
  <c r="R861" i="1"/>
  <c r="R862" i="1" a="1"/>
  <c r="R862" i="1"/>
  <c r="R863" i="1" a="1"/>
  <c r="R863" i="1"/>
  <c r="R864" i="1" a="1"/>
  <c r="R864" i="1"/>
  <c r="R865" i="1" a="1"/>
  <c r="R865" i="1"/>
  <c r="R866" i="1" a="1"/>
  <c r="R866" i="1"/>
  <c r="R867" i="1" a="1"/>
  <c r="R867" i="1"/>
  <c r="R868" i="1" a="1"/>
  <c r="R868" i="1"/>
  <c r="R869" i="1" a="1"/>
  <c r="R869" i="1"/>
  <c r="R870" i="1" a="1"/>
  <c r="R870" i="1"/>
  <c r="R871" i="1" a="1"/>
  <c r="R871" i="1"/>
  <c r="R872" i="1" a="1"/>
  <c r="R872" i="1"/>
  <c r="R873" i="1" a="1"/>
  <c r="R873" i="1"/>
  <c r="R874" i="1" a="1"/>
  <c r="R874" i="1"/>
  <c r="R875" i="1" a="1"/>
  <c r="R875" i="1"/>
  <c r="R876" i="1" a="1"/>
  <c r="R876" i="1"/>
  <c r="R877" i="1" a="1"/>
  <c r="R877" i="1"/>
  <c r="R878" i="1" a="1"/>
  <c r="R878" i="1"/>
  <c r="R879" i="1" a="1"/>
  <c r="R879" i="1"/>
  <c r="R880" i="1" a="1"/>
  <c r="R880" i="1"/>
  <c r="R881" i="1" a="1"/>
  <c r="R881" i="1"/>
  <c r="R882" i="1" a="1"/>
  <c r="R882" i="1"/>
  <c r="R883" i="1" a="1"/>
  <c r="R883" i="1"/>
  <c r="R884" i="1" a="1"/>
  <c r="R884" i="1"/>
  <c r="R885" i="1" a="1"/>
  <c r="R885" i="1"/>
  <c r="R886" i="1" a="1"/>
  <c r="R886" i="1"/>
  <c r="R887" i="1" a="1"/>
  <c r="R887" i="1"/>
  <c r="R888" i="1" a="1"/>
  <c r="R888" i="1"/>
  <c r="R889" i="1" a="1"/>
  <c r="R889" i="1"/>
  <c r="R890" i="1" a="1"/>
  <c r="R890" i="1"/>
  <c r="R891" i="1" a="1"/>
  <c r="R891" i="1"/>
  <c r="R892" i="1" a="1"/>
  <c r="R892" i="1"/>
  <c r="R893" i="1" a="1"/>
  <c r="R893" i="1"/>
  <c r="R894" i="1" a="1"/>
  <c r="R894" i="1"/>
  <c r="R895" i="1" a="1"/>
  <c r="R895" i="1"/>
  <c r="R896" i="1" a="1"/>
  <c r="R896" i="1"/>
  <c r="R897" i="1" a="1"/>
  <c r="R897" i="1"/>
  <c r="R898" i="1" a="1"/>
  <c r="R898" i="1"/>
  <c r="R899" i="1" a="1"/>
  <c r="R899" i="1"/>
  <c r="R900" i="1" a="1"/>
  <c r="R900" i="1"/>
  <c r="R901" i="1" a="1"/>
  <c r="R901" i="1"/>
  <c r="R902" i="1" a="1"/>
  <c r="R902" i="1"/>
  <c r="R903" i="1" a="1"/>
  <c r="R903" i="1"/>
  <c r="R904" i="1" a="1"/>
  <c r="R904" i="1"/>
  <c r="R905" i="1" a="1"/>
  <c r="R905" i="1"/>
  <c r="R906" i="1" a="1"/>
  <c r="R906" i="1"/>
  <c r="R907" i="1" a="1"/>
  <c r="R907" i="1"/>
  <c r="R908" i="1" a="1"/>
  <c r="R908" i="1"/>
  <c r="R909" i="1" a="1"/>
  <c r="R909" i="1"/>
  <c r="R910" i="1" a="1"/>
  <c r="R910" i="1"/>
  <c r="R911" i="1" a="1"/>
  <c r="R911" i="1"/>
  <c r="R912" i="1" a="1"/>
  <c r="R912" i="1"/>
  <c r="R913" i="1" a="1"/>
  <c r="R913" i="1"/>
  <c r="R914" i="1" a="1"/>
  <c r="R914" i="1"/>
  <c r="R915" i="1" a="1"/>
  <c r="R915" i="1"/>
  <c r="R916" i="1" a="1"/>
  <c r="R916" i="1"/>
  <c r="R917" i="1" a="1"/>
  <c r="R917" i="1"/>
  <c r="R918" i="1" a="1"/>
  <c r="R918" i="1"/>
  <c r="R919" i="1" a="1"/>
  <c r="R919" i="1"/>
  <c r="R920" i="1" a="1"/>
  <c r="R920" i="1"/>
  <c r="R921" i="1" a="1"/>
  <c r="R921" i="1"/>
  <c r="R922" i="1" a="1"/>
  <c r="R922" i="1"/>
  <c r="R923" i="1" a="1"/>
  <c r="R923" i="1"/>
  <c r="R924" i="1" a="1"/>
  <c r="R924" i="1"/>
  <c r="R925" i="1" a="1"/>
  <c r="R925" i="1"/>
  <c r="R926" i="1" a="1"/>
  <c r="R926" i="1"/>
  <c r="R927" i="1" a="1"/>
  <c r="R927" i="1"/>
  <c r="R928" i="1" a="1"/>
  <c r="R928" i="1"/>
  <c r="R929" i="1" a="1"/>
  <c r="R929" i="1"/>
  <c r="R930" i="1" a="1"/>
  <c r="R930" i="1"/>
  <c r="R931" i="1" a="1"/>
  <c r="R931" i="1"/>
  <c r="R932" i="1" a="1"/>
  <c r="R932" i="1"/>
  <c r="R933" i="1" a="1"/>
  <c r="R933" i="1"/>
  <c r="R934" i="1" a="1"/>
  <c r="R934" i="1"/>
  <c r="R935" i="1" a="1"/>
  <c r="R935" i="1"/>
  <c r="R936" i="1" a="1"/>
  <c r="R936" i="1"/>
  <c r="R937" i="1" a="1"/>
  <c r="R937" i="1"/>
  <c r="R938" i="1" a="1"/>
  <c r="R938" i="1"/>
  <c r="R939" i="1" a="1"/>
  <c r="R939" i="1"/>
  <c r="R940" i="1" a="1"/>
  <c r="R940" i="1"/>
  <c r="R941" i="1" a="1"/>
  <c r="R941" i="1"/>
  <c r="R942" i="1" a="1"/>
  <c r="R942" i="1"/>
  <c r="R943" i="1" a="1"/>
  <c r="R943" i="1"/>
  <c r="R944" i="1" a="1"/>
  <c r="R944" i="1"/>
  <c r="R945" i="1" a="1"/>
  <c r="R945" i="1"/>
  <c r="R946" i="1" a="1"/>
  <c r="R946" i="1"/>
  <c r="R947" i="1" a="1"/>
  <c r="R947" i="1"/>
  <c r="R948" i="1" a="1"/>
  <c r="R948" i="1"/>
  <c r="R949" i="1" a="1"/>
  <c r="R949" i="1"/>
  <c r="R950" i="1" a="1"/>
  <c r="R950" i="1"/>
  <c r="R951" i="1" a="1"/>
  <c r="R951" i="1"/>
  <c r="R952" i="1" a="1"/>
  <c r="R952" i="1"/>
  <c r="R953" i="1" a="1"/>
  <c r="R953" i="1"/>
  <c r="R954" i="1" a="1"/>
  <c r="R954" i="1"/>
  <c r="R955" i="1" a="1"/>
  <c r="R955" i="1"/>
  <c r="R956" i="1" a="1"/>
  <c r="R956" i="1"/>
  <c r="R957" i="1" a="1"/>
  <c r="R957" i="1"/>
  <c r="R958" i="1" a="1"/>
  <c r="R958" i="1"/>
  <c r="R959" i="1" a="1"/>
  <c r="R959" i="1"/>
  <c r="R960" i="1" a="1"/>
  <c r="R960" i="1"/>
  <c r="R961" i="1" a="1"/>
  <c r="R961" i="1"/>
  <c r="R962" i="1" a="1"/>
  <c r="R962" i="1"/>
  <c r="R963" i="1" a="1"/>
  <c r="R963" i="1"/>
  <c r="R964" i="1" a="1"/>
  <c r="R964" i="1"/>
  <c r="R965" i="1" a="1"/>
  <c r="R965" i="1"/>
  <c r="R966" i="1" a="1"/>
  <c r="R966" i="1"/>
  <c r="R967" i="1" a="1"/>
  <c r="R967" i="1"/>
  <c r="R968" i="1" a="1"/>
  <c r="R968" i="1"/>
  <c r="R969" i="1" a="1"/>
  <c r="R969" i="1"/>
  <c r="R970" i="1" a="1"/>
  <c r="R970" i="1"/>
  <c r="R971" i="1" a="1"/>
  <c r="R971" i="1"/>
  <c r="R972" i="1" a="1"/>
  <c r="R972" i="1"/>
  <c r="R973" i="1" a="1"/>
  <c r="R973" i="1"/>
  <c r="R974" i="1" a="1"/>
  <c r="R974" i="1"/>
  <c r="R975" i="1" a="1"/>
  <c r="R975" i="1"/>
  <c r="R976" i="1" a="1"/>
  <c r="R976" i="1"/>
  <c r="R977" i="1" a="1"/>
  <c r="R977" i="1"/>
  <c r="R978" i="1" a="1"/>
  <c r="R978" i="1"/>
  <c r="R979" i="1" a="1"/>
  <c r="R979" i="1"/>
  <c r="R980" i="1" a="1"/>
  <c r="R980" i="1"/>
  <c r="R981" i="1" a="1"/>
  <c r="R981" i="1"/>
  <c r="R982" i="1" a="1"/>
  <c r="R982" i="1"/>
  <c r="R983" i="1" a="1"/>
  <c r="R983" i="1"/>
  <c r="R984" i="1" a="1"/>
  <c r="R984" i="1"/>
  <c r="R985" i="1" a="1"/>
  <c r="R985" i="1"/>
  <c r="R986" i="1" a="1"/>
  <c r="R986" i="1"/>
  <c r="R987" i="1" a="1"/>
  <c r="R987" i="1"/>
  <c r="R988" i="1" a="1"/>
  <c r="R988" i="1"/>
  <c r="R989" i="1" a="1"/>
  <c r="R989" i="1"/>
  <c r="R990" i="1" a="1"/>
  <c r="R990" i="1"/>
  <c r="R991" i="1" a="1"/>
  <c r="R991" i="1"/>
  <c r="R992" i="1" a="1"/>
  <c r="R992" i="1"/>
  <c r="R993" i="1" a="1"/>
  <c r="R993" i="1"/>
  <c r="R994" i="1" a="1"/>
  <c r="R994" i="1"/>
  <c r="R995" i="1" a="1"/>
  <c r="R995" i="1"/>
  <c r="R996" i="1" a="1"/>
  <c r="R996" i="1"/>
  <c r="R997" i="1" a="1"/>
  <c r="R997" i="1"/>
  <c r="R998" i="1" a="1"/>
  <c r="R998" i="1"/>
  <c r="R999" i="1" a="1"/>
  <c r="R999" i="1"/>
  <c r="R1000" i="1" a="1"/>
  <c r="R1000" i="1"/>
  <c r="R1001" i="1" a="1"/>
  <c r="R1001" i="1"/>
  <c r="R3" i="1" a="1"/>
  <c r="R3" i="1"/>
  <c r="R4" i="1" a="1"/>
  <c r="R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<sst xmlns="http://schemas.openxmlformats.org/spreadsheetml/2006/main" count="8031" uniqueCount="1344">
  <si>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</si>
  <si>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</si>
  <si>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</si>
  <si>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</si>
  <si>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</si>
  <si>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</si>
  <si>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</si>
  <si>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</si>
  <si>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</si>
  <si>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</si>
  <si>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</si>
  <si>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</si>
  <si>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Resultat</t>
  </si>
  <si>
    <t>Profil_Eligible</t>
  </si>
  <si>
    <t>Alerte</t>
  </si>
  <si>
    <t>etudiants hors data</t>
  </si>
  <si>
    <t>Note</t>
  </si>
  <si>
    <t>Niveau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</si>
  <si>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</si>
  <si>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</si>
  <si>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</si>
  <si>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</si>
  <si>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</si>
  <si>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</si>
  <si>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</si>
  <si>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</si>
  <si>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</si>
  <si>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</si>
  <si>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</si>
  <si>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</si>
  <si>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</si>
  <si>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</si>
  <si>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</si>
  <si>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</si>
  <si>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</si>
  <si>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</si>
  <si>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</si>
  <si>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</si>
  <si>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</si>
  <si>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</si>
  <si>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</si>
  <si>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</si>
  <si>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</si>
  <si>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</si>
  <si>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</si>
  <si>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</si>
  <si>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</si>
  <si>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</si>
  <si>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</si>
  <si>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</si>
  <si>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</si>
  <si>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</si>
  <si>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</si>
  <si>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</si>
  <si>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</si>
  <si>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</si>
  <si>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</si>
  <si>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</si>
  <si>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</si>
  <si>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</si>
  <si>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</si>
  <si>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</si>
  <si>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</si>
  <si>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</si>
  <si>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</si>
  <si>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</si>
  <si>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</si>
  <si>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</si>
  <si>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</si>
  <si>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</si>
  <si>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</si>
  <si>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</si>
  <si>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</si>
  <si>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</si>
  <si>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</si>
  <si>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</si>
  <si>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</si>
  <si>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</si>
  <si>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</si>
  <si>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</si>
  <si>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</si>
  <si>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</si>
  <si>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</si>
  <si>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</si>
  <si>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</si>
  <si>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</si>
  <si>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</si>
  <si>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</si>
  <si>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</si>
  <si>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</si>
  <si>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</si>
  <si>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</si>
  <si>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</si>
  <si>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</si>
  <si>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</si>
  <si>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</si>
  <si>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</si>
  <si>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</si>
  <si>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</si>
  <si>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</si>
  <si>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</si>
  <si>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</si>
  <si>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</si>
  <si>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</si>
  <si>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</si>
  <si>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</si>
  <si>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</si>
  <si>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</si>
  <si>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</si>
  <si>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</si>
  <si>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</si>
  <si>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</si>
  <si>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</si>
  <si>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</si>
  <si>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</si>
  <si>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</si>
  <si>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</si>
  <si>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</si>
  <si>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</si>
  <si>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</si>
  <si>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</si>
  <si>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</si>
  <si>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</si>
  <si>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</si>
  <si>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</si>
  <si>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</si>
  <si>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</si>
  <si>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</si>
  <si>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</si>
  <si>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</si>
  <si>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</si>
  <si>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</si>
  <si>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</si>
  <si>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</si>
  <si>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</si>
  <si>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</si>
  <si>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</si>
  <si>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</si>
  <si>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</si>
  <si>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</si>
  <si>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</si>
  <si>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</si>
  <si>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</si>
  <si>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</si>
  <si>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</si>
  <si>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</si>
  <si>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</si>
  <si>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</si>
  <si>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</si>
  <si>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</si>
  <si>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</si>
  <si>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</si>
  <si>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</si>
  <si>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</si>
  <si>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</si>
  <si>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</si>
  <si>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</si>
  <si>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</si>
  <si>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</si>
  <si>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</si>
  <si>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</si>
  <si>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</si>
  <si>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</si>
  <si>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</si>
  <si>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</si>
  <si>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</si>
  <si>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</si>
  <si>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</si>
  <si>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</si>
  <si>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</si>
  <si>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</si>
  <si>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</si>
  <si>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</si>
  <si>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</si>
  <si>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</si>
  <si>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</si>
  <si>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</si>
  <si>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</si>
  <si>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</si>
  <si>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</si>
  <si>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</si>
  <si>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</si>
  <si>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</si>
  <si>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</si>
  <si>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</si>
  <si>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</si>
  <si>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</si>
  <si>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</si>
  <si>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</si>
  <si>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</si>
  <si>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</si>
  <si>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</si>
  <si>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</si>
  <si>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</si>
  <si>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</si>
  <si>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</si>
  <si>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</si>
  <si>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</si>
  <si>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</si>
  <si>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</si>
  <si>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</si>
  <si>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</si>
  <si>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</si>
  <si>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</si>
  <si>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</si>
  <si>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</si>
  <si>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</si>
  <si>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</si>
  <si>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</si>
  <si>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</si>
  <si>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</si>
  <si>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</si>
  <si>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</si>
  <si>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</si>
  <si>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</si>
  <si>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</si>
  <si>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</si>
  <si>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</si>
  <si>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</si>
  <si>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</si>
  <si>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</si>
  <si>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</si>
  <si>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</si>
  <si>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</si>
  <si>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</si>
  <si>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</si>
  <si>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</si>
  <si>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</si>
  <si>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</si>
  <si>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</si>
  <si>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</si>
  <si>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</si>
  <si>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</si>
  <si>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</si>
  <si>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</si>
  <si>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</si>
  <si>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</si>
  <si>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</si>
  <si>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</si>
  <si>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</si>
  <si>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</si>
  <si>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</si>
  <si>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</si>
  <si>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</si>
  <si>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</si>
  <si>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</si>
  <si>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</si>
  <si>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</si>
  <si>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</si>
  <si>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</si>
  <si>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</si>
  <si>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</si>
  <si>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</si>
  <si>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</si>
  <si>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</si>
  <si>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</si>
  <si>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</si>
  <si>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</si>
  <si>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</si>
  <si>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</si>
  <si>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</si>
  <si>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</si>
  <si>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</si>
  <si>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</si>
  <si>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</si>
  <si>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</si>
  <si>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</si>
  <si>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</si>
  <si>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</si>
  <si>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</si>
  <si>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</si>
  <si>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</si>
  <si>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</si>
  <si>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</si>
  <si>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</si>
  <si>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</si>
  <si>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</si>
  <si>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</si>
  <si>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</si>
  <si>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</si>
  <si>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</si>
  <si>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</si>
  <si>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</si>
  <si>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</si>
  <si>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</si>
  <si>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</si>
  <si>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</si>
  <si>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</si>
  <si>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</si>
  <si>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</si>
  <si>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</si>
  <si>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</si>
  <si>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</si>
  <si>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</si>
  <si>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</si>
  <si>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</si>
  <si>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</si>
  <si>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</si>
  <si>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</si>
  <si>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</si>
  <si>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</si>
  <si>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</si>
  <si>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</si>
  <si>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</si>
  <si>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</si>
  <si>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</si>
  <si>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</si>
  <si>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</si>
  <si>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</si>
  <si>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</si>
  <si>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</si>
  <si>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</si>
  <si>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</si>
  <si>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</si>
  <si>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</si>
  <si>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</si>
  <si>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</si>
  <si>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</si>
  <si>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</si>
  <si>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</si>
  <si>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</si>
  <si>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</si>
  <si>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</si>
  <si>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</si>
  <si>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</si>
  <si>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</si>
  <si>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</si>
  <si>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</si>
  <si>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</si>
  <si>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</si>
  <si>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</si>
  <si>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</si>
  <si>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</si>
  <si>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</si>
  <si>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</si>
  <si>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</si>
  <si>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</si>
  <si>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</si>
  <si>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</si>
  <si>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</si>
  <si>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</si>
  <si>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</si>
  <si>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</si>
  <si>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</si>
  <si>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</si>
  <si>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</si>
  <si>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</si>
  <si>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</si>
  <si>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</si>
  <si>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</si>
  <si>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</si>
  <si>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</si>
  <si>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</si>
  <si>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</si>
  <si>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</si>
  <si>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</si>
  <si>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</si>
  <si>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</si>
  <si>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</si>
  <si>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</si>
  <si>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</si>
  <si>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</si>
  <si>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</si>
  <si>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</si>
  <si>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</si>
  <si>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</si>
  <si>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</si>
  <si>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</si>
  <si>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</si>
  <si>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</si>
  <si>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</si>
  <si>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</si>
  <si>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</si>
  <si>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</si>
  <si>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</si>
  <si>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</si>
  <si>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</si>
  <si>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</si>
  <si>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</si>
  <si>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</si>
  <si>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</si>
  <si>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</si>
  <si>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</si>
  <si>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</si>
  <si>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</si>
  <si>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</si>
  <si>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</si>
  <si>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</si>
  <si>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</si>
  <si>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</si>
  <si>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</si>
  <si>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</si>
  <si>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</si>
  <si>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</si>
  <si>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</si>
  <si>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</si>
  <si>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</si>
  <si>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</si>
  <si>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</si>
  <si>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</si>
  <si>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</si>
  <si>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</si>
  <si>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</si>
  <si>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</si>
  <si>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</si>
  <si>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</si>
  <si>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</si>
  <si>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</si>
  <si>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</si>
  <si>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</si>
  <si>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</si>
  <si>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</si>
  <si>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</si>
  <si>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</si>
  <si>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</si>
  <si>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</si>
  <si>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</si>
  <si>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</si>
  <si>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</si>
  <si>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</si>
  <si>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</si>
  <si>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</si>
  <si>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</si>
  <si>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</si>
  <si>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</si>
  <si>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</si>
  <si>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</si>
  <si>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</si>
  <si>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</si>
  <si>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</si>
  <si>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</si>
  <si>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</si>
  <si>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</si>
  <si>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</si>
  <si>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</si>
  <si>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</si>
  <si>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</si>
  <si>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</si>
  <si>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</si>
  <si>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</si>
  <si>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</si>
  <si>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</si>
  <si>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</si>
  <si>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</si>
  <si>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</si>
  <si>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</si>
  <si>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</si>
  <si>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</si>
  <si>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</si>
  <si>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</si>
  <si>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</si>
  <si>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</si>
  <si>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</si>
  <si>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</si>
  <si>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</si>
  <si>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</si>
  <si>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</si>
  <si>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</si>
  <si>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</si>
  <si>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</si>
  <si>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</si>
  <si>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</si>
  <si>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</si>
  <si>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</si>
  <si>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</si>
  <si>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</si>
  <si>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</si>
  <si>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</si>
  <si>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</si>
  <si>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</si>
  <si>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</si>
  <si>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</si>
  <si>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</si>
  <si>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</si>
  <si>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</si>
  <si>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</si>
  <si>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</si>
  <si>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</si>
  <si>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</si>
  <si>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</si>
  <si>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</si>
  <si>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</si>
  <si>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</si>
  <si>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</si>
  <si>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</si>
  <si>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</si>
  <si>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</si>
  <si>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</si>
  <si>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</si>
  <si>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</si>
  <si>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</si>
  <si>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</si>
  <si>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</si>
  <si>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</si>
  <si>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</si>
  <si>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</si>
  <si>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</si>
  <si>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</si>
  <si>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</si>
  <si>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</si>
  <si>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</si>
  <si>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</si>
  <si>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</si>
  <si>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</si>
  <si>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</si>
  <si>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</si>
  <si>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</si>
  <si>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</si>
  <si>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</si>
  <si>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</si>
  <si>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</si>
  <si>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</si>
  <si>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</si>
  <si>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</si>
  <si>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</si>
  <si>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</si>
  <si>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</si>
  <si>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</si>
  <si>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</si>
  <si>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</si>
  <si>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</si>
  <si>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</si>
  <si>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</si>
  <si>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</si>
  <si>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</si>
  <si>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</si>
  <si>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</si>
  <si>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</si>
  <si>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</si>
  <si>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</si>
  <si>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</si>
  <si>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</si>
  <si>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</si>
  <si>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</si>
  <si>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</si>
  <si>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</si>
  <si>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</si>
  <si>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</si>
  <si>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</si>
  <si>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</si>
  <si>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</si>
  <si>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</si>
  <si>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</si>
  <si>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</si>
  <si>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</si>
  <si>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</si>
  <si>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</si>
  <si>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</si>
  <si>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</si>
  <si>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</si>
  <si>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</si>
  <si>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</si>
  <si>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</si>
  <si>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</si>
  <si>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</si>
  <si>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</si>
  <si>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</si>
  <si>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</si>
  <si>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</si>
  <si>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</si>
  <si>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</si>
  <si>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</si>
  <si>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</si>
  <si>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</si>
  <si>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</si>
  <si>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</si>
  <si>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</si>
  <si>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</si>
  <si>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</si>
  <si>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</si>
  <si>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</si>
  <si>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</si>
  <si>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</si>
  <si>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</si>
  <si>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</si>
  <si>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</si>
  <si>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</si>
  <si>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</si>
  <si>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</si>
  <si>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</si>
  <si>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</si>
  <si>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</si>
  <si>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</si>
  <si>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</si>
  <si>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</si>
  <si>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</si>
  <si>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</si>
  <si>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</si>
  <si>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</si>
  <si>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</si>
  <si>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</si>
  <si>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</si>
  <si>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</si>
  <si>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</si>
  <si>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</si>
  <si>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</si>
  <si>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</si>
  <si>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</si>
  <si>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</si>
  <si>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</si>
  <si>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</si>
  <si>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</si>
  <si>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</si>
  <si>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</si>
  <si>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</si>
  <si>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</si>
  <si>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</si>
  <si>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</si>
  <si>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</si>
  <si>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</si>
  <si>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</si>
  <si>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</si>
  <si>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</si>
  <si>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</si>
  <si>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</si>
  <si>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</si>
  <si>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</si>
  <si>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</si>
  <si>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</si>
  <si>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</si>
  <si>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</si>
  <si>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</si>
  <si>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</si>
  <si>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</si>
  <si>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</si>
  <si>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</si>
  <si>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</si>
  <si>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</si>
  <si>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</si>
  <si>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</si>
  <si>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</si>
  <si>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</si>
  <si>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</si>
  <si>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</si>
  <si>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</si>
  <si>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</si>
  <si>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</si>
  <si>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</si>
  <si>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</si>
  <si>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</si>
  <si>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</si>
  <si>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</si>
  <si>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</si>
  <si>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</si>
  <si>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</si>
  <si>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</si>
  <si>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</si>
  <si>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</si>
  <si>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</si>
  <si>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</si>
  <si>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</si>
  <si>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</si>
  <si>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</si>
  <si>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</si>
  <si>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</si>
  <si>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</si>
  <si>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</si>
  <si>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</si>
  <si>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</si>
  <si>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</si>
  <si>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</si>
  <si>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</si>
  <si>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</si>
  <si>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</si>
  <si>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</si>
  <si>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</si>
  <si>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</si>
  <si>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</si>
  <si>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</si>
  <si>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</si>
  <si>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</si>
  <si>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</si>
  <si>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</si>
  <si>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</si>
  <si>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</si>
  <si>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</si>
  <si>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</si>
  <si>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</si>
  <si>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</si>
  <si>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</si>
  <si>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</si>
  <si>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</si>
  <si>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</si>
  <si>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</si>
  <si>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</si>
  <si>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</si>
  <si>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</si>
  <si>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</si>
  <si>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</si>
  <si>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</si>
  <si>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</si>
  <si>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</si>
  <si>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</si>
  <si>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</si>
  <si>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</si>
  <si>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</si>
  <si>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</si>
  <si>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</si>
  <si>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</si>
  <si>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</si>
  <si>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</si>
  <si>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</si>
  <si>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</si>
  <si>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</si>
  <si>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</si>
  <si>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</si>
  <si>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</si>
  <si>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</si>
  <si>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</si>
  <si>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</si>
  <si>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</si>
  <si>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</si>
  <si>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</si>
  <si>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</si>
  <si>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</si>
  <si>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</si>
  <si>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</si>
  <si>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</si>
  <si>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</si>
  <si>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</si>
  <si>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</si>
  <si>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</si>
  <si>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</si>
  <si>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</si>
  <si>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</si>
  <si>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</si>
  <si>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</si>
  <si>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</si>
  <si>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</si>
  <si>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</si>
  <si>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</si>
  <si>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</si>
  <si>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</si>
  <si>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</si>
  <si>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</si>
  <si>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</si>
  <si>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</si>
  <si>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</si>
  <si>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</si>
  <si>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</si>
  <si>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</si>
  <si>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</si>
  <si>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</si>
  <si>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</si>
  <si>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</si>
  <si>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</si>
  <si>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</si>
  <si>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</si>
  <si>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</si>
  <si>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</si>
  <si>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</si>
  <si>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</si>
  <si>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</si>
  <si>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</si>
  <si>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</si>
  <si>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</si>
  <si>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</si>
  <si>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</si>
  <si>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</si>
  <si>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</si>
  <si>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</si>
  <si>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</si>
  <si>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</si>
  <si>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</si>
  <si>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</si>
  <si>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</si>
  <si>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</si>
  <si>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</si>
  <si>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</si>
  <si>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</si>
  <si>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</si>
  <si>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</si>
  <si>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</si>
  <si>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</si>
  <si>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</si>
  <si>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</si>
  <si>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</si>
  <si>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</si>
  <si>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</si>
  <si>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</si>
  <si>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</si>
  <si>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</si>
  <si>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</si>
  <si>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</si>
  <si>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</si>
  <si>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</si>
  <si>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</si>
  <si>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</si>
  <si>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</si>
  <si>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</si>
  <si>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</si>
  <si>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</si>
  <si>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</si>
  <si>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</si>
  <si>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</si>
  <si>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</si>
  <si>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</si>
  <si>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</si>
  <si>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</si>
  <si>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</si>
  <si>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</si>
  <si>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</si>
  <si>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</si>
  <si>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</si>
  <si>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</si>
  <si>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</si>
  <si>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</si>
  <si>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</si>
  <si>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</si>
  <si>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</si>
  <si>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</si>
  <si>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</si>
  <si>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</si>
  <si>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</si>
  <si>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</si>
  <si>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</si>
  <si>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</si>
  <si>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</si>
  <si>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</si>
  <si>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</si>
  <si>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</si>
  <si>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</si>
  <si>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</si>
  <si>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</si>
  <si>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</si>
  <si>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</si>
  <si>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</si>
  <si>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</si>
  <si>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</si>
  <si>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</si>
  <si>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</si>
  <si>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</si>
  <si>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</si>
  <si>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</si>
  <si>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</si>
  <si>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</si>
  <si>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</si>
  <si>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</si>
  <si>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</si>
  <si>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</si>
  <si>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</si>
  <si>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</si>
  <si>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</si>
  <si>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</si>
  <si>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</si>
  <si>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</si>
  <si>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</si>
  <si>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</si>
  <si>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</si>
  <si>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</si>
  <si>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</si>
  <si>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</si>
  <si>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</si>
  <si>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</si>
  <si>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</si>
  <si>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</si>
  <si>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</si>
  <si>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</si>
  <si>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</si>
  <si>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</si>
  <si>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</si>
  <si>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</si>
  <si>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</si>
  <si>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</si>
  <si>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</si>
  <si>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</si>
  <si>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</si>
  <si>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</si>
  <si>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</si>
  <si>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</si>
  <si>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</si>
  <si>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</si>
  <si>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</si>
  <si>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</si>
  <si>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</si>
  <si>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</si>
  <si>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</si>
  <si>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</si>
  <si>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</si>
  <si>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</si>
  <si>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</si>
  <si>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</si>
  <si>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</si>
  <si>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</si>
  <si>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</si>
  <si>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</si>
  <si>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</si>
  <si>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</si>
  <si>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</si>
  <si>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</si>
  <si>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</si>
  <si>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</si>
  <si>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</si>
  <si>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</si>
  <si>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</si>
  <si>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</si>
  <si>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</si>
  <si>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</si>
  <si>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</si>
  <si>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</si>
  <si>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</si>
  <si>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</si>
  <si>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</si>
  <si>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</si>
  <si>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</si>
  <si>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</si>
  <si>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</si>
  <si>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</si>
  <si>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</si>
  <si>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</si>
  <si>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</si>
  <si>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</si>
  <si>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</si>
  <si>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</si>
  <si>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</si>
  <si>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</si>
  <si>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</si>
  <si>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</si>
  <si>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</si>
  <si>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</si>
  <si>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</si>
  <si>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</si>
  <si>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</si>
  <si>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</si>
  <si>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</si>
  <si>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</si>
  <si>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</si>
  <si>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</si>
  <si>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</si>
  <si>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</si>
  <si>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</si>
  <si>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</si>
  <si>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</si>
  <si>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</si>
  <si>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</si>
  <si>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</si>
  <si>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</si>
  <si>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</si>
  <si>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</si>
  <si>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</si>
  <si>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</si>
  <si>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</si>
  <si>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</si>
  <si>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</si>
  <si>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</si>
  <si>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</si>
  <si>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</si>
  <si>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</si>
  <si>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</si>
  <si>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</si>
  <si>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</si>
  <si>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</si>
  <si>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</si>
  <si>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</si>
  <si>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</si>
  <si>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</si>
  <si>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</si>
  <si>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</si>
  <si>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</si>
  <si>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</si>
  <si>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</si>
  <si>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</si>
  <si>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</si>
  <si>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</si>
  <si>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</si>
  <si>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</si>
  <si>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</si>
  <si>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</si>
  <si>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</si>
  <si>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</si>
  <si>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</si>
  <si>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</si>
  <si>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</si>
  <si>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</si>
  <si>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</si>
  <si>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</si>
  <si>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</si>
  <si>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</si>
  <si>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</si>
  <si>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</si>
  <si>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</si>
  <si>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</si>
  <si>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</si>
  <si>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</si>
  <si>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</si>
  <si>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</si>
  <si>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</si>
  <si>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</si>
  <si>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</si>
  <si>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</si>
  <si>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</si>
  <si>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</si>
  <si>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</si>
  <si>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</si>
  <si>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</si>
  <si>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</si>
  <si>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</si>
  <si>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</si>
  <si>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</si>
  <si>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</si>
  <si>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</si>
  <si>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</si>
  <si>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</si>
  <si>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</si>
  <si>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</si>
  <si>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</si>
  <si>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</si>
  <si>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</si>
  <si>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</si>
  <si>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</si>
  <si>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</si>
  <si>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</si>
  <si>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</si>
  <si>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</si>
  <si>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</si>
  <si>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</si>
  <si>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</si>
  <si>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</si>
  <si>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</si>
  <si>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</si>
  <si>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</si>
  <si>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</si>
  <si>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</si>
  <si>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</si>
  <si>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</si>
  <si>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</si>
  <si>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</si>
  <si>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</si>
  <si>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</si>
  <si>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</si>
  <si>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</si>
  <si>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</si>
  <si>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</si>
  <si>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</si>
  <si>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</si>
  <si>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</si>
  <si>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</si>
  <si>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</si>
  <si>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</si>
  <si>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</si>
  <si>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</si>
  <si>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</si>
  <si>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</si>
  <si>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</si>
  <si>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</si>
  <si>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</si>
  <si>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</si>
  <si>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</si>
  <si>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</si>
  <si>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</si>
  <si>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</si>
  <si>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</si>
  <si>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</si>
  <si>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</si>
  <si>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</si>
  <si>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</si>
  <si>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</si>
  <si>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</si>
  <si>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</si>
  <si>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</si>
  <si>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</si>
  <si>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</si>
  <si>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</si>
  <si>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</si>
  <si>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</si>
  <si>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</si>
  <si>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</si>
  <si>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</si>
  <si>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</si>
  <si>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</si>
  <si>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</si>
  <si>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</si>
  <si>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</si>
  <si>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</si>
  <si>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</si>
  <si>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</si>
  <si>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</si>
  <si>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</si>
  <si>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</si>
  <si>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</si>
  <si>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</si>
  <si>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</si>
  <si>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</si>
  <si>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</si>
  <si>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</si>
  <si>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</si>
  <si>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</si>
  <si>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</si>
  <si>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</si>
  <si>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</si>
  <si>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</si>
  <si>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</si>
  <si>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</si>
  <si>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</si>
  <si>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</si>
  <si>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</si>
  <si>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</si>
  <si>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</si>
  <si>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</si>
  <si>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</si>
  <si>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</si>
  <si>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</si>
  <si>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</si>
  <si>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</si>
  <si>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</si>
  <si>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</si>
  <si>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</si>
  <si>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</si>
  <si>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</si>
  <si>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</si>
  <si>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</si>
  <si>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</si>
  <si>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</si>
  <si>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</si>
  <si>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</si>
  <si>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</si>
  <si>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</si>
  <si>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</si>
  <si>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</si>
  <si>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</si>
  <si>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</si>
  <si>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</si>
  <si>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</si>
  <si>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</si>
  <si>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</si>
  <si>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</si>
  <si>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</si>
  <si>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</si>
  <si>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</si>
  <si>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</si>
  <si>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</si>
  <si>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</si>
  <si>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</si>
  <si>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</si>
  <si>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</si>
  <si>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</si>
  <si>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</si>
  <si>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</si>
  <si>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</si>
  <si>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</si>
  <si>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</si>
  <si>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</si>
  <si>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</si>
  <si>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</si>
  <si>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</si>
  <si>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</si>
  <si>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</si>
  <si>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</si>
  <si>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</si>
  <si>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</si>
  <si>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</si>
  <si>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</si>
  <si>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</si>
  <si>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</si>
  <si>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</si>
  <si>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</si>
  <si>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</si>
  <si>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</si>
  <si>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</si>
  <si>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</si>
  <si>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</si>
  <si>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</si>
  <si>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</si>
  <si>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</si>
  <si>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</si>
  <si>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</si>
  <si>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</si>
  <si>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</si>
  <si>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</si>
  <si>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</si>
  <si>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</si>
  <si>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</si>
  <si>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</si>
  <si>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</si>
  <si>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</si>
  <si>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</si>
  <si>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</si>
  <si>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</si>
  <si>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</si>
  <si>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</si>
  <si>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</si>
  <si>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</si>
  <si>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</si>
  <si>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</si>
  <si>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</si>
  <si>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</si>
  <si>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</si>
  <si>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</si>
  <si>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</si>
  <si>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</si>
  <si>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</si>
  <si>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</si>
  <si>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</si>
  <si>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</si>
  <si>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</si>
  <si>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</si>
  <si>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</si>
  <si>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</si>
  <si>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</si>
  <si>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</si>
  <si>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</si>
  <si>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</si>
  <si>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</si>
  <si>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</si>
  <si>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</si>
  <si>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</si>
  <si>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</si>
  <si>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</si>
  <si>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</si>
  <si>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</si>
  <si>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</si>
  <si>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</si>
  <si>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</si>
  <si>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</si>
  <si>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</si>
  <si>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</si>
  <si>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</si>
  <si>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</si>
  <si>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</si>
  <si>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</si>
  <si>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</si>
  <si>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</si>
  <si>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</si>
  <si>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</si>
  <si>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</si>
  <si>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</si>
  <si>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</si>
  <si>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</si>
  <si>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</si>
  <si>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</si>
  <si>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</si>
  <si>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</si>
  <si>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</si>
  <si>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</si>
  <si>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</si>
  <si>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</si>
  <si>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</si>
  <si>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</si>
  <si>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</si>
  <si>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</si>
  <si>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</si>
  <si>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</si>
  <si>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</si>
  <si>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</si>
  <si>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</si>
  <si>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</si>
  <si>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</si>
  <si>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</si>
  <si>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</si>
  <si>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</si>
  <si>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</si>
  <si>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</si>
  <si>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</si>
  <si>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</si>
  <si>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</si>
  <si>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</si>
  <si>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</si>
  <si>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</si>
  <si>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</si>
  <si>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</si>
  <si>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</si>
  <si>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</si>
  <si>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</si>
  <si>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</si>
  <si>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</si>
  <si>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</si>
  <si>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</si>
  <si>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</si>
  <si>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</si>
  <si>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</si>
  <si>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</si>
  <si>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</si>
  <si>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</si>
  <si>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</si>
  <si>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</si>
  <si>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</si>
  <si>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</si>
  <si>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</si>
  <si>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</si>
  <si>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</si>
  <si>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</si>
  <si>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</si>
  <si>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</si>
  <si>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</si>
  <si>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</si>
  <si>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</si>
  <si>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</si>
  <si>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</si>
  <si>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</si>
  <si>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</si>
  <si>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</si>
  <si>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</si>
  <si>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</si>
  <si>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</si>
  <si>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</si>
  <si>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</si>
  <si>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</si>
  <si>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</si>
  <si>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</si>
  <si>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</si>
  <si>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</si>
  <si>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</si>
  <si>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</si>
  <si>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</si>
  <si>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</si>
  <si>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</si>
  <si>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</si>
  <si>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</si>
  <si>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</si>
  <si>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</si>
  <si>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</si>
  <si>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</si>
  <si>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</si>
  <si>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</si>
  <si>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</si>
  <si>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</si>
  <si>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</si>
  <si>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</si>
  <si>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</si>
  <si>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</si>
  <si>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</si>
  <si>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</si>
  <si>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</si>
  <si>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</si>
  <si>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</si>
  <si>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</si>
  <si>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</si>
  <si>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</si>
  <si>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</si>
  <si>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</si>
  <si>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</si>
  <si>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</si>
  <si>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</si>
  <si>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</si>
  <si>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</si>
  <si>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</si>
  <si>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</si>
  <si>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</si>
  <si>
    <t>Total</t>
  </si>
  <si>
    <t>Nombre</t>
  </si>
  <si>
    <t>Moyenne</t>
  </si>
  <si>
    <t>Decision</t>
  </si>
  <si>
    <t>Mention</t>
  </si>
  <si>
    <t>Statut_filiere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</si>
</sst>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\ &quot;CFA&quot;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1" fillId="0" borderId="3" xfId="0" applyFont="1" applyBorder="1" applyAlignment="1">
      <alignment horizontal="center" vertical="top"/>
    </xf>
    <xf numFmtId="0" fontId="2" fillId="0" borderId="4" xfId="0" applyFont="1" applyBorder="1"/>
    <xf numFmtId="0" fontId="3" fillId="0" borderId="4" xfId="0" applyFont="1" applyBorder="1"/>
    <xf numFmtId="0" fontId="0" fillId="0" borderId="2" xfId="0" applyBorder="1"/>
    <xf numFmtId="0" fontId="2" fillId="0" borderId="2" xfId="0" applyFont="1" applyBorder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0" fontId="1" fillId="0" borderId="0" xfId="0" applyFont="1" applyBorder="1" applyAlignment="1">
      <alignment horizontal="center" vertical="top"/>
    </xf>
    <xf numFmtId="165" fontId="1" fillId="0" borderId="0" xfId="0" applyNumberFormat="1" applyFont="1" applyBorder="1" applyAlignment="1">
      <alignment horizontal="center" vertical="top"/>
    </xf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 applyBorder="1"/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opLeftCell="M1" workbookViewId="0">
      <selection activeCell="T33" sqref="T33"/>
    </sheetView>
  </sheetViews>
  <sheetFormatPr defaultRowHeight="15"/>
  <cols>
    <col min="1" max="1" width="7.5703125" bestFit="1" customWidth="1"/>
    <col min="2" max="2" width="18.5703125" bestFit="1" customWidth="1"/>
    <col min="3" max="3" width="5.28515625" bestFit="1" customWidth="1"/>
    <col min="4" max="4" width="10.85546875" bestFit="1" customWidth="1"/>
    <col min="5" max="5" width="15.7109375" bestFit="1" customWidth="1"/>
    <col min="6" max="7" width="6.140625" bestFit="1" customWidth="1"/>
    <col min="8" max="8" width="7.42578125" bestFit="1" customWidth="1"/>
    <col min="9" max="9" width="11.5703125" bestFit="1" customWidth="1"/>
    <col min="10" max="10" width="9.140625" style="4"/>
    <col min="11" max="11" width="11.5703125" bestFit="1" customWidth="1"/>
    <col min="12" max="12" width="19.5703125" bestFit="1" customWidth="1"/>
    <col min="13" max="13" width="10.5703125" bestFit="1" customWidth="1"/>
    <col min="14" max="14" width="13.5703125" bestFit="1" customWidth="1"/>
    <col min="15" max="15" width="11.28515625" bestFit="1" customWidth="1"/>
    <col min="16" max="16" width="18.7109375" bestFit="1" customWidth="1"/>
    <col min="17" max="17" width="8.140625" bestFit="1" customWidth="1"/>
    <col min="18" max="18" width="10.5703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5" t="s">
        <v>11</v>
      </c>
      <c r="M1" s="6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9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12.13</v>
      </c>
      <c r="G2">
        <v>11.08</v>
      </c>
      <c r="H2">
        <v>11.09</v>
      </c>
      <c r="I2">
        <v>14.41</v>
      </c>
      <c r="J2" s="4">
        <v>0.91869999999999996</v>
      </c>
      <c r="K2">
        <v>75000</v>
      </c>
      <c r="L2" s="2">
        <v>45854</v>
      </c>
      <c r="M2" t="str">
        <f>IF(H2&gt;=10,"Admis","Non admis")</f>
        <v>Admis</v>
      </c>
      <c r="N2" t="str">
        <f>IF(AND(F2&gt;=12,H2&gt;=12,J2&gt;80%), "Eligible", "Non Eligible")</f>
        <v>Non Eligible</v>
      </c>
      <c r="O2" t="str">
        <f>IF(OR(F2&lt;10,H2&lt;10), "A surveiller", "RAS")</f>
        <v>RAS</v>
      </c>
      <c r="P2" t="str">
        <f>IF(NOT(E2="Data"), "Hors Data", "Data")</f>
        <v>Data</v>
      </c>
      <c r="Q2">
        <f>AVERAGE(F2:I2)</f>
        <v>12.177499999999998</v>
      </c>
      <c r="R2" t="str" cm="1">
        <f t="array" ref="R2">_xlfn.IFS(Q2&gt;=16, "Excellent",Q2&gt;=14, "Très bien", Q2&gt;=12, "Bien", Q2&gt;=10, "Passable", Q2&lt;10, "Insuffisant")</f>
        <v>Bien</v>
      </c>
    </row>
    <row r="3" spans="1:18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15.39</v>
      </c>
      <c r="G3">
        <v>18.309999999999999</v>
      </c>
      <c r="H3">
        <v>20</v>
      </c>
      <c r="I3">
        <v>12.86</v>
      </c>
      <c r="J3" s="4">
        <v>0.81930000000000003</v>
      </c>
      <c r="K3">
        <v>90000</v>
      </c>
      <c r="L3" s="2">
        <v>45633</v>
      </c>
      <c r="M3" t="str">
        <f t="shared" ref="M3:M66" si="0">IF(H3&gt;=10,"Admis","Non admis")</f>
        <v>Admis</v>
      </c>
      <c r="N3" t="str">
        <f t="shared" ref="N3:N66" si="1">IF(AND(F3&gt;=12,H3&gt;=12,J3&gt;80%), "Eligible", "Non Eligible")</f>
        <v>Eligible</v>
      </c>
      <c r="O3" t="str">
        <f t="shared" ref="O3:O66" si="2">IF(OR(F3&lt;10,H3&lt;10), "A surveiller", "RAS")</f>
        <v>RAS</v>
      </c>
      <c r="P3" t="str">
        <f t="shared" ref="P3:P66" si="3">IF(NOT(E3="Data"), "Hors Data", "Data")</f>
        <v>Hors Data</v>
      </c>
      <c r="Q3">
        <f t="shared" ref="Q3:Q66" si="4">AVERAGE(F3:I3)</f>
        <v>16.64</v>
      </c>
      <c r="R3" t="str" cm="1">
        <f t="array" ref="R3">_xlfn.IFS(Q3&gt;=16, "Excellent",Q3&gt;=14, "Très bien", Q3&gt;=12, "Bien", Q3&gt;=10, "Passable", Q3&lt;10, "Insuffisant")</f>
        <v>Excellent</v>
      </c>
    </row>
    <row r="4" spans="1:18">
      <c r="A4" t="s">
        <v>28</v>
      </c>
      <c r="B4" t="s">
        <v>29</v>
      </c>
      <c r="C4" t="s">
        <v>25</v>
      </c>
      <c r="D4" t="s">
        <v>21</v>
      </c>
      <c r="E4" t="s">
        <v>22</v>
      </c>
      <c r="F4">
        <v>11.17</v>
      </c>
      <c r="G4">
        <v>14.41</v>
      </c>
      <c r="H4">
        <v>19.760000000000002</v>
      </c>
      <c r="I4">
        <v>13.06</v>
      </c>
      <c r="J4" s="4">
        <v>0.79079999999999995</v>
      </c>
      <c r="K4">
        <v>85000</v>
      </c>
      <c r="L4" s="2">
        <v>45682</v>
      </c>
      <c r="M4" t="str">
        <f t="shared" si="0"/>
        <v>Admis</v>
      </c>
      <c r="N4" t="str">
        <f t="shared" si="1"/>
        <v>Non Eligible</v>
      </c>
      <c r="O4" t="str">
        <f t="shared" si="2"/>
        <v>RAS</v>
      </c>
      <c r="P4" t="str">
        <f t="shared" si="3"/>
        <v>Data</v>
      </c>
      <c r="Q4">
        <f t="shared" si="4"/>
        <v>14.600000000000001</v>
      </c>
      <c r="R4" t="str" cm="1">
        <f t="array" ref="R4">_xlfn.IFS(Q4&gt;=16, "Excellent",Q4&gt;=14, "Très bien", Q4&gt;=12, "Bien", Q4&gt;=10, "Passable", Q4&lt;10, "Insuffisant")</f>
        <v>Très bien</v>
      </c>
    </row>
    <row r="5" spans="1:18">
      <c r="A5" t="s">
        <v>30</v>
      </c>
      <c r="B5" t="s">
        <v>31</v>
      </c>
      <c r="C5" t="s">
        <v>20</v>
      </c>
      <c r="D5" t="s">
        <v>26</v>
      </c>
      <c r="E5" t="s">
        <v>27</v>
      </c>
      <c r="F5">
        <v>14.17</v>
      </c>
      <c r="G5">
        <v>10.220000000000001</v>
      </c>
      <c r="H5">
        <v>10.26</v>
      </c>
      <c r="I5">
        <v>14.91</v>
      </c>
      <c r="J5" s="4">
        <v>0.76400000000000001</v>
      </c>
      <c r="K5">
        <v>120000</v>
      </c>
      <c r="L5" s="2">
        <v>45844</v>
      </c>
      <c r="M5" t="str">
        <f t="shared" si="0"/>
        <v>Admis</v>
      </c>
      <c r="N5" t="str">
        <f t="shared" si="1"/>
        <v>Non Eligible</v>
      </c>
      <c r="O5" t="str">
        <f t="shared" si="2"/>
        <v>RAS</v>
      </c>
      <c r="P5" t="str">
        <f t="shared" si="3"/>
        <v>Hors Data</v>
      </c>
      <c r="Q5">
        <f t="shared" si="4"/>
        <v>12.39</v>
      </c>
      <c r="R5" t="str" cm="1">
        <f t="array" ref="R5">_xlfn.IFS(Q5&gt;=16, "Excellent",Q5&gt;=14, "Très bien", Q5&gt;=12, "Bien", Q5&gt;=10, "Passable", Q5&lt;10, "Insuffisant")</f>
        <v>Bien</v>
      </c>
    </row>
    <row r="6" spans="1:18">
      <c r="A6" t="s">
        <v>32</v>
      </c>
      <c r="B6" t="s">
        <v>33</v>
      </c>
      <c r="C6" t="s">
        <v>20</v>
      </c>
      <c r="D6" t="s">
        <v>34</v>
      </c>
      <c r="E6" t="s">
        <v>35</v>
      </c>
      <c r="F6">
        <v>13.23</v>
      </c>
      <c r="G6">
        <v>10.49</v>
      </c>
      <c r="H6">
        <v>10.63</v>
      </c>
      <c r="I6">
        <v>13.04</v>
      </c>
      <c r="J6" s="4">
        <v>0.73070000000000002</v>
      </c>
      <c r="K6">
        <v>70000</v>
      </c>
      <c r="L6" s="2">
        <v>46019</v>
      </c>
      <c r="M6" t="str">
        <f t="shared" si="0"/>
        <v>Admis</v>
      </c>
      <c r="N6" t="str">
        <f t="shared" si="1"/>
        <v>Non Eligible</v>
      </c>
      <c r="O6" t="str">
        <f t="shared" si="2"/>
        <v>RAS</v>
      </c>
      <c r="P6" t="str">
        <f t="shared" si="3"/>
        <v>Hors Data</v>
      </c>
      <c r="Q6">
        <f t="shared" si="4"/>
        <v>11.8475</v>
      </c>
      <c r="R6" t="str" cm="1">
        <f t="array" ref="R6">_xlfn.IFS(Q6&gt;=16, "Excellent",Q6&gt;=14, "Très bien", Q6&gt;=12, "Bien", Q6&gt;=10, "Passable", Q6&lt;10, "Insuffisant")</f>
        <v>Passable</v>
      </c>
    </row>
    <row r="7" spans="1:18">
      <c r="A7" t="s">
        <v>36</v>
      </c>
      <c r="B7" t="s">
        <v>37</v>
      </c>
      <c r="C7" t="s">
        <v>25</v>
      </c>
      <c r="D7" t="s">
        <v>38</v>
      </c>
      <c r="E7" t="s">
        <v>27</v>
      </c>
      <c r="F7">
        <v>16.079999999999998</v>
      </c>
      <c r="G7">
        <v>16.989999999999998</v>
      </c>
      <c r="H7">
        <v>12.22</v>
      </c>
      <c r="I7">
        <v>11.87</v>
      </c>
      <c r="J7" s="4">
        <v>0.7429</v>
      </c>
      <c r="K7">
        <v>85000</v>
      </c>
      <c r="L7" s="2">
        <v>45826</v>
      </c>
      <c r="M7" t="str">
        <f t="shared" si="0"/>
        <v>Admis</v>
      </c>
      <c r="N7" t="str">
        <f t="shared" si="1"/>
        <v>Non Eligible</v>
      </c>
      <c r="O7" t="str">
        <f t="shared" si="2"/>
        <v>RAS</v>
      </c>
      <c r="P7" t="str">
        <f t="shared" si="3"/>
        <v>Hors Data</v>
      </c>
      <c r="Q7">
        <f t="shared" si="4"/>
        <v>14.289999999999997</v>
      </c>
      <c r="R7" t="str" cm="1">
        <f t="array" ref="R7">_xlfn.IFS(Q7&gt;=16, "Excellent",Q7&gt;=14, "Très bien", Q7&gt;=12, "Bien", Q7&gt;=10, "Passable", Q7&lt;10, "Insuffisant")</f>
        <v>Très bien</v>
      </c>
    </row>
    <row r="8" spans="1:18">
      <c r="A8" t="s">
        <v>39</v>
      </c>
      <c r="B8" t="s">
        <v>40</v>
      </c>
      <c r="C8" t="s">
        <v>20</v>
      </c>
      <c r="D8" t="s">
        <v>41</v>
      </c>
      <c r="E8" t="s">
        <v>27</v>
      </c>
      <c r="F8">
        <v>16.97</v>
      </c>
      <c r="G8">
        <v>18.260000000000002</v>
      </c>
      <c r="H8">
        <v>15.2</v>
      </c>
      <c r="I8">
        <v>12.16</v>
      </c>
      <c r="J8" s="4">
        <v>0.75839999999999996</v>
      </c>
      <c r="K8">
        <v>60000</v>
      </c>
      <c r="L8" s="2">
        <v>45915</v>
      </c>
      <c r="M8" t="str">
        <f t="shared" si="0"/>
        <v>Admis</v>
      </c>
      <c r="N8" t="str">
        <f t="shared" si="1"/>
        <v>Non Eligible</v>
      </c>
      <c r="O8" t="str">
        <f t="shared" si="2"/>
        <v>RAS</v>
      </c>
      <c r="P8" t="str">
        <f t="shared" si="3"/>
        <v>Hors Data</v>
      </c>
      <c r="Q8">
        <f t="shared" si="4"/>
        <v>15.647500000000001</v>
      </c>
      <c r="R8" t="str" cm="1">
        <f t="array" ref="R8">_xlfn.IFS(Q8&gt;=16, "Excellent",Q8&gt;=14, "Très bien", Q8&gt;=12, "Bien", Q8&gt;=10, "Passable", Q8&lt;10, "Insuffisant")</f>
        <v>Très bien</v>
      </c>
    </row>
    <row r="9" spans="1:18">
      <c r="A9" t="s">
        <v>42</v>
      </c>
      <c r="B9" t="s">
        <v>43</v>
      </c>
      <c r="C9" t="s">
        <v>25</v>
      </c>
      <c r="D9" t="s">
        <v>26</v>
      </c>
      <c r="E9" t="s">
        <v>27</v>
      </c>
      <c r="F9">
        <v>7.57</v>
      </c>
      <c r="G9">
        <v>11.81</v>
      </c>
      <c r="H9">
        <v>12.87</v>
      </c>
      <c r="I9">
        <v>10.09</v>
      </c>
      <c r="J9" s="4">
        <v>0.95250000000000001</v>
      </c>
      <c r="K9">
        <v>90000</v>
      </c>
      <c r="L9" s="2">
        <v>45901</v>
      </c>
      <c r="M9" t="str">
        <f t="shared" si="0"/>
        <v>Admis</v>
      </c>
      <c r="N9" t="str">
        <f t="shared" si="1"/>
        <v>Non Eligible</v>
      </c>
      <c r="O9" t="str">
        <f t="shared" si="2"/>
        <v>A surveiller</v>
      </c>
      <c r="P9" t="str">
        <f t="shared" si="3"/>
        <v>Hors Data</v>
      </c>
      <c r="Q9">
        <f t="shared" si="4"/>
        <v>10.585000000000001</v>
      </c>
      <c r="R9" t="str" cm="1">
        <f t="array" ref="R9">_xlfn.IFS(Q9&gt;=16, "Excellent",Q9&gt;=14, "Très bien", Q9&gt;=12, "Bien", Q9&gt;=10, "Passable", Q9&lt;10, "Insuffisant")</f>
        <v>Passable</v>
      </c>
    </row>
    <row r="10" spans="1:18">
      <c r="A10" t="s">
        <v>44</v>
      </c>
      <c r="B10" t="s">
        <v>45</v>
      </c>
      <c r="C10" t="s">
        <v>20</v>
      </c>
      <c r="D10" t="s">
        <v>26</v>
      </c>
      <c r="E10" t="s">
        <v>27</v>
      </c>
      <c r="F10">
        <v>7.43</v>
      </c>
      <c r="G10">
        <v>14.27</v>
      </c>
      <c r="H10">
        <v>12.08</v>
      </c>
      <c r="I10">
        <v>8.82</v>
      </c>
      <c r="J10" s="4">
        <v>0.87990000000000002</v>
      </c>
      <c r="K10">
        <v>50000</v>
      </c>
      <c r="L10" s="2">
        <v>45724</v>
      </c>
      <c r="M10" t="str">
        <f t="shared" si="0"/>
        <v>Admis</v>
      </c>
      <c r="N10" t="str">
        <f t="shared" si="1"/>
        <v>Non Eligible</v>
      </c>
      <c r="O10" t="str">
        <f t="shared" si="2"/>
        <v>A surveiller</v>
      </c>
      <c r="P10" t="str">
        <f t="shared" si="3"/>
        <v>Hors Data</v>
      </c>
      <c r="Q10">
        <f t="shared" si="4"/>
        <v>10.65</v>
      </c>
      <c r="R10" t="str" cm="1">
        <f t="array" ref="R10">_xlfn.IFS(Q10&gt;=16, "Excellent",Q10&gt;=14, "Très bien", Q10&gt;=12, "Bien", Q10&gt;=10, "Passable", Q10&lt;10, "Insuffisant")</f>
        <v>Passable</v>
      </c>
    </row>
    <row r="11" spans="1:18">
      <c r="A11" t="s">
        <v>46</v>
      </c>
      <c r="B11" t="s">
        <v>47</v>
      </c>
      <c r="C11" t="s">
        <v>20</v>
      </c>
      <c r="D11" t="s">
        <v>41</v>
      </c>
      <c r="E11" t="s">
        <v>48</v>
      </c>
      <c r="F11">
        <v>14.93</v>
      </c>
      <c r="G11">
        <v>19.32</v>
      </c>
      <c r="H11">
        <v>17.170000000000002</v>
      </c>
      <c r="I11">
        <v>16.940000000000001</v>
      </c>
      <c r="J11" s="4">
        <v>0.74860000000000004</v>
      </c>
      <c r="K11">
        <v>80000</v>
      </c>
      <c r="L11" s="2">
        <v>45731</v>
      </c>
      <c r="M11" t="str">
        <f t="shared" si="0"/>
        <v>Admis</v>
      </c>
      <c r="N11" t="str">
        <f t="shared" si="1"/>
        <v>Non Eligible</v>
      </c>
      <c r="O11" t="str">
        <f t="shared" si="2"/>
        <v>RAS</v>
      </c>
      <c r="P11" t="str">
        <f t="shared" si="3"/>
        <v>Hors Data</v>
      </c>
      <c r="Q11">
        <f t="shared" si="4"/>
        <v>17.09</v>
      </c>
      <c r="R11" t="str" cm="1">
        <f t="array" ref="R11">_xlfn.IFS(Q11&gt;=16, "Excellent",Q11&gt;=14, "Très bien", Q11&gt;=12, "Bien", Q11&gt;=10, "Passable", Q11&lt;10, "Insuffisant")</f>
        <v>Excellent</v>
      </c>
    </row>
    <row r="12" spans="1:18">
      <c r="A12" t="s">
        <v>49</v>
      </c>
      <c r="B12" t="s">
        <v>50</v>
      </c>
      <c r="C12" t="s">
        <v>25</v>
      </c>
      <c r="D12" t="s">
        <v>38</v>
      </c>
      <c r="E12" t="s">
        <v>27</v>
      </c>
      <c r="F12">
        <v>10.02</v>
      </c>
      <c r="G12">
        <v>14.25</v>
      </c>
      <c r="H12">
        <v>13.71</v>
      </c>
      <c r="I12">
        <v>9.16</v>
      </c>
      <c r="J12" s="4">
        <v>0.78959999999999997</v>
      </c>
      <c r="K12">
        <v>50000</v>
      </c>
      <c r="L12" s="2">
        <v>45834</v>
      </c>
      <c r="M12" t="str">
        <f t="shared" si="0"/>
        <v>Admis</v>
      </c>
      <c r="N12" t="str">
        <f t="shared" si="1"/>
        <v>Non Eligible</v>
      </c>
      <c r="O12" t="str">
        <f t="shared" si="2"/>
        <v>RAS</v>
      </c>
      <c r="P12" t="str">
        <f t="shared" si="3"/>
        <v>Hors Data</v>
      </c>
      <c r="Q12">
        <f t="shared" si="4"/>
        <v>11.785</v>
      </c>
      <c r="R12" t="str" cm="1">
        <f t="array" ref="R12">_xlfn.IFS(Q12&gt;=16, "Excellent",Q12&gt;=14, "Très bien", Q12&gt;=12, "Bien", Q12&gt;=10, "Passable", Q12&lt;10, "Insuffisant")</f>
        <v>Passable</v>
      </c>
    </row>
    <row r="13" spans="1:18">
      <c r="A13" t="s">
        <v>51</v>
      </c>
      <c r="B13" t="s">
        <v>52</v>
      </c>
      <c r="C13" t="s">
        <v>25</v>
      </c>
      <c r="D13" t="s">
        <v>53</v>
      </c>
      <c r="E13" t="s">
        <v>22</v>
      </c>
      <c r="F13">
        <v>11.19</v>
      </c>
      <c r="G13">
        <v>7.93</v>
      </c>
      <c r="H13">
        <v>8.2100000000000009</v>
      </c>
      <c r="I13">
        <v>11.22</v>
      </c>
      <c r="J13" s="4">
        <v>0.9133</v>
      </c>
      <c r="K13">
        <v>75000</v>
      </c>
      <c r="L13" s="2">
        <v>45558</v>
      </c>
      <c r="M13" t="str">
        <f t="shared" si="0"/>
        <v>Non admis</v>
      </c>
      <c r="N13" t="str">
        <f t="shared" si="1"/>
        <v>Non Eligible</v>
      </c>
      <c r="O13" t="str">
        <f t="shared" si="2"/>
        <v>A surveiller</v>
      </c>
      <c r="P13" t="str">
        <f t="shared" si="3"/>
        <v>Data</v>
      </c>
      <c r="Q13">
        <f t="shared" si="4"/>
        <v>9.6374999999999993</v>
      </c>
      <c r="R13" t="str" cm="1">
        <f t="array" ref="R13">_xlfn.IFS(Q13&gt;=16, "Excellent",Q13&gt;=14, "Très bien", Q13&gt;=12, "Bien", Q13&gt;=10, "Passable", Q13&lt;10, "Insuffisant")</f>
        <v>Insuffisant</v>
      </c>
    </row>
    <row r="14" spans="1:18">
      <c r="A14" t="s">
        <v>54</v>
      </c>
      <c r="B14" t="s">
        <v>55</v>
      </c>
      <c r="C14" t="s">
        <v>25</v>
      </c>
      <c r="D14" t="s">
        <v>34</v>
      </c>
      <c r="E14" t="s">
        <v>22</v>
      </c>
      <c r="F14">
        <v>15.52</v>
      </c>
      <c r="G14">
        <v>18.95</v>
      </c>
      <c r="H14">
        <v>14.41</v>
      </c>
      <c r="I14">
        <v>14.9</v>
      </c>
      <c r="J14" s="4">
        <v>0.87109999999999999</v>
      </c>
      <c r="K14">
        <v>85000</v>
      </c>
      <c r="L14" s="2">
        <v>46015</v>
      </c>
      <c r="M14" t="str">
        <f t="shared" si="0"/>
        <v>Admis</v>
      </c>
      <c r="N14" t="str">
        <f t="shared" si="1"/>
        <v>Eligible</v>
      </c>
      <c r="O14" t="str">
        <f t="shared" si="2"/>
        <v>RAS</v>
      </c>
      <c r="P14" t="str">
        <f t="shared" si="3"/>
        <v>Data</v>
      </c>
      <c r="Q14">
        <f t="shared" si="4"/>
        <v>15.944999999999999</v>
      </c>
      <c r="R14" t="str" cm="1">
        <f t="array" ref="R14">_xlfn.IFS(Q14&gt;=16, "Excellent",Q14&gt;=14, "Très bien", Q14&gt;=12, "Bien", Q14&gt;=10, "Passable", Q14&lt;10, "Insuffisant")</f>
        <v>Très bien</v>
      </c>
    </row>
    <row r="15" spans="1:18">
      <c r="A15" t="s">
        <v>56</v>
      </c>
      <c r="B15" t="s">
        <v>57</v>
      </c>
      <c r="C15" t="s">
        <v>25</v>
      </c>
      <c r="D15" t="s">
        <v>38</v>
      </c>
      <c r="E15" t="s">
        <v>48</v>
      </c>
      <c r="F15">
        <v>17.22</v>
      </c>
      <c r="G15">
        <v>16.38</v>
      </c>
      <c r="H15">
        <v>14.95</v>
      </c>
      <c r="I15">
        <v>15.12</v>
      </c>
      <c r="J15" s="4">
        <v>0.73260000000000003</v>
      </c>
      <c r="K15">
        <v>75000</v>
      </c>
      <c r="L15" s="2">
        <v>45966</v>
      </c>
      <c r="M15" t="str">
        <f t="shared" si="0"/>
        <v>Admis</v>
      </c>
      <c r="N15" t="str">
        <f t="shared" si="1"/>
        <v>Non Eligible</v>
      </c>
      <c r="O15" t="str">
        <f t="shared" si="2"/>
        <v>RAS</v>
      </c>
      <c r="P15" t="str">
        <f t="shared" si="3"/>
        <v>Hors Data</v>
      </c>
      <c r="Q15">
        <f t="shared" si="4"/>
        <v>15.917499999999999</v>
      </c>
      <c r="R15" t="str" cm="1">
        <f t="array" ref="R15">_xlfn.IFS(Q15&gt;=16, "Excellent",Q15&gt;=14, "Très bien", Q15&gt;=12, "Bien", Q15&gt;=10, "Passable", Q15&lt;10, "Insuffisant")</f>
        <v>Très bien</v>
      </c>
    </row>
    <row r="16" spans="1:18">
      <c r="A16" t="s">
        <v>58</v>
      </c>
      <c r="B16" t="s">
        <v>59</v>
      </c>
      <c r="C16" t="s">
        <v>25</v>
      </c>
      <c r="D16" t="s">
        <v>21</v>
      </c>
      <c r="E16" t="s">
        <v>27</v>
      </c>
      <c r="F16">
        <v>10.09</v>
      </c>
      <c r="G16">
        <v>8.77</v>
      </c>
      <c r="H16">
        <v>5.93</v>
      </c>
      <c r="I16">
        <v>12.28</v>
      </c>
      <c r="J16" s="4">
        <v>0.95089999999999997</v>
      </c>
      <c r="K16">
        <v>80000</v>
      </c>
      <c r="L16" s="2">
        <v>45750</v>
      </c>
      <c r="M16" t="str">
        <f t="shared" si="0"/>
        <v>Non admis</v>
      </c>
      <c r="N16" t="str">
        <f t="shared" si="1"/>
        <v>Non Eligible</v>
      </c>
      <c r="O16" t="str">
        <f t="shared" si="2"/>
        <v>A surveiller</v>
      </c>
      <c r="P16" t="str">
        <f t="shared" si="3"/>
        <v>Hors Data</v>
      </c>
      <c r="Q16">
        <f t="shared" si="4"/>
        <v>9.2675000000000001</v>
      </c>
      <c r="R16" t="str" cm="1">
        <f t="array" ref="R16">_xlfn.IFS(Q16&gt;=16, "Excellent",Q16&gt;=14, "Très bien", Q16&gt;=12, "Bien", Q16&gt;=10, "Passable", Q16&lt;10, "Insuffisant")</f>
        <v>Insuffisant</v>
      </c>
    </row>
    <row r="17" spans="1:18">
      <c r="A17" t="s">
        <v>60</v>
      </c>
      <c r="B17" t="s">
        <v>61</v>
      </c>
      <c r="C17" t="s">
        <v>25</v>
      </c>
      <c r="D17" t="s">
        <v>38</v>
      </c>
      <c r="E17" t="s">
        <v>27</v>
      </c>
      <c r="F17">
        <v>14.6</v>
      </c>
      <c r="G17">
        <v>13.07</v>
      </c>
      <c r="H17">
        <v>11.79</v>
      </c>
      <c r="I17">
        <v>13.08</v>
      </c>
      <c r="J17" s="4">
        <v>0.79810000000000003</v>
      </c>
      <c r="K17">
        <v>60000</v>
      </c>
      <c r="L17" s="2">
        <v>45797</v>
      </c>
      <c r="M17" t="str">
        <f t="shared" si="0"/>
        <v>Admis</v>
      </c>
      <c r="N17" t="str">
        <f t="shared" si="1"/>
        <v>Non Eligible</v>
      </c>
      <c r="O17" t="str">
        <f t="shared" si="2"/>
        <v>RAS</v>
      </c>
      <c r="P17" t="str">
        <f t="shared" si="3"/>
        <v>Hors Data</v>
      </c>
      <c r="Q17">
        <f t="shared" si="4"/>
        <v>13.135</v>
      </c>
      <c r="R17" t="str" cm="1">
        <f t="array" ref="R17">_xlfn.IFS(Q17&gt;=16, "Excellent",Q17&gt;=14, "Très bien", Q17&gt;=12, "Bien", Q17&gt;=10, "Passable", Q17&lt;10, "Insuffisant")</f>
        <v>Bien</v>
      </c>
    </row>
    <row r="18" spans="1:18">
      <c r="A18" t="s">
        <v>62</v>
      </c>
      <c r="B18" t="s">
        <v>63</v>
      </c>
      <c r="C18" t="s">
        <v>25</v>
      </c>
      <c r="D18" t="s">
        <v>21</v>
      </c>
      <c r="E18" t="s">
        <v>48</v>
      </c>
      <c r="F18">
        <v>18.2</v>
      </c>
      <c r="G18">
        <v>16.52</v>
      </c>
      <c r="H18">
        <v>13.29</v>
      </c>
      <c r="I18">
        <v>13.86</v>
      </c>
      <c r="J18" s="4">
        <v>0.84589999999999999</v>
      </c>
      <c r="K18">
        <v>100000</v>
      </c>
      <c r="L18" s="2">
        <v>45766</v>
      </c>
      <c r="M18" t="str">
        <f t="shared" si="0"/>
        <v>Admis</v>
      </c>
      <c r="N18" t="str">
        <f t="shared" si="1"/>
        <v>Eligible</v>
      </c>
      <c r="O18" t="str">
        <f t="shared" si="2"/>
        <v>RAS</v>
      </c>
      <c r="P18" t="str">
        <f t="shared" si="3"/>
        <v>Hors Data</v>
      </c>
      <c r="Q18">
        <f t="shared" si="4"/>
        <v>15.467499999999999</v>
      </c>
      <c r="R18" t="str" cm="1">
        <f t="array" ref="R18">_xlfn.IFS(Q18&gt;=16, "Excellent",Q18&gt;=14, "Très bien", Q18&gt;=12, "Bien", Q18&gt;=10, "Passable", Q18&lt;10, "Insuffisant")</f>
        <v>Très bien</v>
      </c>
    </row>
    <row r="19" spans="1:18">
      <c r="A19" t="s">
        <v>64</v>
      </c>
      <c r="B19" t="s">
        <v>65</v>
      </c>
      <c r="C19" t="s">
        <v>20</v>
      </c>
      <c r="D19" t="s">
        <v>21</v>
      </c>
      <c r="E19" t="s">
        <v>48</v>
      </c>
      <c r="F19">
        <v>15.58</v>
      </c>
      <c r="G19">
        <v>11.27</v>
      </c>
      <c r="H19">
        <v>16.43</v>
      </c>
      <c r="I19">
        <v>13.24</v>
      </c>
      <c r="J19" s="4">
        <v>0.55000000000000004</v>
      </c>
      <c r="K19">
        <v>110000</v>
      </c>
      <c r="L19" s="2">
        <v>45991</v>
      </c>
      <c r="M19" t="str">
        <f t="shared" si="0"/>
        <v>Admis</v>
      </c>
      <c r="N19" t="str">
        <f t="shared" si="1"/>
        <v>Non Eligible</v>
      </c>
      <c r="O19" t="str">
        <f t="shared" si="2"/>
        <v>RAS</v>
      </c>
      <c r="P19" t="str">
        <f t="shared" si="3"/>
        <v>Hors Data</v>
      </c>
      <c r="Q19">
        <f t="shared" si="4"/>
        <v>14.13</v>
      </c>
      <c r="R19" t="str" cm="1">
        <f t="array" ref="R19">_xlfn.IFS(Q19&gt;=16, "Excellent",Q19&gt;=14, "Très bien", Q19&gt;=12, "Bien", Q19&gt;=10, "Passable", Q19&lt;10, "Insuffisant")</f>
        <v>Très bien</v>
      </c>
    </row>
    <row r="20" spans="1:18">
      <c r="A20" t="s">
        <v>66</v>
      </c>
      <c r="B20" t="s">
        <v>67</v>
      </c>
      <c r="C20" t="s">
        <v>25</v>
      </c>
      <c r="D20" t="s">
        <v>21</v>
      </c>
      <c r="E20" t="s">
        <v>48</v>
      </c>
      <c r="F20">
        <v>15.42</v>
      </c>
      <c r="G20">
        <v>17.21</v>
      </c>
      <c r="H20">
        <v>16.010000000000002</v>
      </c>
      <c r="I20">
        <v>14.75</v>
      </c>
      <c r="J20" s="4">
        <v>0.55000000000000004</v>
      </c>
      <c r="K20">
        <v>85000</v>
      </c>
      <c r="L20" s="2">
        <v>46067</v>
      </c>
      <c r="M20" t="str">
        <f t="shared" si="0"/>
        <v>Admis</v>
      </c>
      <c r="N20" t="str">
        <f t="shared" si="1"/>
        <v>Non Eligible</v>
      </c>
      <c r="O20" t="str">
        <f t="shared" si="2"/>
        <v>RAS</v>
      </c>
      <c r="P20" t="str">
        <f t="shared" si="3"/>
        <v>Hors Data</v>
      </c>
      <c r="Q20">
        <f t="shared" si="4"/>
        <v>15.8475</v>
      </c>
      <c r="R20" t="str" cm="1">
        <f t="array" ref="R20">_xlfn.IFS(Q20&gt;=16, "Excellent",Q20&gt;=14, "Très bien", Q20&gt;=12, "Bien", Q20&gt;=10, "Passable", Q20&lt;10, "Insuffisant")</f>
        <v>Très bien</v>
      </c>
    </row>
    <row r="21" spans="1:18">
      <c r="A21" t="s">
        <v>68</v>
      </c>
      <c r="B21" t="s">
        <v>69</v>
      </c>
      <c r="C21" t="s">
        <v>20</v>
      </c>
      <c r="D21" t="s">
        <v>26</v>
      </c>
      <c r="E21" t="s">
        <v>27</v>
      </c>
      <c r="F21">
        <v>12.83</v>
      </c>
      <c r="G21">
        <v>7.87</v>
      </c>
      <c r="H21">
        <v>11.11</v>
      </c>
      <c r="I21">
        <v>9.27</v>
      </c>
      <c r="J21" s="4">
        <v>0.82350000000000001</v>
      </c>
      <c r="K21">
        <v>50000</v>
      </c>
      <c r="L21" s="2">
        <v>45612</v>
      </c>
      <c r="M21" t="str">
        <f t="shared" si="0"/>
        <v>Admis</v>
      </c>
      <c r="N21" t="str">
        <f t="shared" si="1"/>
        <v>Non Eligible</v>
      </c>
      <c r="O21" t="str">
        <f t="shared" si="2"/>
        <v>RAS</v>
      </c>
      <c r="P21" t="str">
        <f t="shared" si="3"/>
        <v>Hors Data</v>
      </c>
      <c r="Q21">
        <f t="shared" si="4"/>
        <v>10.27</v>
      </c>
      <c r="R21" t="str" cm="1">
        <f t="array" ref="R21">_xlfn.IFS(Q21&gt;=16, "Excellent",Q21&gt;=14, "Très bien", Q21&gt;=12, "Bien", Q21&gt;=10, "Passable", Q21&lt;10, "Insuffisant")</f>
        <v>Passable</v>
      </c>
    </row>
    <row r="22" spans="1:18">
      <c r="A22" t="s">
        <v>70</v>
      </c>
      <c r="B22" t="s">
        <v>71</v>
      </c>
      <c r="C22" t="s">
        <v>25</v>
      </c>
      <c r="D22" t="s">
        <v>34</v>
      </c>
      <c r="E22" t="s">
        <v>27</v>
      </c>
      <c r="F22">
        <v>14.68</v>
      </c>
      <c r="G22">
        <v>15.64</v>
      </c>
      <c r="H22">
        <v>10.58</v>
      </c>
      <c r="I22">
        <v>12.5</v>
      </c>
      <c r="J22" s="4">
        <v>0.87709999999999999</v>
      </c>
      <c r="K22">
        <v>50000</v>
      </c>
      <c r="L22" s="2">
        <v>45825</v>
      </c>
      <c r="M22" t="str">
        <f t="shared" si="0"/>
        <v>Admis</v>
      </c>
      <c r="N22" t="str">
        <f t="shared" si="1"/>
        <v>Non Eligible</v>
      </c>
      <c r="O22" t="str">
        <f t="shared" si="2"/>
        <v>RAS</v>
      </c>
      <c r="P22" t="str">
        <f t="shared" si="3"/>
        <v>Hors Data</v>
      </c>
      <c r="Q22">
        <f t="shared" si="4"/>
        <v>13.35</v>
      </c>
      <c r="R22" t="str" cm="1">
        <f t="array" ref="R22">_xlfn.IFS(Q22&gt;=16, "Excellent",Q22&gt;=14, "Très bien", Q22&gt;=12, "Bien", Q22&gt;=10, "Passable", Q22&lt;10, "Insuffisant")</f>
        <v>Bien</v>
      </c>
    </row>
    <row r="23" spans="1:18">
      <c r="A23" t="s">
        <v>72</v>
      </c>
      <c r="B23" t="s">
        <v>73</v>
      </c>
      <c r="C23" t="s">
        <v>20</v>
      </c>
      <c r="D23" t="s">
        <v>21</v>
      </c>
      <c r="E23" t="s">
        <v>22</v>
      </c>
      <c r="F23">
        <v>11.98</v>
      </c>
      <c r="G23">
        <v>11.91</v>
      </c>
      <c r="H23">
        <v>9.59</v>
      </c>
      <c r="I23">
        <v>8.1</v>
      </c>
      <c r="J23" s="4">
        <v>0.83630000000000004</v>
      </c>
      <c r="K23">
        <v>100000</v>
      </c>
      <c r="L23" s="2">
        <v>45545</v>
      </c>
      <c r="M23" t="str">
        <f t="shared" si="0"/>
        <v>Non admis</v>
      </c>
      <c r="N23" t="str">
        <f t="shared" si="1"/>
        <v>Non Eligible</v>
      </c>
      <c r="O23" t="str">
        <f t="shared" si="2"/>
        <v>A surveiller</v>
      </c>
      <c r="P23" t="str">
        <f t="shared" si="3"/>
        <v>Data</v>
      </c>
      <c r="Q23">
        <f t="shared" si="4"/>
        <v>10.395000000000001</v>
      </c>
      <c r="R23" t="str" cm="1">
        <f t="array" ref="R23">_xlfn.IFS(Q23&gt;=16, "Excellent",Q23&gt;=14, "Très bien", Q23&gt;=12, "Bien", Q23&gt;=10, "Passable", Q23&lt;10, "Insuffisant")</f>
        <v>Passable</v>
      </c>
    </row>
    <row r="24" spans="1:18">
      <c r="A24" t="s">
        <v>74</v>
      </c>
      <c r="B24" t="s">
        <v>75</v>
      </c>
      <c r="C24" t="s">
        <v>20</v>
      </c>
      <c r="D24" t="s">
        <v>53</v>
      </c>
      <c r="E24" t="s">
        <v>48</v>
      </c>
      <c r="F24">
        <v>10.3</v>
      </c>
      <c r="G24">
        <v>11.97</v>
      </c>
      <c r="H24">
        <v>13.81</v>
      </c>
      <c r="I24">
        <v>10.81</v>
      </c>
      <c r="J24" s="4">
        <v>0.94589999999999996</v>
      </c>
      <c r="K24">
        <v>130000</v>
      </c>
      <c r="L24" s="2">
        <v>45852</v>
      </c>
      <c r="M24" t="str">
        <f t="shared" si="0"/>
        <v>Admis</v>
      </c>
      <c r="N24" t="str">
        <f t="shared" si="1"/>
        <v>Non Eligible</v>
      </c>
      <c r="O24" t="str">
        <f t="shared" si="2"/>
        <v>RAS</v>
      </c>
      <c r="P24" t="str">
        <f t="shared" si="3"/>
        <v>Hors Data</v>
      </c>
      <c r="Q24">
        <f t="shared" si="4"/>
        <v>11.722500000000002</v>
      </c>
      <c r="R24" t="str" cm="1">
        <f t="array" ref="R24">_xlfn.IFS(Q24&gt;=16, "Excellent",Q24&gt;=14, "Très bien", Q24&gt;=12, "Bien", Q24&gt;=10, "Passable", Q24&lt;10, "Insuffisant")</f>
        <v>Passable</v>
      </c>
    </row>
    <row r="25" spans="1:18">
      <c r="A25" t="s">
        <v>76</v>
      </c>
      <c r="B25" t="s">
        <v>77</v>
      </c>
      <c r="C25" t="s">
        <v>25</v>
      </c>
      <c r="D25" t="s">
        <v>34</v>
      </c>
      <c r="E25" t="s">
        <v>35</v>
      </c>
      <c r="F25">
        <v>17.48</v>
      </c>
      <c r="G25">
        <v>14.67</v>
      </c>
      <c r="H25">
        <v>10.02</v>
      </c>
      <c r="I25">
        <v>16.63</v>
      </c>
      <c r="J25" s="4">
        <v>0.58579999999999999</v>
      </c>
      <c r="K25">
        <v>120000</v>
      </c>
      <c r="L25" s="2">
        <v>45709</v>
      </c>
      <c r="M25" t="str">
        <f t="shared" si="0"/>
        <v>Admis</v>
      </c>
      <c r="N25" t="str">
        <f t="shared" si="1"/>
        <v>Non Eligible</v>
      </c>
      <c r="O25" t="str">
        <f t="shared" si="2"/>
        <v>RAS</v>
      </c>
      <c r="P25" t="str">
        <f t="shared" si="3"/>
        <v>Hors Data</v>
      </c>
      <c r="Q25">
        <f t="shared" si="4"/>
        <v>14.7</v>
      </c>
      <c r="R25" t="str" cm="1">
        <f t="array" ref="R25">_xlfn.IFS(Q25&gt;=16, "Excellent",Q25&gt;=14, "Très bien", Q25&gt;=12, "Bien", Q25&gt;=10, "Passable", Q25&lt;10, "Insuffisant")</f>
        <v>Très bien</v>
      </c>
    </row>
    <row r="26" spans="1:18">
      <c r="A26" t="s">
        <v>78</v>
      </c>
      <c r="B26" t="s">
        <v>79</v>
      </c>
      <c r="C26" t="s">
        <v>25</v>
      </c>
      <c r="D26" t="s">
        <v>38</v>
      </c>
      <c r="E26" t="s">
        <v>27</v>
      </c>
      <c r="F26">
        <v>20</v>
      </c>
      <c r="G26">
        <v>17.690000000000001</v>
      </c>
      <c r="H26">
        <v>20</v>
      </c>
      <c r="I26">
        <v>17.84</v>
      </c>
      <c r="J26" s="4">
        <v>0.9405</v>
      </c>
      <c r="K26">
        <v>80000</v>
      </c>
      <c r="L26" s="2">
        <v>45771</v>
      </c>
      <c r="M26" t="str">
        <f t="shared" si="0"/>
        <v>Admis</v>
      </c>
      <c r="N26" t="str">
        <f t="shared" si="1"/>
        <v>Eligible</v>
      </c>
      <c r="O26" t="str">
        <f t="shared" si="2"/>
        <v>RAS</v>
      </c>
      <c r="P26" t="str">
        <f t="shared" si="3"/>
        <v>Hors Data</v>
      </c>
      <c r="Q26">
        <f t="shared" si="4"/>
        <v>18.8825</v>
      </c>
      <c r="R26" t="str" cm="1">
        <f t="array" ref="R26">_xlfn.IFS(Q26&gt;=16, "Excellent",Q26&gt;=14, "Très bien", Q26&gt;=12, "Bien", Q26&gt;=10, "Passable", Q26&lt;10, "Insuffisant")</f>
        <v>Excellent</v>
      </c>
    </row>
    <row r="27" spans="1:18">
      <c r="A27" t="s">
        <v>80</v>
      </c>
      <c r="B27" t="s">
        <v>81</v>
      </c>
      <c r="C27" t="s">
        <v>25</v>
      </c>
      <c r="D27" t="s">
        <v>38</v>
      </c>
      <c r="E27" t="s">
        <v>48</v>
      </c>
      <c r="F27">
        <v>18.41</v>
      </c>
      <c r="G27">
        <v>20</v>
      </c>
      <c r="H27">
        <v>14.71</v>
      </c>
      <c r="I27">
        <v>20</v>
      </c>
      <c r="J27" s="4">
        <v>0.81899999999999995</v>
      </c>
      <c r="K27">
        <v>85000</v>
      </c>
      <c r="L27" s="2">
        <v>45855</v>
      </c>
      <c r="M27" t="str">
        <f t="shared" si="0"/>
        <v>Admis</v>
      </c>
      <c r="N27" t="str">
        <f t="shared" si="1"/>
        <v>Eligible</v>
      </c>
      <c r="O27" t="str">
        <f t="shared" si="2"/>
        <v>RAS</v>
      </c>
      <c r="P27" t="str">
        <f t="shared" si="3"/>
        <v>Hors Data</v>
      </c>
      <c r="Q27">
        <f t="shared" si="4"/>
        <v>18.28</v>
      </c>
      <c r="R27" t="str" cm="1">
        <f t="array" ref="R27">_xlfn.IFS(Q27&gt;=16, "Excellent",Q27&gt;=14, "Très bien", Q27&gt;=12, "Bien", Q27&gt;=10, "Passable", Q27&lt;10, "Insuffisant")</f>
        <v>Excellent</v>
      </c>
    </row>
    <row r="28" spans="1:18">
      <c r="A28" t="s">
        <v>82</v>
      </c>
      <c r="B28" t="s">
        <v>83</v>
      </c>
      <c r="C28" t="s">
        <v>20</v>
      </c>
      <c r="D28" t="s">
        <v>21</v>
      </c>
      <c r="E28" t="s">
        <v>27</v>
      </c>
      <c r="F28">
        <v>20</v>
      </c>
      <c r="G28">
        <v>20</v>
      </c>
      <c r="H28">
        <v>19.239999999999998</v>
      </c>
      <c r="I28">
        <v>20</v>
      </c>
      <c r="J28" s="4">
        <v>0.76739999999999997</v>
      </c>
      <c r="K28">
        <v>60000</v>
      </c>
      <c r="L28" s="2">
        <v>45762</v>
      </c>
      <c r="M28" t="str">
        <f t="shared" si="0"/>
        <v>Admis</v>
      </c>
      <c r="N28" t="str">
        <f t="shared" si="1"/>
        <v>Non Eligible</v>
      </c>
      <c r="O28" t="str">
        <f t="shared" si="2"/>
        <v>RAS</v>
      </c>
      <c r="P28" t="str">
        <f t="shared" si="3"/>
        <v>Hors Data</v>
      </c>
      <c r="Q28">
        <f t="shared" si="4"/>
        <v>19.809999999999999</v>
      </c>
      <c r="R28" t="str" cm="1">
        <f t="array" ref="R28">_xlfn.IFS(Q28&gt;=16, "Excellent",Q28&gt;=14, "Très bien", Q28&gt;=12, "Bien", Q28&gt;=10, "Passable", Q28&lt;10, "Insuffisant")</f>
        <v>Excellent</v>
      </c>
    </row>
    <row r="29" spans="1:18">
      <c r="A29" t="s">
        <v>84</v>
      </c>
      <c r="B29" t="s">
        <v>85</v>
      </c>
      <c r="C29" t="s">
        <v>25</v>
      </c>
      <c r="D29" t="s">
        <v>53</v>
      </c>
      <c r="E29" t="s">
        <v>35</v>
      </c>
      <c r="F29">
        <v>8.86</v>
      </c>
      <c r="G29">
        <v>14.37</v>
      </c>
      <c r="H29">
        <v>11.44</v>
      </c>
      <c r="I29">
        <v>14.76</v>
      </c>
      <c r="J29" s="4">
        <v>0.81159999999999999</v>
      </c>
      <c r="K29">
        <v>50000</v>
      </c>
      <c r="L29" s="2">
        <v>45811</v>
      </c>
      <c r="M29" t="str">
        <f t="shared" si="0"/>
        <v>Admis</v>
      </c>
      <c r="N29" t="str">
        <f t="shared" si="1"/>
        <v>Non Eligible</v>
      </c>
      <c r="O29" t="str">
        <f t="shared" si="2"/>
        <v>A surveiller</v>
      </c>
      <c r="P29" t="str">
        <f t="shared" si="3"/>
        <v>Hors Data</v>
      </c>
      <c r="Q29">
        <f t="shared" si="4"/>
        <v>12.357499999999998</v>
      </c>
      <c r="R29" t="str" cm="1">
        <f t="array" ref="R29">_xlfn.IFS(Q29&gt;=16, "Excellent",Q29&gt;=14, "Très bien", Q29&gt;=12, "Bien", Q29&gt;=10, "Passable", Q29&lt;10, "Insuffisant")</f>
        <v>Bien</v>
      </c>
    </row>
    <row r="30" spans="1:18">
      <c r="A30" t="s">
        <v>86</v>
      </c>
      <c r="B30" t="s">
        <v>59</v>
      </c>
      <c r="C30" t="s">
        <v>25</v>
      </c>
      <c r="D30" t="s">
        <v>21</v>
      </c>
      <c r="E30" t="s">
        <v>48</v>
      </c>
      <c r="F30">
        <v>14.37</v>
      </c>
      <c r="G30">
        <v>14.83</v>
      </c>
      <c r="H30">
        <v>17</v>
      </c>
      <c r="I30">
        <v>17.43</v>
      </c>
      <c r="J30" s="4">
        <v>0.97089999999999999</v>
      </c>
      <c r="K30">
        <v>110000</v>
      </c>
      <c r="L30" s="2">
        <v>46071</v>
      </c>
      <c r="M30" t="str">
        <f t="shared" si="0"/>
        <v>Admis</v>
      </c>
      <c r="N30" t="str">
        <f t="shared" si="1"/>
        <v>Eligible</v>
      </c>
      <c r="O30" t="str">
        <f t="shared" si="2"/>
        <v>RAS</v>
      </c>
      <c r="P30" t="str">
        <f t="shared" si="3"/>
        <v>Hors Data</v>
      </c>
      <c r="Q30">
        <f t="shared" si="4"/>
        <v>15.907500000000001</v>
      </c>
      <c r="R30" t="str" cm="1">
        <f t="array" ref="R30">_xlfn.IFS(Q30&gt;=16, "Excellent",Q30&gt;=14, "Très bien", Q30&gt;=12, "Bien", Q30&gt;=10, "Passable", Q30&lt;10, "Insuffisant")</f>
        <v>Très bien</v>
      </c>
    </row>
    <row r="31" spans="1:18">
      <c r="A31" t="s">
        <v>87</v>
      </c>
      <c r="B31" t="s">
        <v>88</v>
      </c>
      <c r="C31" t="s">
        <v>20</v>
      </c>
      <c r="D31" t="s">
        <v>38</v>
      </c>
      <c r="E31" t="s">
        <v>22</v>
      </c>
      <c r="F31">
        <v>15.56</v>
      </c>
      <c r="G31">
        <v>17.899999999999999</v>
      </c>
      <c r="H31">
        <v>20</v>
      </c>
      <c r="I31">
        <v>17.23</v>
      </c>
      <c r="J31" s="4">
        <v>0.55000000000000004</v>
      </c>
      <c r="K31">
        <v>80000</v>
      </c>
      <c r="L31" s="2">
        <v>46103</v>
      </c>
      <c r="M31" t="str">
        <f t="shared" si="0"/>
        <v>Admis</v>
      </c>
      <c r="N31" t="str">
        <f t="shared" si="1"/>
        <v>Non Eligible</v>
      </c>
      <c r="O31" t="str">
        <f t="shared" si="2"/>
        <v>RAS</v>
      </c>
      <c r="P31" t="str">
        <f t="shared" si="3"/>
        <v>Data</v>
      </c>
      <c r="Q31">
        <f t="shared" si="4"/>
        <v>17.672499999999999</v>
      </c>
      <c r="R31" t="str" cm="1">
        <f t="array" ref="R31">_xlfn.IFS(Q31&gt;=16, "Excellent",Q31&gt;=14, "Très bien", Q31&gt;=12, "Bien", Q31&gt;=10, "Passable", Q31&lt;10, "Insuffisant")</f>
        <v>Excellent</v>
      </c>
    </row>
    <row r="32" spans="1:18">
      <c r="A32" t="s">
        <v>89</v>
      </c>
      <c r="B32" t="s">
        <v>90</v>
      </c>
      <c r="C32" t="s">
        <v>20</v>
      </c>
      <c r="D32" t="s">
        <v>41</v>
      </c>
      <c r="E32" t="s">
        <v>27</v>
      </c>
      <c r="F32">
        <v>12.24</v>
      </c>
      <c r="G32">
        <v>16.73</v>
      </c>
      <c r="H32">
        <v>9.0399999999999991</v>
      </c>
      <c r="I32">
        <v>17.5</v>
      </c>
      <c r="J32" s="4">
        <v>0.98560000000000003</v>
      </c>
      <c r="K32">
        <v>85000</v>
      </c>
      <c r="L32" s="2">
        <v>45540</v>
      </c>
      <c r="M32" t="str">
        <f t="shared" si="0"/>
        <v>Non admis</v>
      </c>
      <c r="N32" t="str">
        <f t="shared" si="1"/>
        <v>Non Eligible</v>
      </c>
      <c r="O32" t="str">
        <f t="shared" si="2"/>
        <v>A surveiller</v>
      </c>
      <c r="P32" t="str">
        <f t="shared" si="3"/>
        <v>Hors Data</v>
      </c>
      <c r="Q32">
        <f t="shared" si="4"/>
        <v>13.8775</v>
      </c>
      <c r="R32" t="str" cm="1">
        <f t="array" ref="R32">_xlfn.IFS(Q32&gt;=16, "Excellent",Q32&gt;=14, "Très bien", Q32&gt;=12, "Bien", Q32&gt;=10, "Passable", Q32&lt;10, "Insuffisant")</f>
        <v>Bien</v>
      </c>
    </row>
    <row r="33" spans="1:18">
      <c r="A33" t="s">
        <v>91</v>
      </c>
      <c r="B33" t="s">
        <v>92</v>
      </c>
      <c r="C33" t="s">
        <v>20</v>
      </c>
      <c r="D33" t="s">
        <v>41</v>
      </c>
      <c r="E33" t="s">
        <v>22</v>
      </c>
      <c r="F33">
        <v>19.11</v>
      </c>
      <c r="G33">
        <v>12.44</v>
      </c>
      <c r="H33">
        <v>15.6</v>
      </c>
      <c r="I33">
        <v>17.84</v>
      </c>
      <c r="J33" s="4">
        <v>0.93830000000000002</v>
      </c>
      <c r="K33">
        <v>75000</v>
      </c>
      <c r="L33" s="2">
        <v>45800</v>
      </c>
      <c r="M33" t="str">
        <f t="shared" si="0"/>
        <v>Admis</v>
      </c>
      <c r="N33" t="str">
        <f t="shared" si="1"/>
        <v>Eligible</v>
      </c>
      <c r="O33" t="str">
        <f t="shared" si="2"/>
        <v>RAS</v>
      </c>
      <c r="P33" t="str">
        <f t="shared" si="3"/>
        <v>Data</v>
      </c>
      <c r="Q33">
        <f t="shared" si="4"/>
        <v>16.247499999999999</v>
      </c>
      <c r="R33" t="str" cm="1">
        <f t="array" ref="R33">_xlfn.IFS(Q33&gt;=16, "Excellent",Q33&gt;=14, "Très bien", Q33&gt;=12, "Bien", Q33&gt;=10, "Passable", Q33&lt;10, "Insuffisant")</f>
        <v>Excellent</v>
      </c>
    </row>
    <row r="34" spans="1:18">
      <c r="A34" t="s">
        <v>93</v>
      </c>
      <c r="B34" t="s">
        <v>94</v>
      </c>
      <c r="C34" t="s">
        <v>20</v>
      </c>
      <c r="D34" t="s">
        <v>53</v>
      </c>
      <c r="E34" t="s">
        <v>35</v>
      </c>
      <c r="F34">
        <v>15.66</v>
      </c>
      <c r="G34">
        <v>16.04</v>
      </c>
      <c r="H34">
        <v>12.03</v>
      </c>
      <c r="I34">
        <v>17.8</v>
      </c>
      <c r="J34" s="4">
        <v>0.79310000000000003</v>
      </c>
      <c r="K34">
        <v>75000</v>
      </c>
      <c r="L34" s="2">
        <v>46128</v>
      </c>
      <c r="M34" t="str">
        <f t="shared" si="0"/>
        <v>Admis</v>
      </c>
      <c r="N34" t="str">
        <f t="shared" si="1"/>
        <v>Non Eligible</v>
      </c>
      <c r="O34" t="str">
        <f t="shared" si="2"/>
        <v>RAS</v>
      </c>
      <c r="P34" t="str">
        <f t="shared" si="3"/>
        <v>Hors Data</v>
      </c>
      <c r="Q34">
        <f t="shared" si="4"/>
        <v>15.3825</v>
      </c>
      <c r="R34" t="str" cm="1">
        <f t="array" ref="R34">_xlfn.IFS(Q34&gt;=16, "Excellent",Q34&gt;=14, "Très bien", Q34&gt;=12, "Bien", Q34&gt;=10, "Passable", Q34&lt;10, "Insuffisant")</f>
        <v>Très bien</v>
      </c>
    </row>
    <row r="35" spans="1:18">
      <c r="A35" t="s">
        <v>95</v>
      </c>
      <c r="B35" t="s">
        <v>96</v>
      </c>
      <c r="C35" t="s">
        <v>25</v>
      </c>
      <c r="D35" t="s">
        <v>34</v>
      </c>
      <c r="E35" t="s">
        <v>27</v>
      </c>
      <c r="F35">
        <v>12.44</v>
      </c>
      <c r="G35">
        <v>9.73</v>
      </c>
      <c r="H35">
        <v>14.47</v>
      </c>
      <c r="I35">
        <v>14.79</v>
      </c>
      <c r="J35" s="4">
        <v>0.85240000000000005</v>
      </c>
      <c r="K35">
        <v>130000</v>
      </c>
      <c r="L35" s="2">
        <v>45907</v>
      </c>
      <c r="M35" t="str">
        <f t="shared" si="0"/>
        <v>Admis</v>
      </c>
      <c r="N35" t="str">
        <f t="shared" si="1"/>
        <v>Eligible</v>
      </c>
      <c r="O35" t="str">
        <f t="shared" si="2"/>
        <v>RAS</v>
      </c>
      <c r="P35" t="str">
        <f t="shared" si="3"/>
        <v>Hors Data</v>
      </c>
      <c r="Q35">
        <f t="shared" si="4"/>
        <v>12.8575</v>
      </c>
      <c r="R35" t="str" cm="1">
        <f t="array" ref="R35">_xlfn.IFS(Q35&gt;=16, "Excellent",Q35&gt;=14, "Très bien", Q35&gt;=12, "Bien", Q35&gt;=10, "Passable", Q35&lt;10, "Insuffisant")</f>
        <v>Bien</v>
      </c>
    </row>
    <row r="36" spans="1:18">
      <c r="A36" t="s">
        <v>97</v>
      </c>
      <c r="B36" t="s">
        <v>98</v>
      </c>
      <c r="C36" t="s">
        <v>25</v>
      </c>
      <c r="D36" t="s">
        <v>34</v>
      </c>
      <c r="E36" t="s">
        <v>27</v>
      </c>
      <c r="F36">
        <v>11.52</v>
      </c>
      <c r="G36">
        <v>14.33</v>
      </c>
      <c r="H36">
        <v>11.2</v>
      </c>
      <c r="I36">
        <v>10.91</v>
      </c>
      <c r="J36" s="4">
        <v>0.75270000000000004</v>
      </c>
      <c r="K36">
        <v>110000</v>
      </c>
      <c r="L36" s="2">
        <v>45679</v>
      </c>
      <c r="M36" t="str">
        <f t="shared" si="0"/>
        <v>Admis</v>
      </c>
      <c r="N36" t="str">
        <f t="shared" si="1"/>
        <v>Non Eligible</v>
      </c>
      <c r="O36" t="str">
        <f t="shared" si="2"/>
        <v>RAS</v>
      </c>
      <c r="P36" t="str">
        <f t="shared" si="3"/>
        <v>Hors Data</v>
      </c>
      <c r="Q36">
        <f t="shared" si="4"/>
        <v>11.989999999999998</v>
      </c>
      <c r="R36" t="str" cm="1">
        <f t="array" ref="R36">_xlfn.IFS(Q36&gt;=16, "Excellent",Q36&gt;=14, "Très bien", Q36&gt;=12, "Bien", Q36&gt;=10, "Passable", Q36&lt;10, "Insuffisant")</f>
        <v>Passable</v>
      </c>
    </row>
    <row r="37" spans="1:18">
      <c r="A37" t="s">
        <v>99</v>
      </c>
      <c r="B37" t="s">
        <v>100</v>
      </c>
      <c r="C37" t="s">
        <v>20</v>
      </c>
      <c r="D37" t="s">
        <v>21</v>
      </c>
      <c r="E37" t="s">
        <v>35</v>
      </c>
      <c r="F37">
        <v>7.93</v>
      </c>
      <c r="G37">
        <v>17.28</v>
      </c>
      <c r="H37">
        <v>12.82</v>
      </c>
      <c r="I37">
        <v>12.15</v>
      </c>
      <c r="J37" s="4">
        <v>0.7046</v>
      </c>
      <c r="K37">
        <v>100000</v>
      </c>
      <c r="L37" s="2">
        <v>45951</v>
      </c>
      <c r="M37" t="str">
        <f t="shared" si="0"/>
        <v>Admis</v>
      </c>
      <c r="N37" t="str">
        <f t="shared" si="1"/>
        <v>Non Eligible</v>
      </c>
      <c r="O37" t="str">
        <f t="shared" si="2"/>
        <v>A surveiller</v>
      </c>
      <c r="P37" t="str">
        <f t="shared" si="3"/>
        <v>Hors Data</v>
      </c>
      <c r="Q37">
        <f t="shared" si="4"/>
        <v>12.545</v>
      </c>
      <c r="R37" t="str" cm="1">
        <f t="array" ref="R37">_xlfn.IFS(Q37&gt;=16, "Excellent",Q37&gt;=14, "Très bien", Q37&gt;=12, "Bien", Q37&gt;=10, "Passable", Q37&lt;10, "Insuffisant")</f>
        <v>Bien</v>
      </c>
    </row>
    <row r="38" spans="1:18">
      <c r="A38" t="s">
        <v>101</v>
      </c>
      <c r="B38" t="s">
        <v>102</v>
      </c>
      <c r="C38" t="s">
        <v>25</v>
      </c>
      <c r="D38" t="s">
        <v>21</v>
      </c>
      <c r="E38" t="s">
        <v>35</v>
      </c>
      <c r="F38">
        <v>13.6</v>
      </c>
      <c r="G38">
        <v>15.85</v>
      </c>
      <c r="H38">
        <v>13.47</v>
      </c>
      <c r="I38">
        <v>14.43</v>
      </c>
      <c r="J38" s="4">
        <v>0.92279999999999995</v>
      </c>
      <c r="K38">
        <v>80000</v>
      </c>
      <c r="L38" s="2">
        <v>45637</v>
      </c>
      <c r="M38" t="str">
        <f t="shared" si="0"/>
        <v>Admis</v>
      </c>
      <c r="N38" t="str">
        <f t="shared" si="1"/>
        <v>Eligible</v>
      </c>
      <c r="O38" t="str">
        <f t="shared" si="2"/>
        <v>RAS</v>
      </c>
      <c r="P38" t="str">
        <f t="shared" si="3"/>
        <v>Hors Data</v>
      </c>
      <c r="Q38">
        <f t="shared" si="4"/>
        <v>14.3375</v>
      </c>
      <c r="R38" t="str" cm="1">
        <f t="array" ref="R38">_xlfn.IFS(Q38&gt;=16, "Excellent",Q38&gt;=14, "Très bien", Q38&gt;=12, "Bien", Q38&gt;=10, "Passable", Q38&lt;10, "Insuffisant")</f>
        <v>Très bien</v>
      </c>
    </row>
    <row r="39" spans="1:18">
      <c r="A39" t="s">
        <v>103</v>
      </c>
      <c r="B39" t="s">
        <v>104</v>
      </c>
      <c r="C39" t="s">
        <v>25</v>
      </c>
      <c r="D39" t="s">
        <v>26</v>
      </c>
      <c r="E39" t="s">
        <v>22</v>
      </c>
      <c r="F39">
        <v>15.67</v>
      </c>
      <c r="G39">
        <v>9.23</v>
      </c>
      <c r="H39">
        <v>15.43</v>
      </c>
      <c r="I39">
        <v>14.78</v>
      </c>
      <c r="J39" s="4">
        <v>0.82920000000000005</v>
      </c>
      <c r="K39">
        <v>100000</v>
      </c>
      <c r="L39" s="2">
        <v>45551</v>
      </c>
      <c r="M39" t="str">
        <f t="shared" si="0"/>
        <v>Admis</v>
      </c>
      <c r="N39" t="str">
        <f t="shared" si="1"/>
        <v>Eligible</v>
      </c>
      <c r="O39" t="str">
        <f t="shared" si="2"/>
        <v>RAS</v>
      </c>
      <c r="P39" t="str">
        <f t="shared" si="3"/>
        <v>Data</v>
      </c>
      <c r="Q39">
        <f t="shared" si="4"/>
        <v>13.7775</v>
      </c>
      <c r="R39" t="str" cm="1">
        <f t="array" ref="R39">_xlfn.IFS(Q39&gt;=16, "Excellent",Q39&gt;=14, "Très bien", Q39&gt;=12, "Bien", Q39&gt;=10, "Passable", Q39&lt;10, "Insuffisant")</f>
        <v>Bien</v>
      </c>
    </row>
    <row r="40" spans="1:18">
      <c r="A40" t="s">
        <v>105</v>
      </c>
      <c r="B40" t="s">
        <v>106</v>
      </c>
      <c r="C40" t="s">
        <v>20</v>
      </c>
      <c r="D40" t="s">
        <v>21</v>
      </c>
      <c r="E40" t="s">
        <v>27</v>
      </c>
      <c r="F40">
        <v>13.07</v>
      </c>
      <c r="G40">
        <v>16.190000000000001</v>
      </c>
      <c r="H40">
        <v>11.47</v>
      </c>
      <c r="I40">
        <v>12.77</v>
      </c>
      <c r="J40" s="4">
        <v>0.92720000000000002</v>
      </c>
      <c r="K40">
        <v>75000</v>
      </c>
      <c r="L40" s="2">
        <v>45978</v>
      </c>
      <c r="M40" t="str">
        <f t="shared" si="0"/>
        <v>Admis</v>
      </c>
      <c r="N40" t="str">
        <f t="shared" si="1"/>
        <v>Non Eligible</v>
      </c>
      <c r="O40" t="str">
        <f t="shared" si="2"/>
        <v>RAS</v>
      </c>
      <c r="P40" t="str">
        <f t="shared" si="3"/>
        <v>Hors Data</v>
      </c>
      <c r="Q40">
        <f t="shared" si="4"/>
        <v>13.375</v>
      </c>
      <c r="R40" t="str" cm="1">
        <f t="array" ref="R40">_xlfn.IFS(Q40&gt;=16, "Excellent",Q40&gt;=14, "Très bien", Q40&gt;=12, "Bien", Q40&gt;=10, "Passable", Q40&lt;10, "Insuffisant")</f>
        <v>Bien</v>
      </c>
    </row>
    <row r="41" spans="1:18">
      <c r="A41" t="s">
        <v>107</v>
      </c>
      <c r="B41" t="s">
        <v>77</v>
      </c>
      <c r="C41" t="s">
        <v>25</v>
      </c>
      <c r="D41" t="s">
        <v>53</v>
      </c>
      <c r="E41" t="s">
        <v>22</v>
      </c>
      <c r="F41">
        <v>13.55</v>
      </c>
      <c r="G41">
        <v>13.79</v>
      </c>
      <c r="H41">
        <v>18.309999999999999</v>
      </c>
      <c r="I41">
        <v>14.86</v>
      </c>
      <c r="J41" s="4">
        <v>0.95599999999999996</v>
      </c>
      <c r="K41">
        <v>85000</v>
      </c>
      <c r="L41" s="2">
        <v>45896</v>
      </c>
      <c r="M41" t="str">
        <f t="shared" si="0"/>
        <v>Admis</v>
      </c>
      <c r="N41" t="str">
        <f t="shared" si="1"/>
        <v>Eligible</v>
      </c>
      <c r="O41" t="str">
        <f t="shared" si="2"/>
        <v>RAS</v>
      </c>
      <c r="P41" t="str">
        <f t="shared" si="3"/>
        <v>Data</v>
      </c>
      <c r="Q41">
        <f t="shared" si="4"/>
        <v>15.1275</v>
      </c>
      <c r="R41" t="str" cm="1">
        <f t="array" ref="R41">_xlfn.IFS(Q41&gt;=16, "Excellent",Q41&gt;=14, "Très bien", Q41&gt;=12, "Bien", Q41&gt;=10, "Passable", Q41&lt;10, "Insuffisant")</f>
        <v>Très bien</v>
      </c>
    </row>
    <row r="42" spans="1:18">
      <c r="A42" t="s">
        <v>108</v>
      </c>
      <c r="B42" t="s">
        <v>109</v>
      </c>
      <c r="C42" t="s">
        <v>20</v>
      </c>
      <c r="D42" t="s">
        <v>21</v>
      </c>
      <c r="E42" t="s">
        <v>22</v>
      </c>
      <c r="F42">
        <v>15.33</v>
      </c>
      <c r="G42">
        <v>11.39</v>
      </c>
      <c r="H42">
        <v>11.75</v>
      </c>
      <c r="I42">
        <v>7.17</v>
      </c>
      <c r="J42" s="4">
        <v>0.77600000000000002</v>
      </c>
      <c r="K42">
        <v>60000</v>
      </c>
      <c r="L42" s="2">
        <v>46065</v>
      </c>
      <c r="M42" t="str">
        <f t="shared" si="0"/>
        <v>Admis</v>
      </c>
      <c r="N42" t="str">
        <f t="shared" si="1"/>
        <v>Non Eligible</v>
      </c>
      <c r="O42" t="str">
        <f t="shared" si="2"/>
        <v>RAS</v>
      </c>
      <c r="P42" t="str">
        <f t="shared" si="3"/>
        <v>Data</v>
      </c>
      <c r="Q42">
        <f t="shared" si="4"/>
        <v>11.41</v>
      </c>
      <c r="R42" t="str" cm="1">
        <f t="array" ref="R42">_xlfn.IFS(Q42&gt;=16, "Excellent",Q42&gt;=14, "Très bien", Q42&gt;=12, "Bien", Q42&gt;=10, "Passable", Q42&lt;10, "Insuffisant")</f>
        <v>Passable</v>
      </c>
    </row>
    <row r="43" spans="1:18">
      <c r="A43" t="s">
        <v>110</v>
      </c>
      <c r="B43" t="s">
        <v>111</v>
      </c>
      <c r="C43" t="s">
        <v>25</v>
      </c>
      <c r="D43" t="s">
        <v>38</v>
      </c>
      <c r="E43" t="s">
        <v>35</v>
      </c>
      <c r="F43">
        <v>18.57</v>
      </c>
      <c r="G43">
        <v>17.399999999999999</v>
      </c>
      <c r="H43">
        <v>12.73</v>
      </c>
      <c r="I43">
        <v>19.309999999999999</v>
      </c>
      <c r="J43" s="4">
        <v>0.90200000000000002</v>
      </c>
      <c r="K43">
        <v>100000</v>
      </c>
      <c r="L43" s="2">
        <v>45777</v>
      </c>
      <c r="M43" t="str">
        <f t="shared" si="0"/>
        <v>Admis</v>
      </c>
      <c r="N43" t="str">
        <f t="shared" si="1"/>
        <v>Eligible</v>
      </c>
      <c r="O43" t="str">
        <f t="shared" si="2"/>
        <v>RAS</v>
      </c>
      <c r="P43" t="str">
        <f t="shared" si="3"/>
        <v>Hors Data</v>
      </c>
      <c r="Q43">
        <f t="shared" si="4"/>
        <v>17.002500000000001</v>
      </c>
      <c r="R43" t="str" cm="1">
        <f t="array" ref="R43">_xlfn.IFS(Q43&gt;=16, "Excellent",Q43&gt;=14, "Très bien", Q43&gt;=12, "Bien", Q43&gt;=10, "Passable", Q43&lt;10, "Insuffisant")</f>
        <v>Excellent</v>
      </c>
    </row>
    <row r="44" spans="1:18">
      <c r="A44" t="s">
        <v>112</v>
      </c>
      <c r="B44" t="s">
        <v>113</v>
      </c>
      <c r="C44" t="s">
        <v>25</v>
      </c>
      <c r="D44" t="s">
        <v>21</v>
      </c>
      <c r="E44" t="s">
        <v>22</v>
      </c>
      <c r="F44">
        <v>15.7</v>
      </c>
      <c r="G44">
        <v>15.52</v>
      </c>
      <c r="H44">
        <v>18.27</v>
      </c>
      <c r="I44">
        <v>13.98</v>
      </c>
      <c r="J44" s="4">
        <v>0.94040000000000001</v>
      </c>
      <c r="K44">
        <v>50000</v>
      </c>
      <c r="L44" s="2">
        <v>46133</v>
      </c>
      <c r="M44" t="str">
        <f t="shared" si="0"/>
        <v>Admis</v>
      </c>
      <c r="N44" t="str">
        <f t="shared" si="1"/>
        <v>Eligible</v>
      </c>
      <c r="O44" t="str">
        <f t="shared" si="2"/>
        <v>RAS</v>
      </c>
      <c r="P44" t="str">
        <f t="shared" si="3"/>
        <v>Data</v>
      </c>
      <c r="Q44">
        <f t="shared" si="4"/>
        <v>15.8675</v>
      </c>
      <c r="R44" t="str" cm="1">
        <f t="array" ref="R44">_xlfn.IFS(Q44&gt;=16, "Excellent",Q44&gt;=14, "Très bien", Q44&gt;=12, "Bien", Q44&gt;=10, "Passable", Q44&lt;10, "Insuffisant")</f>
        <v>Très bien</v>
      </c>
    </row>
    <row r="45" spans="1:18">
      <c r="A45" t="s">
        <v>114</v>
      </c>
      <c r="B45" t="s">
        <v>115</v>
      </c>
      <c r="C45" t="s">
        <v>20</v>
      </c>
      <c r="D45" t="s">
        <v>38</v>
      </c>
      <c r="E45" t="s">
        <v>22</v>
      </c>
      <c r="F45">
        <v>9.0399999999999991</v>
      </c>
      <c r="G45">
        <v>9.3699999999999992</v>
      </c>
      <c r="H45">
        <v>10.09</v>
      </c>
      <c r="I45">
        <v>10.94</v>
      </c>
      <c r="J45" s="4">
        <v>0.86899999999999999</v>
      </c>
      <c r="K45">
        <v>100000</v>
      </c>
      <c r="L45" s="2">
        <v>45830</v>
      </c>
      <c r="M45" t="str">
        <f t="shared" si="0"/>
        <v>Admis</v>
      </c>
      <c r="N45" t="str">
        <f t="shared" si="1"/>
        <v>Non Eligible</v>
      </c>
      <c r="O45" t="str">
        <f t="shared" si="2"/>
        <v>A surveiller</v>
      </c>
      <c r="P45" t="str">
        <f t="shared" si="3"/>
        <v>Data</v>
      </c>
      <c r="Q45">
        <f t="shared" si="4"/>
        <v>9.86</v>
      </c>
      <c r="R45" t="str" cm="1">
        <f t="array" ref="R45">_xlfn.IFS(Q45&gt;=16, "Excellent",Q45&gt;=14, "Très bien", Q45&gt;=12, "Bien", Q45&gt;=10, "Passable", Q45&lt;10, "Insuffisant")</f>
        <v>Insuffisant</v>
      </c>
    </row>
    <row r="46" spans="1:18">
      <c r="A46" t="s">
        <v>116</v>
      </c>
      <c r="B46" t="s">
        <v>117</v>
      </c>
      <c r="C46" t="s">
        <v>20</v>
      </c>
      <c r="D46" t="s">
        <v>53</v>
      </c>
      <c r="E46" t="s">
        <v>48</v>
      </c>
      <c r="F46">
        <v>17.010000000000002</v>
      </c>
      <c r="G46">
        <v>16.510000000000002</v>
      </c>
      <c r="H46">
        <v>20</v>
      </c>
      <c r="I46">
        <v>20</v>
      </c>
      <c r="J46" s="4">
        <v>0.91449999999999998</v>
      </c>
      <c r="K46">
        <v>90000</v>
      </c>
      <c r="L46" s="2">
        <v>46052</v>
      </c>
      <c r="M46" t="str">
        <f t="shared" si="0"/>
        <v>Admis</v>
      </c>
      <c r="N46" t="str">
        <f t="shared" si="1"/>
        <v>Eligible</v>
      </c>
      <c r="O46" t="str">
        <f t="shared" si="2"/>
        <v>RAS</v>
      </c>
      <c r="P46" t="str">
        <f t="shared" si="3"/>
        <v>Hors Data</v>
      </c>
      <c r="Q46">
        <f t="shared" si="4"/>
        <v>18.380000000000003</v>
      </c>
      <c r="R46" t="str" cm="1">
        <f t="array" ref="R46">_xlfn.IFS(Q46&gt;=16, "Excellent",Q46&gt;=14, "Très bien", Q46&gt;=12, "Bien", Q46&gt;=10, "Passable", Q46&lt;10, "Insuffisant")</f>
        <v>Excellent</v>
      </c>
    </row>
    <row r="47" spans="1:18">
      <c r="A47" t="s">
        <v>118</v>
      </c>
      <c r="B47" t="s">
        <v>119</v>
      </c>
      <c r="C47" t="s">
        <v>25</v>
      </c>
      <c r="D47" t="s">
        <v>41</v>
      </c>
      <c r="E47" t="s">
        <v>48</v>
      </c>
      <c r="F47">
        <v>10.33</v>
      </c>
      <c r="G47">
        <v>12.77</v>
      </c>
      <c r="H47">
        <v>14.98</v>
      </c>
      <c r="I47">
        <v>12.66</v>
      </c>
      <c r="J47" s="4">
        <v>0.98260000000000003</v>
      </c>
      <c r="K47">
        <v>50000</v>
      </c>
      <c r="L47" s="2">
        <v>45606</v>
      </c>
      <c r="M47" t="str">
        <f t="shared" si="0"/>
        <v>Admis</v>
      </c>
      <c r="N47" t="str">
        <f t="shared" si="1"/>
        <v>Non Eligible</v>
      </c>
      <c r="O47" t="str">
        <f t="shared" si="2"/>
        <v>RAS</v>
      </c>
      <c r="P47" t="str">
        <f t="shared" si="3"/>
        <v>Hors Data</v>
      </c>
      <c r="Q47">
        <f t="shared" si="4"/>
        <v>12.684999999999999</v>
      </c>
      <c r="R47" t="str" cm="1">
        <f t="array" ref="R47">_xlfn.IFS(Q47&gt;=16, "Excellent",Q47&gt;=14, "Très bien", Q47&gt;=12, "Bien", Q47&gt;=10, "Passable", Q47&lt;10, "Insuffisant")</f>
        <v>Bien</v>
      </c>
    </row>
    <row r="48" spans="1:18">
      <c r="A48" t="s">
        <v>120</v>
      </c>
      <c r="B48" t="s">
        <v>121</v>
      </c>
      <c r="C48" t="s">
        <v>20</v>
      </c>
      <c r="D48" t="s">
        <v>53</v>
      </c>
      <c r="E48" t="s">
        <v>35</v>
      </c>
      <c r="F48">
        <v>6.68</v>
      </c>
      <c r="G48">
        <v>8.36</v>
      </c>
      <c r="H48">
        <v>7.31</v>
      </c>
      <c r="I48">
        <v>11.94</v>
      </c>
      <c r="J48" s="4">
        <v>0.94130000000000003</v>
      </c>
      <c r="K48">
        <v>85000</v>
      </c>
      <c r="L48" s="2">
        <v>45604</v>
      </c>
      <c r="M48" t="str">
        <f t="shared" si="0"/>
        <v>Non admis</v>
      </c>
      <c r="N48" t="str">
        <f t="shared" si="1"/>
        <v>Non Eligible</v>
      </c>
      <c r="O48" t="str">
        <f t="shared" si="2"/>
        <v>A surveiller</v>
      </c>
      <c r="P48" t="str">
        <f t="shared" si="3"/>
        <v>Hors Data</v>
      </c>
      <c r="Q48">
        <f t="shared" si="4"/>
        <v>8.5724999999999998</v>
      </c>
      <c r="R48" t="str" cm="1">
        <f t="array" ref="R48">_xlfn.IFS(Q48&gt;=16, "Excellent",Q48&gt;=14, "Très bien", Q48&gt;=12, "Bien", Q48&gt;=10, "Passable", Q48&lt;10, "Insuffisant")</f>
        <v>Insuffisant</v>
      </c>
    </row>
    <row r="49" spans="1:18">
      <c r="A49" t="s">
        <v>122</v>
      </c>
      <c r="B49" t="s">
        <v>123</v>
      </c>
      <c r="C49" t="s">
        <v>25</v>
      </c>
      <c r="D49" t="s">
        <v>26</v>
      </c>
      <c r="E49" t="s">
        <v>27</v>
      </c>
      <c r="F49">
        <v>8.2799999999999994</v>
      </c>
      <c r="G49">
        <v>8.5299999999999994</v>
      </c>
      <c r="H49">
        <v>10.59</v>
      </c>
      <c r="I49">
        <v>7.74</v>
      </c>
      <c r="J49" s="4">
        <v>0.93630000000000002</v>
      </c>
      <c r="K49">
        <v>70000</v>
      </c>
      <c r="L49" s="2">
        <v>46083</v>
      </c>
      <c r="M49" t="str">
        <f t="shared" si="0"/>
        <v>Admis</v>
      </c>
      <c r="N49" t="str">
        <f t="shared" si="1"/>
        <v>Non Eligible</v>
      </c>
      <c r="O49" t="str">
        <f t="shared" si="2"/>
        <v>A surveiller</v>
      </c>
      <c r="P49" t="str">
        <f t="shared" si="3"/>
        <v>Hors Data</v>
      </c>
      <c r="Q49">
        <f t="shared" si="4"/>
        <v>8.7850000000000001</v>
      </c>
      <c r="R49" t="str" cm="1">
        <f t="array" ref="R49">_xlfn.IFS(Q49&gt;=16, "Excellent",Q49&gt;=14, "Très bien", Q49&gt;=12, "Bien", Q49&gt;=10, "Passable", Q49&lt;10, "Insuffisant")</f>
        <v>Insuffisant</v>
      </c>
    </row>
    <row r="50" spans="1:18">
      <c r="A50" t="s">
        <v>124</v>
      </c>
      <c r="B50" t="s">
        <v>125</v>
      </c>
      <c r="C50" t="s">
        <v>25</v>
      </c>
      <c r="D50" t="s">
        <v>26</v>
      </c>
      <c r="E50" t="s">
        <v>48</v>
      </c>
      <c r="F50">
        <v>9.2799999999999994</v>
      </c>
      <c r="G50">
        <v>10.31</v>
      </c>
      <c r="H50">
        <v>11.11</v>
      </c>
      <c r="I50">
        <v>15.82</v>
      </c>
      <c r="J50" s="4">
        <v>0.92930000000000001</v>
      </c>
      <c r="K50">
        <v>85000</v>
      </c>
      <c r="L50" s="2">
        <v>46119</v>
      </c>
      <c r="M50" t="str">
        <f t="shared" si="0"/>
        <v>Admis</v>
      </c>
      <c r="N50" t="str">
        <f t="shared" si="1"/>
        <v>Non Eligible</v>
      </c>
      <c r="O50" t="str">
        <f t="shared" si="2"/>
        <v>A surveiller</v>
      </c>
      <c r="P50" t="str">
        <f t="shared" si="3"/>
        <v>Hors Data</v>
      </c>
      <c r="Q50">
        <f t="shared" si="4"/>
        <v>11.629999999999999</v>
      </c>
      <c r="R50" t="str" cm="1">
        <f t="array" ref="R50">_xlfn.IFS(Q50&gt;=16, "Excellent",Q50&gt;=14, "Très bien", Q50&gt;=12, "Bien", Q50&gt;=10, "Passable", Q50&lt;10, "Insuffisant")</f>
        <v>Passable</v>
      </c>
    </row>
    <row r="51" spans="1:18">
      <c r="A51" t="s">
        <v>126</v>
      </c>
      <c r="B51" t="s">
        <v>127</v>
      </c>
      <c r="C51" t="s">
        <v>25</v>
      </c>
      <c r="D51" t="s">
        <v>34</v>
      </c>
      <c r="E51" t="s">
        <v>22</v>
      </c>
      <c r="F51">
        <v>11.37</v>
      </c>
      <c r="G51">
        <v>14.79</v>
      </c>
      <c r="H51">
        <v>17.2</v>
      </c>
      <c r="I51">
        <v>15.94</v>
      </c>
      <c r="J51" s="4">
        <v>0.77490000000000003</v>
      </c>
      <c r="K51">
        <v>50000</v>
      </c>
      <c r="L51" s="2">
        <v>46195</v>
      </c>
      <c r="M51" t="str">
        <f t="shared" si="0"/>
        <v>Admis</v>
      </c>
      <c r="N51" t="str">
        <f t="shared" si="1"/>
        <v>Non Eligible</v>
      </c>
      <c r="O51" t="str">
        <f t="shared" si="2"/>
        <v>RAS</v>
      </c>
      <c r="P51" t="str">
        <f t="shared" si="3"/>
        <v>Data</v>
      </c>
      <c r="Q51">
        <f t="shared" si="4"/>
        <v>14.824999999999999</v>
      </c>
      <c r="R51" t="str" cm="1">
        <f t="array" ref="R51">_xlfn.IFS(Q51&gt;=16, "Excellent",Q51&gt;=14, "Très bien", Q51&gt;=12, "Bien", Q51&gt;=10, "Passable", Q51&lt;10, "Insuffisant")</f>
        <v>Très bien</v>
      </c>
    </row>
    <row r="52" spans="1:18">
      <c r="A52" t="s">
        <v>128</v>
      </c>
      <c r="B52" t="s">
        <v>129</v>
      </c>
      <c r="C52" t="s">
        <v>25</v>
      </c>
      <c r="D52" t="s">
        <v>41</v>
      </c>
      <c r="E52" t="s">
        <v>48</v>
      </c>
      <c r="F52">
        <v>9.2899999999999991</v>
      </c>
      <c r="G52">
        <v>12.74</v>
      </c>
      <c r="H52">
        <v>13.9</v>
      </c>
      <c r="I52">
        <v>13.09</v>
      </c>
      <c r="J52" s="4">
        <v>0.95179999999999998</v>
      </c>
      <c r="K52">
        <v>100000</v>
      </c>
      <c r="L52" s="2">
        <v>45763</v>
      </c>
      <c r="M52" t="str">
        <f t="shared" si="0"/>
        <v>Admis</v>
      </c>
      <c r="N52" t="str">
        <f t="shared" si="1"/>
        <v>Non Eligible</v>
      </c>
      <c r="O52" t="str">
        <f t="shared" si="2"/>
        <v>A surveiller</v>
      </c>
      <c r="P52" t="str">
        <f t="shared" si="3"/>
        <v>Hors Data</v>
      </c>
      <c r="Q52">
        <f t="shared" si="4"/>
        <v>12.254999999999999</v>
      </c>
      <c r="R52" t="str" cm="1">
        <f t="array" ref="R52">_xlfn.IFS(Q52&gt;=16, "Excellent",Q52&gt;=14, "Très bien", Q52&gt;=12, "Bien", Q52&gt;=10, "Passable", Q52&lt;10, "Insuffisant")</f>
        <v>Bien</v>
      </c>
    </row>
    <row r="53" spans="1:18">
      <c r="A53" t="s">
        <v>130</v>
      </c>
      <c r="B53" t="s">
        <v>131</v>
      </c>
      <c r="C53" t="s">
        <v>20</v>
      </c>
      <c r="D53" t="s">
        <v>53</v>
      </c>
      <c r="E53" t="s">
        <v>48</v>
      </c>
      <c r="F53">
        <v>13.04</v>
      </c>
      <c r="G53">
        <v>9.85</v>
      </c>
      <c r="H53">
        <v>13.14</v>
      </c>
      <c r="I53">
        <v>15.59</v>
      </c>
      <c r="J53" s="4">
        <v>0.9385</v>
      </c>
      <c r="K53">
        <v>85000</v>
      </c>
      <c r="L53" s="2">
        <v>45551</v>
      </c>
      <c r="M53" t="str">
        <f t="shared" si="0"/>
        <v>Admis</v>
      </c>
      <c r="N53" t="str">
        <f t="shared" si="1"/>
        <v>Eligible</v>
      </c>
      <c r="O53" t="str">
        <f t="shared" si="2"/>
        <v>RAS</v>
      </c>
      <c r="P53" t="str">
        <f t="shared" si="3"/>
        <v>Hors Data</v>
      </c>
      <c r="Q53">
        <f t="shared" si="4"/>
        <v>12.905000000000001</v>
      </c>
      <c r="R53" t="str" cm="1">
        <f t="array" ref="R53">_xlfn.IFS(Q53&gt;=16, "Excellent",Q53&gt;=14, "Très bien", Q53&gt;=12, "Bien", Q53&gt;=10, "Passable", Q53&lt;10, "Insuffisant")</f>
        <v>Bien</v>
      </c>
    </row>
    <row r="54" spans="1:18">
      <c r="A54" t="s">
        <v>132</v>
      </c>
      <c r="B54" t="s">
        <v>133</v>
      </c>
      <c r="C54" t="s">
        <v>20</v>
      </c>
      <c r="D54" t="s">
        <v>38</v>
      </c>
      <c r="E54" t="s">
        <v>27</v>
      </c>
      <c r="F54">
        <v>15.75</v>
      </c>
      <c r="G54">
        <v>17.809999999999999</v>
      </c>
      <c r="H54">
        <v>15</v>
      </c>
      <c r="I54">
        <v>12.56</v>
      </c>
      <c r="J54" s="4">
        <v>0.92410000000000003</v>
      </c>
      <c r="K54">
        <v>75000</v>
      </c>
      <c r="L54" s="2">
        <v>46221</v>
      </c>
      <c r="M54" t="str">
        <f t="shared" si="0"/>
        <v>Admis</v>
      </c>
      <c r="N54" t="str">
        <f t="shared" si="1"/>
        <v>Eligible</v>
      </c>
      <c r="O54" t="str">
        <f t="shared" si="2"/>
        <v>RAS</v>
      </c>
      <c r="P54" t="str">
        <f t="shared" si="3"/>
        <v>Hors Data</v>
      </c>
      <c r="Q54">
        <f t="shared" si="4"/>
        <v>15.280000000000001</v>
      </c>
      <c r="R54" t="str" cm="1">
        <f t="array" ref="R54">_xlfn.IFS(Q54&gt;=16, "Excellent",Q54&gt;=14, "Très bien", Q54&gt;=12, "Bien", Q54&gt;=10, "Passable", Q54&lt;10, "Insuffisant")</f>
        <v>Très bien</v>
      </c>
    </row>
    <row r="55" spans="1:18">
      <c r="A55" t="s">
        <v>134</v>
      </c>
      <c r="B55" t="s">
        <v>135</v>
      </c>
      <c r="C55" t="s">
        <v>20</v>
      </c>
      <c r="D55" t="s">
        <v>38</v>
      </c>
      <c r="E55" t="s">
        <v>22</v>
      </c>
      <c r="F55">
        <v>18.190000000000001</v>
      </c>
      <c r="G55">
        <v>8.83</v>
      </c>
      <c r="H55">
        <v>14.54</v>
      </c>
      <c r="I55">
        <v>13.72</v>
      </c>
      <c r="J55" s="4">
        <v>0.79700000000000004</v>
      </c>
      <c r="K55">
        <v>120000</v>
      </c>
      <c r="L55" s="2">
        <v>45956</v>
      </c>
      <c r="M55" t="str">
        <f t="shared" si="0"/>
        <v>Admis</v>
      </c>
      <c r="N55" t="str">
        <f t="shared" si="1"/>
        <v>Non Eligible</v>
      </c>
      <c r="O55" t="str">
        <f t="shared" si="2"/>
        <v>RAS</v>
      </c>
      <c r="P55" t="str">
        <f t="shared" si="3"/>
        <v>Data</v>
      </c>
      <c r="Q55">
        <f t="shared" si="4"/>
        <v>13.82</v>
      </c>
      <c r="R55" t="str" cm="1">
        <f t="array" ref="R55">_xlfn.IFS(Q55&gt;=16, "Excellent",Q55&gt;=14, "Très bien", Q55&gt;=12, "Bien", Q55&gt;=10, "Passable", Q55&lt;10, "Insuffisant")</f>
        <v>Bien</v>
      </c>
    </row>
    <row r="56" spans="1:18">
      <c r="A56" t="s">
        <v>136</v>
      </c>
      <c r="B56" t="s">
        <v>137</v>
      </c>
      <c r="C56" t="s">
        <v>20</v>
      </c>
      <c r="D56" t="s">
        <v>34</v>
      </c>
      <c r="E56" t="s">
        <v>22</v>
      </c>
      <c r="F56">
        <v>12.91</v>
      </c>
      <c r="G56">
        <v>13.8</v>
      </c>
      <c r="H56">
        <v>17.46</v>
      </c>
      <c r="I56">
        <v>17.46</v>
      </c>
      <c r="J56" s="4">
        <v>0.80020000000000002</v>
      </c>
      <c r="K56">
        <v>100000</v>
      </c>
      <c r="L56" s="2">
        <v>45708</v>
      </c>
      <c r="M56" t="str">
        <f t="shared" si="0"/>
        <v>Admis</v>
      </c>
      <c r="N56" t="str">
        <f t="shared" si="1"/>
        <v>Eligible</v>
      </c>
      <c r="O56" t="str">
        <f t="shared" si="2"/>
        <v>RAS</v>
      </c>
      <c r="P56" t="str">
        <f t="shared" si="3"/>
        <v>Data</v>
      </c>
      <c r="Q56">
        <f t="shared" si="4"/>
        <v>15.407500000000001</v>
      </c>
      <c r="R56" t="str" cm="1">
        <f t="array" ref="R56">_xlfn.IFS(Q56&gt;=16, "Excellent",Q56&gt;=14, "Très bien", Q56&gt;=12, "Bien", Q56&gt;=10, "Passable", Q56&lt;10, "Insuffisant")</f>
        <v>Très bien</v>
      </c>
    </row>
    <row r="57" spans="1:18">
      <c r="A57" t="s">
        <v>138</v>
      </c>
      <c r="B57" t="s">
        <v>139</v>
      </c>
      <c r="C57" t="s">
        <v>20</v>
      </c>
      <c r="D57" t="s">
        <v>34</v>
      </c>
      <c r="E57" t="s">
        <v>35</v>
      </c>
      <c r="F57">
        <v>15.3</v>
      </c>
      <c r="G57">
        <v>13.68</v>
      </c>
      <c r="H57">
        <v>14.86</v>
      </c>
      <c r="I57">
        <v>10.44</v>
      </c>
      <c r="J57" s="4">
        <v>0.89</v>
      </c>
      <c r="K57">
        <v>90000</v>
      </c>
      <c r="L57" s="2">
        <v>46070</v>
      </c>
      <c r="M57" t="str">
        <f t="shared" si="0"/>
        <v>Admis</v>
      </c>
      <c r="N57" t="str">
        <f t="shared" si="1"/>
        <v>Eligible</v>
      </c>
      <c r="O57" t="str">
        <f t="shared" si="2"/>
        <v>RAS</v>
      </c>
      <c r="P57" t="str">
        <f t="shared" si="3"/>
        <v>Hors Data</v>
      </c>
      <c r="Q57">
        <f t="shared" si="4"/>
        <v>13.57</v>
      </c>
      <c r="R57" t="str" cm="1">
        <f t="array" ref="R57">_xlfn.IFS(Q57&gt;=16, "Excellent",Q57&gt;=14, "Très bien", Q57&gt;=12, "Bien", Q57&gt;=10, "Passable", Q57&lt;10, "Insuffisant")</f>
        <v>Bien</v>
      </c>
    </row>
    <row r="58" spans="1:18">
      <c r="A58" t="s">
        <v>140</v>
      </c>
      <c r="B58" t="s">
        <v>141</v>
      </c>
      <c r="C58" t="s">
        <v>25</v>
      </c>
      <c r="D58" t="s">
        <v>41</v>
      </c>
      <c r="E58" t="s">
        <v>35</v>
      </c>
      <c r="F58">
        <v>15.91</v>
      </c>
      <c r="G58">
        <v>15.95</v>
      </c>
      <c r="H58">
        <v>14.56</v>
      </c>
      <c r="I58">
        <v>16.36</v>
      </c>
      <c r="J58" s="4">
        <v>0.74680000000000002</v>
      </c>
      <c r="K58">
        <v>60000</v>
      </c>
      <c r="L58" s="2">
        <v>46168</v>
      </c>
      <c r="M58" t="str">
        <f t="shared" si="0"/>
        <v>Admis</v>
      </c>
      <c r="N58" t="str">
        <f t="shared" si="1"/>
        <v>Non Eligible</v>
      </c>
      <c r="O58" t="str">
        <f t="shared" si="2"/>
        <v>RAS</v>
      </c>
      <c r="P58" t="str">
        <f t="shared" si="3"/>
        <v>Hors Data</v>
      </c>
      <c r="Q58">
        <f t="shared" si="4"/>
        <v>15.695</v>
      </c>
      <c r="R58" t="str" cm="1">
        <f t="array" ref="R58">_xlfn.IFS(Q58&gt;=16, "Excellent",Q58&gt;=14, "Très bien", Q58&gt;=12, "Bien", Q58&gt;=10, "Passable", Q58&lt;10, "Insuffisant")</f>
        <v>Très bien</v>
      </c>
    </row>
    <row r="59" spans="1:18">
      <c r="A59" t="s">
        <v>142</v>
      </c>
      <c r="B59" t="s">
        <v>109</v>
      </c>
      <c r="C59" t="s">
        <v>20</v>
      </c>
      <c r="D59" t="s">
        <v>21</v>
      </c>
      <c r="E59" t="s">
        <v>27</v>
      </c>
      <c r="F59">
        <v>7.04</v>
      </c>
      <c r="G59">
        <v>9.23</v>
      </c>
      <c r="H59">
        <v>6.56</v>
      </c>
      <c r="I59">
        <v>8.67</v>
      </c>
      <c r="J59" s="4">
        <v>0.6895</v>
      </c>
      <c r="K59">
        <v>85000</v>
      </c>
      <c r="L59" s="2">
        <v>45735</v>
      </c>
      <c r="M59" t="str">
        <f t="shared" si="0"/>
        <v>Non admis</v>
      </c>
      <c r="N59" t="str">
        <f t="shared" si="1"/>
        <v>Non Eligible</v>
      </c>
      <c r="O59" t="str">
        <f t="shared" si="2"/>
        <v>A surveiller</v>
      </c>
      <c r="P59" t="str">
        <f t="shared" si="3"/>
        <v>Hors Data</v>
      </c>
      <c r="Q59">
        <f t="shared" si="4"/>
        <v>7.875</v>
      </c>
      <c r="R59" t="str" cm="1">
        <f t="array" ref="R59">_xlfn.IFS(Q59&gt;=16, "Excellent",Q59&gt;=14, "Très bien", Q59&gt;=12, "Bien", Q59&gt;=10, "Passable", Q59&lt;10, "Insuffisant")</f>
        <v>Insuffisant</v>
      </c>
    </row>
    <row r="60" spans="1:18">
      <c r="A60" t="s">
        <v>143</v>
      </c>
      <c r="B60" t="s">
        <v>144</v>
      </c>
      <c r="C60" t="s">
        <v>25</v>
      </c>
      <c r="D60" t="s">
        <v>38</v>
      </c>
      <c r="E60" t="s">
        <v>48</v>
      </c>
      <c r="F60">
        <v>14.12</v>
      </c>
      <c r="G60">
        <v>15.36</v>
      </c>
      <c r="H60">
        <v>11.46</v>
      </c>
      <c r="I60">
        <v>16.71</v>
      </c>
      <c r="J60" s="4">
        <v>0.9617</v>
      </c>
      <c r="K60">
        <v>100000</v>
      </c>
      <c r="L60" s="2">
        <v>46074</v>
      </c>
      <c r="M60" t="str">
        <f t="shared" si="0"/>
        <v>Admis</v>
      </c>
      <c r="N60" t="str">
        <f t="shared" si="1"/>
        <v>Non Eligible</v>
      </c>
      <c r="O60" t="str">
        <f t="shared" si="2"/>
        <v>RAS</v>
      </c>
      <c r="P60" t="str">
        <f t="shared" si="3"/>
        <v>Hors Data</v>
      </c>
      <c r="Q60">
        <f t="shared" si="4"/>
        <v>14.4125</v>
      </c>
      <c r="R60" t="str" cm="1">
        <f t="array" ref="R60">_xlfn.IFS(Q60&gt;=16, "Excellent",Q60&gt;=14, "Très bien", Q60&gt;=12, "Bien", Q60&gt;=10, "Passable", Q60&lt;10, "Insuffisant")</f>
        <v>Très bien</v>
      </c>
    </row>
    <row r="61" spans="1:18">
      <c r="A61" t="s">
        <v>145</v>
      </c>
      <c r="B61" t="s">
        <v>146</v>
      </c>
      <c r="C61" t="s">
        <v>25</v>
      </c>
      <c r="D61" t="s">
        <v>41</v>
      </c>
      <c r="E61" t="s">
        <v>48</v>
      </c>
      <c r="F61">
        <v>9.1</v>
      </c>
      <c r="G61">
        <v>6.23</v>
      </c>
      <c r="H61">
        <v>4.51</v>
      </c>
      <c r="I61">
        <v>3.81</v>
      </c>
      <c r="J61" s="4">
        <v>0.91279999999999994</v>
      </c>
      <c r="K61">
        <v>130000</v>
      </c>
      <c r="L61" s="2">
        <v>46087</v>
      </c>
      <c r="M61" t="str">
        <f t="shared" si="0"/>
        <v>Non admis</v>
      </c>
      <c r="N61" t="str">
        <f t="shared" si="1"/>
        <v>Non Eligible</v>
      </c>
      <c r="O61" t="str">
        <f t="shared" si="2"/>
        <v>A surveiller</v>
      </c>
      <c r="P61" t="str">
        <f t="shared" si="3"/>
        <v>Hors Data</v>
      </c>
      <c r="Q61">
        <f t="shared" si="4"/>
        <v>5.9124999999999996</v>
      </c>
      <c r="R61" t="str" cm="1">
        <f t="array" ref="R61">_xlfn.IFS(Q61&gt;=16, "Excellent",Q61&gt;=14, "Très bien", Q61&gt;=12, "Bien", Q61&gt;=10, "Passable", Q61&lt;10, "Insuffisant")</f>
        <v>Insuffisant</v>
      </c>
    </row>
    <row r="62" spans="1:18">
      <c r="A62" t="s">
        <v>147</v>
      </c>
      <c r="B62" t="s">
        <v>148</v>
      </c>
      <c r="C62" t="s">
        <v>25</v>
      </c>
      <c r="D62" t="s">
        <v>26</v>
      </c>
      <c r="E62" t="s">
        <v>48</v>
      </c>
      <c r="F62">
        <v>14.32</v>
      </c>
      <c r="G62">
        <v>15.29</v>
      </c>
      <c r="H62">
        <v>12.15</v>
      </c>
      <c r="I62">
        <v>17.04</v>
      </c>
      <c r="J62" s="4">
        <v>0.55000000000000004</v>
      </c>
      <c r="K62">
        <v>90000</v>
      </c>
      <c r="L62" s="2">
        <v>45887</v>
      </c>
      <c r="M62" t="str">
        <f t="shared" si="0"/>
        <v>Admis</v>
      </c>
      <c r="N62" t="str">
        <f t="shared" si="1"/>
        <v>Non Eligible</v>
      </c>
      <c r="O62" t="str">
        <f t="shared" si="2"/>
        <v>RAS</v>
      </c>
      <c r="P62" t="str">
        <f t="shared" si="3"/>
        <v>Hors Data</v>
      </c>
      <c r="Q62">
        <f t="shared" si="4"/>
        <v>14.7</v>
      </c>
      <c r="R62" t="str" cm="1">
        <f t="array" ref="R62">_xlfn.IFS(Q62&gt;=16, "Excellent",Q62&gt;=14, "Très bien", Q62&gt;=12, "Bien", Q62&gt;=10, "Passable", Q62&lt;10, "Insuffisant")</f>
        <v>Très bien</v>
      </c>
    </row>
    <row r="63" spans="1:18">
      <c r="A63" t="s">
        <v>149</v>
      </c>
      <c r="B63" t="s">
        <v>150</v>
      </c>
      <c r="C63" t="s">
        <v>25</v>
      </c>
      <c r="D63" t="s">
        <v>26</v>
      </c>
      <c r="E63" t="s">
        <v>27</v>
      </c>
      <c r="F63">
        <v>12.92</v>
      </c>
      <c r="G63">
        <v>14.32</v>
      </c>
      <c r="H63">
        <v>16.98</v>
      </c>
      <c r="I63">
        <v>12.16</v>
      </c>
      <c r="J63" s="4">
        <v>0.95489999999999997</v>
      </c>
      <c r="K63">
        <v>60000</v>
      </c>
      <c r="L63" s="2">
        <v>45978</v>
      </c>
      <c r="M63" t="str">
        <f t="shared" si="0"/>
        <v>Admis</v>
      </c>
      <c r="N63" t="str">
        <f t="shared" si="1"/>
        <v>Eligible</v>
      </c>
      <c r="O63" t="str">
        <f t="shared" si="2"/>
        <v>RAS</v>
      </c>
      <c r="P63" t="str">
        <f t="shared" si="3"/>
        <v>Hors Data</v>
      </c>
      <c r="Q63">
        <f t="shared" si="4"/>
        <v>14.094999999999999</v>
      </c>
      <c r="R63" t="str" cm="1">
        <f t="array" ref="R63">_xlfn.IFS(Q63&gt;=16, "Excellent",Q63&gt;=14, "Très bien", Q63&gt;=12, "Bien", Q63&gt;=10, "Passable", Q63&lt;10, "Insuffisant")</f>
        <v>Très bien</v>
      </c>
    </row>
    <row r="64" spans="1:18">
      <c r="A64" t="s">
        <v>151</v>
      </c>
      <c r="B64" t="s">
        <v>152</v>
      </c>
      <c r="C64" t="s">
        <v>20</v>
      </c>
      <c r="D64" t="s">
        <v>21</v>
      </c>
      <c r="E64" t="s">
        <v>35</v>
      </c>
      <c r="F64">
        <v>15.64</v>
      </c>
      <c r="G64">
        <v>13.06</v>
      </c>
      <c r="H64">
        <v>16.170000000000002</v>
      </c>
      <c r="I64">
        <v>15.34</v>
      </c>
      <c r="J64" s="4">
        <v>0.84250000000000003</v>
      </c>
      <c r="K64">
        <v>100000</v>
      </c>
      <c r="L64" s="2">
        <v>45724</v>
      </c>
      <c r="M64" t="str">
        <f t="shared" si="0"/>
        <v>Admis</v>
      </c>
      <c r="N64" t="str">
        <f t="shared" si="1"/>
        <v>Eligible</v>
      </c>
      <c r="O64" t="str">
        <f t="shared" si="2"/>
        <v>RAS</v>
      </c>
      <c r="P64" t="str">
        <f t="shared" si="3"/>
        <v>Hors Data</v>
      </c>
      <c r="Q64">
        <f t="shared" si="4"/>
        <v>15.052500000000002</v>
      </c>
      <c r="R64" t="str" cm="1">
        <f t="array" ref="R64">_xlfn.IFS(Q64&gt;=16, "Excellent",Q64&gt;=14, "Très bien", Q64&gt;=12, "Bien", Q64&gt;=10, "Passable", Q64&lt;10, "Insuffisant")</f>
        <v>Très bien</v>
      </c>
    </row>
    <row r="65" spans="1:18">
      <c r="A65" t="s">
        <v>153</v>
      </c>
      <c r="B65" t="s">
        <v>52</v>
      </c>
      <c r="C65" t="s">
        <v>25</v>
      </c>
      <c r="D65" t="s">
        <v>21</v>
      </c>
      <c r="E65" t="s">
        <v>22</v>
      </c>
      <c r="F65">
        <v>13.82</v>
      </c>
      <c r="G65">
        <v>20</v>
      </c>
      <c r="H65">
        <v>18.579999999999998</v>
      </c>
      <c r="I65">
        <v>14.04</v>
      </c>
      <c r="J65" s="4">
        <v>0.9204</v>
      </c>
      <c r="K65">
        <v>50000</v>
      </c>
      <c r="L65" s="2">
        <v>46186</v>
      </c>
      <c r="M65" t="str">
        <f t="shared" si="0"/>
        <v>Admis</v>
      </c>
      <c r="N65" t="str">
        <f t="shared" si="1"/>
        <v>Eligible</v>
      </c>
      <c r="O65" t="str">
        <f t="shared" si="2"/>
        <v>RAS</v>
      </c>
      <c r="P65" t="str">
        <f t="shared" si="3"/>
        <v>Data</v>
      </c>
      <c r="Q65">
        <f t="shared" si="4"/>
        <v>16.61</v>
      </c>
      <c r="R65" t="str" cm="1">
        <f t="array" ref="R65">_xlfn.IFS(Q65&gt;=16, "Excellent",Q65&gt;=14, "Très bien", Q65&gt;=12, "Bien", Q65&gt;=10, "Passable", Q65&lt;10, "Insuffisant")</f>
        <v>Excellent</v>
      </c>
    </row>
    <row r="66" spans="1:18">
      <c r="A66" t="s">
        <v>154</v>
      </c>
      <c r="B66" t="s">
        <v>155</v>
      </c>
      <c r="C66" t="s">
        <v>20</v>
      </c>
      <c r="D66" t="s">
        <v>21</v>
      </c>
      <c r="E66" t="s">
        <v>22</v>
      </c>
      <c r="F66">
        <v>12.29</v>
      </c>
      <c r="G66">
        <v>11.3</v>
      </c>
      <c r="H66">
        <v>8.81</v>
      </c>
      <c r="I66">
        <v>11.57</v>
      </c>
      <c r="J66" s="4">
        <v>0.80159999999999998</v>
      </c>
      <c r="K66">
        <v>75000</v>
      </c>
      <c r="L66" s="2">
        <v>46224</v>
      </c>
      <c r="M66" t="str">
        <f t="shared" si="0"/>
        <v>Non admis</v>
      </c>
      <c r="N66" t="str">
        <f t="shared" si="1"/>
        <v>Non Eligible</v>
      </c>
      <c r="O66" t="str">
        <f t="shared" si="2"/>
        <v>A surveiller</v>
      </c>
      <c r="P66" t="str">
        <f t="shared" si="3"/>
        <v>Data</v>
      </c>
      <c r="Q66">
        <f t="shared" si="4"/>
        <v>10.9925</v>
      </c>
      <c r="R66" t="str" cm="1">
        <f t="array" ref="R66">_xlfn.IFS(Q66&gt;=16, "Excellent",Q66&gt;=14, "Très bien", Q66&gt;=12, "Bien", Q66&gt;=10, "Passable", Q66&lt;10, "Insuffisant")</f>
        <v>Passable</v>
      </c>
    </row>
    <row r="67" spans="1:18">
      <c r="A67" t="s">
        <v>156</v>
      </c>
      <c r="B67" t="s">
        <v>157</v>
      </c>
      <c r="C67" t="s">
        <v>20</v>
      </c>
      <c r="D67" t="s">
        <v>26</v>
      </c>
      <c r="E67" t="s">
        <v>35</v>
      </c>
      <c r="F67">
        <v>10.73</v>
      </c>
      <c r="G67">
        <v>13.42</v>
      </c>
      <c r="H67">
        <v>13.55</v>
      </c>
      <c r="I67">
        <v>12.89</v>
      </c>
      <c r="J67" s="4">
        <v>0.87060000000000004</v>
      </c>
      <c r="K67">
        <v>130000</v>
      </c>
      <c r="L67" s="2">
        <v>46222</v>
      </c>
      <c r="M67" t="str">
        <f t="shared" ref="M67:M130" si="5">IF(H67&gt;=10,"Admis","Non admis")</f>
        <v>Admis</v>
      </c>
      <c r="N67" t="str">
        <f t="shared" ref="N67:N130" si="6">IF(AND(F67&gt;=12,H67&gt;=12,J67&gt;80%), "Eligible", "Non Eligible")</f>
        <v>Non Eligible</v>
      </c>
      <c r="O67" t="str">
        <f t="shared" ref="O67:O130" si="7">IF(OR(F67&lt;10,H67&lt;10), "A surveiller", "RAS")</f>
        <v>RAS</v>
      </c>
      <c r="P67" t="str">
        <f t="shared" ref="P67:P130" si="8">IF(NOT(E67="Data"), "Hors Data", "Data")</f>
        <v>Hors Data</v>
      </c>
      <c r="Q67">
        <f t="shared" ref="Q67:Q130" si="9">AVERAGE(F67:I67)</f>
        <v>12.647500000000001</v>
      </c>
      <c r="R67" t="str" cm="1">
        <f t="array" ref="R67">_xlfn.IFS(Q67&gt;=16, "Excellent",Q67&gt;=14, "Très bien", Q67&gt;=12, "Bien", Q67&gt;=10, "Passable", Q67&lt;10, "Insuffisant")</f>
        <v>Bien</v>
      </c>
    </row>
    <row r="68" spans="1:18">
      <c r="A68" t="s">
        <v>158</v>
      </c>
      <c r="B68" t="s">
        <v>159</v>
      </c>
      <c r="C68" t="s">
        <v>25</v>
      </c>
      <c r="D68" t="s">
        <v>38</v>
      </c>
      <c r="E68" t="s">
        <v>48</v>
      </c>
      <c r="F68">
        <v>12.39</v>
      </c>
      <c r="G68">
        <v>16.12</v>
      </c>
      <c r="H68">
        <v>14.7</v>
      </c>
      <c r="I68">
        <v>12.31</v>
      </c>
      <c r="J68" s="4">
        <v>0.84919999999999995</v>
      </c>
      <c r="K68">
        <v>110000</v>
      </c>
      <c r="L68" s="2">
        <v>46051</v>
      </c>
      <c r="M68" t="str">
        <f t="shared" si="5"/>
        <v>Admis</v>
      </c>
      <c r="N68" t="str">
        <f t="shared" si="6"/>
        <v>Eligible</v>
      </c>
      <c r="O68" t="str">
        <f t="shared" si="7"/>
        <v>RAS</v>
      </c>
      <c r="P68" t="str">
        <f t="shared" si="8"/>
        <v>Hors Data</v>
      </c>
      <c r="Q68">
        <f t="shared" si="9"/>
        <v>13.88</v>
      </c>
      <c r="R68" t="str" cm="1">
        <f t="array" ref="R68">_xlfn.IFS(Q68&gt;=16, "Excellent",Q68&gt;=14, "Très bien", Q68&gt;=12, "Bien", Q68&gt;=10, "Passable", Q68&lt;10, "Insuffisant")</f>
        <v>Bien</v>
      </c>
    </row>
    <row r="69" spans="1:18">
      <c r="A69" t="s">
        <v>160</v>
      </c>
      <c r="B69" t="s">
        <v>161</v>
      </c>
      <c r="C69" t="s">
        <v>20</v>
      </c>
      <c r="D69" t="s">
        <v>41</v>
      </c>
      <c r="E69" t="s">
        <v>35</v>
      </c>
      <c r="F69">
        <v>12.99</v>
      </c>
      <c r="G69">
        <v>13.03</v>
      </c>
      <c r="H69">
        <v>11.16</v>
      </c>
      <c r="I69">
        <v>13.55</v>
      </c>
      <c r="J69" s="4">
        <v>0.80720000000000003</v>
      </c>
      <c r="K69">
        <v>120000</v>
      </c>
      <c r="L69" s="2">
        <v>45565</v>
      </c>
      <c r="M69" t="str">
        <f t="shared" si="5"/>
        <v>Admis</v>
      </c>
      <c r="N69" t="str">
        <f t="shared" si="6"/>
        <v>Non Eligible</v>
      </c>
      <c r="O69" t="str">
        <f t="shared" si="7"/>
        <v>RAS</v>
      </c>
      <c r="P69" t="str">
        <f t="shared" si="8"/>
        <v>Hors Data</v>
      </c>
      <c r="Q69">
        <f t="shared" si="9"/>
        <v>12.682500000000001</v>
      </c>
      <c r="R69" t="str" cm="1">
        <f t="array" ref="R69">_xlfn.IFS(Q69&gt;=16, "Excellent",Q69&gt;=14, "Très bien", Q69&gt;=12, "Bien", Q69&gt;=10, "Passable", Q69&lt;10, "Insuffisant")</f>
        <v>Bien</v>
      </c>
    </row>
    <row r="70" spans="1:18">
      <c r="A70" t="s">
        <v>162</v>
      </c>
      <c r="B70" t="s">
        <v>115</v>
      </c>
      <c r="C70" t="s">
        <v>20</v>
      </c>
      <c r="D70" t="s">
        <v>38</v>
      </c>
      <c r="E70" t="s">
        <v>35</v>
      </c>
      <c r="F70">
        <v>16.13</v>
      </c>
      <c r="G70">
        <v>12.81</v>
      </c>
      <c r="H70">
        <v>14.09</v>
      </c>
      <c r="I70">
        <v>11.94</v>
      </c>
      <c r="J70" s="4">
        <v>0.86950000000000005</v>
      </c>
      <c r="K70">
        <v>75000</v>
      </c>
      <c r="L70" s="2">
        <v>45792</v>
      </c>
      <c r="M70" t="str">
        <f t="shared" si="5"/>
        <v>Admis</v>
      </c>
      <c r="N70" t="str">
        <f t="shared" si="6"/>
        <v>Eligible</v>
      </c>
      <c r="O70" t="str">
        <f t="shared" si="7"/>
        <v>RAS</v>
      </c>
      <c r="P70" t="str">
        <f t="shared" si="8"/>
        <v>Hors Data</v>
      </c>
      <c r="Q70">
        <f t="shared" si="9"/>
        <v>13.7425</v>
      </c>
      <c r="R70" t="str" cm="1">
        <f t="array" ref="R70">_xlfn.IFS(Q70&gt;=16, "Excellent",Q70&gt;=14, "Très bien", Q70&gt;=12, "Bien", Q70&gt;=10, "Passable", Q70&lt;10, "Insuffisant")</f>
        <v>Bien</v>
      </c>
    </row>
    <row r="71" spans="1:18">
      <c r="A71" t="s">
        <v>163</v>
      </c>
      <c r="B71" t="s">
        <v>164</v>
      </c>
      <c r="C71" t="s">
        <v>20</v>
      </c>
      <c r="D71" t="s">
        <v>21</v>
      </c>
      <c r="E71" t="s">
        <v>35</v>
      </c>
      <c r="F71">
        <v>14.26</v>
      </c>
      <c r="G71">
        <v>18.48</v>
      </c>
      <c r="H71">
        <v>15.37</v>
      </c>
      <c r="I71">
        <v>13.49</v>
      </c>
      <c r="J71" s="4">
        <v>0.72430000000000005</v>
      </c>
      <c r="K71">
        <v>100000</v>
      </c>
      <c r="L71" s="2">
        <v>45847</v>
      </c>
      <c r="M71" t="str">
        <f t="shared" si="5"/>
        <v>Admis</v>
      </c>
      <c r="N71" t="str">
        <f t="shared" si="6"/>
        <v>Non Eligible</v>
      </c>
      <c r="O71" t="str">
        <f t="shared" si="7"/>
        <v>RAS</v>
      </c>
      <c r="P71" t="str">
        <f t="shared" si="8"/>
        <v>Hors Data</v>
      </c>
      <c r="Q71">
        <f t="shared" si="9"/>
        <v>15.4</v>
      </c>
      <c r="R71" t="str" cm="1">
        <f t="array" ref="R71">_xlfn.IFS(Q71&gt;=16, "Excellent",Q71&gt;=14, "Très bien", Q71&gt;=12, "Bien", Q71&gt;=10, "Passable", Q71&lt;10, "Insuffisant")</f>
        <v>Très bien</v>
      </c>
    </row>
    <row r="72" spans="1:18">
      <c r="A72" t="s">
        <v>165</v>
      </c>
      <c r="B72" t="s">
        <v>166</v>
      </c>
      <c r="C72" t="s">
        <v>25</v>
      </c>
      <c r="D72" t="s">
        <v>38</v>
      </c>
      <c r="E72" t="s">
        <v>27</v>
      </c>
      <c r="F72">
        <v>12.56</v>
      </c>
      <c r="G72">
        <v>8.91</v>
      </c>
      <c r="H72">
        <v>7.47</v>
      </c>
      <c r="I72">
        <v>10.68</v>
      </c>
      <c r="J72" s="4">
        <v>0.7157</v>
      </c>
      <c r="K72">
        <v>100000</v>
      </c>
      <c r="L72" s="2">
        <v>46207</v>
      </c>
      <c r="M72" t="str">
        <f t="shared" si="5"/>
        <v>Non admis</v>
      </c>
      <c r="N72" t="str">
        <f t="shared" si="6"/>
        <v>Non Eligible</v>
      </c>
      <c r="O72" t="str">
        <f t="shared" si="7"/>
        <v>A surveiller</v>
      </c>
      <c r="P72" t="str">
        <f t="shared" si="8"/>
        <v>Hors Data</v>
      </c>
      <c r="Q72">
        <f t="shared" si="9"/>
        <v>9.9049999999999994</v>
      </c>
      <c r="R72" t="str" cm="1">
        <f t="array" ref="R72">_xlfn.IFS(Q72&gt;=16, "Excellent",Q72&gt;=14, "Très bien", Q72&gt;=12, "Bien", Q72&gt;=10, "Passable", Q72&lt;10, "Insuffisant")</f>
        <v>Insuffisant</v>
      </c>
    </row>
    <row r="73" spans="1:18">
      <c r="A73" t="s">
        <v>167</v>
      </c>
      <c r="B73" t="s">
        <v>168</v>
      </c>
      <c r="C73" t="s">
        <v>20</v>
      </c>
      <c r="D73" t="s">
        <v>34</v>
      </c>
      <c r="E73" t="s">
        <v>27</v>
      </c>
      <c r="F73">
        <v>13.48</v>
      </c>
      <c r="G73">
        <v>16.010000000000002</v>
      </c>
      <c r="H73">
        <v>17.98</v>
      </c>
      <c r="I73">
        <v>16.399999999999999</v>
      </c>
      <c r="J73" s="4">
        <v>0.88990000000000002</v>
      </c>
      <c r="K73">
        <v>70000</v>
      </c>
      <c r="L73" s="2">
        <v>45918</v>
      </c>
      <c r="M73" t="str">
        <f t="shared" si="5"/>
        <v>Admis</v>
      </c>
      <c r="N73" t="str">
        <f t="shared" si="6"/>
        <v>Eligible</v>
      </c>
      <c r="O73" t="str">
        <f t="shared" si="7"/>
        <v>RAS</v>
      </c>
      <c r="P73" t="str">
        <f t="shared" si="8"/>
        <v>Hors Data</v>
      </c>
      <c r="Q73">
        <f t="shared" si="9"/>
        <v>15.967499999999999</v>
      </c>
      <c r="R73" t="str" cm="1">
        <f t="array" ref="R73">_xlfn.IFS(Q73&gt;=16, "Excellent",Q73&gt;=14, "Très bien", Q73&gt;=12, "Bien", Q73&gt;=10, "Passable", Q73&lt;10, "Insuffisant")</f>
        <v>Très bien</v>
      </c>
    </row>
    <row r="74" spans="1:18">
      <c r="A74" t="s">
        <v>169</v>
      </c>
      <c r="B74" t="s">
        <v>170</v>
      </c>
      <c r="C74" t="s">
        <v>20</v>
      </c>
      <c r="D74" t="s">
        <v>26</v>
      </c>
      <c r="E74" t="s">
        <v>22</v>
      </c>
      <c r="F74">
        <v>14.73</v>
      </c>
      <c r="G74">
        <v>14.56</v>
      </c>
      <c r="H74">
        <v>16.13</v>
      </c>
      <c r="I74">
        <v>14.69</v>
      </c>
      <c r="J74" s="4">
        <v>0.76880000000000004</v>
      </c>
      <c r="K74">
        <v>130000</v>
      </c>
      <c r="L74" s="2">
        <v>45911</v>
      </c>
      <c r="M74" t="str">
        <f t="shared" si="5"/>
        <v>Admis</v>
      </c>
      <c r="N74" t="str">
        <f t="shared" si="6"/>
        <v>Non Eligible</v>
      </c>
      <c r="O74" t="str">
        <f t="shared" si="7"/>
        <v>RAS</v>
      </c>
      <c r="P74" t="str">
        <f t="shared" si="8"/>
        <v>Data</v>
      </c>
      <c r="Q74">
        <f t="shared" si="9"/>
        <v>15.0275</v>
      </c>
      <c r="R74" t="str" cm="1">
        <f t="array" ref="R74">_xlfn.IFS(Q74&gt;=16, "Excellent",Q74&gt;=14, "Très bien", Q74&gt;=12, "Bien", Q74&gt;=10, "Passable", Q74&lt;10, "Insuffisant")</f>
        <v>Très bien</v>
      </c>
    </row>
    <row r="75" spans="1:18">
      <c r="A75" t="s">
        <v>171</v>
      </c>
      <c r="B75" t="s">
        <v>133</v>
      </c>
      <c r="C75" t="s">
        <v>20</v>
      </c>
      <c r="D75" t="s">
        <v>41</v>
      </c>
      <c r="E75" t="s">
        <v>22</v>
      </c>
      <c r="F75">
        <v>9.31</v>
      </c>
      <c r="G75">
        <v>9.74</v>
      </c>
      <c r="H75">
        <v>10.34</v>
      </c>
      <c r="I75">
        <v>10.8</v>
      </c>
      <c r="J75" s="4">
        <v>0.90290000000000004</v>
      </c>
      <c r="K75">
        <v>130000</v>
      </c>
      <c r="L75" s="2">
        <v>45638</v>
      </c>
      <c r="M75" t="str">
        <f t="shared" si="5"/>
        <v>Admis</v>
      </c>
      <c r="N75" t="str">
        <f t="shared" si="6"/>
        <v>Non Eligible</v>
      </c>
      <c r="O75" t="str">
        <f t="shared" si="7"/>
        <v>A surveiller</v>
      </c>
      <c r="P75" t="str">
        <f t="shared" si="8"/>
        <v>Data</v>
      </c>
      <c r="Q75">
        <f t="shared" si="9"/>
        <v>10.047499999999999</v>
      </c>
      <c r="R75" t="str" cm="1">
        <f t="array" ref="R75">_xlfn.IFS(Q75&gt;=16, "Excellent",Q75&gt;=14, "Très bien", Q75&gt;=12, "Bien", Q75&gt;=10, "Passable", Q75&lt;10, "Insuffisant")</f>
        <v>Passable</v>
      </c>
    </row>
    <row r="76" spans="1:18">
      <c r="A76" t="s">
        <v>172</v>
      </c>
      <c r="B76" t="s">
        <v>173</v>
      </c>
      <c r="C76" t="s">
        <v>25</v>
      </c>
      <c r="D76" t="s">
        <v>26</v>
      </c>
      <c r="E76" t="s">
        <v>22</v>
      </c>
      <c r="F76">
        <v>17.55</v>
      </c>
      <c r="G76">
        <v>17.57</v>
      </c>
      <c r="H76">
        <v>14.3</v>
      </c>
      <c r="I76">
        <v>17.66</v>
      </c>
      <c r="J76" s="4">
        <v>0.96130000000000004</v>
      </c>
      <c r="K76">
        <v>60000</v>
      </c>
      <c r="L76" s="2">
        <v>46091</v>
      </c>
      <c r="M76" t="str">
        <f t="shared" si="5"/>
        <v>Admis</v>
      </c>
      <c r="N76" t="str">
        <f t="shared" si="6"/>
        <v>Eligible</v>
      </c>
      <c r="O76" t="str">
        <f t="shared" si="7"/>
        <v>RAS</v>
      </c>
      <c r="P76" t="str">
        <f t="shared" si="8"/>
        <v>Data</v>
      </c>
      <c r="Q76">
        <f t="shared" si="9"/>
        <v>16.77</v>
      </c>
      <c r="R76" t="str" cm="1">
        <f t="array" ref="R76">_xlfn.IFS(Q76&gt;=16, "Excellent",Q76&gt;=14, "Très bien", Q76&gt;=12, "Bien", Q76&gt;=10, "Passable", Q76&lt;10, "Insuffisant")</f>
        <v>Excellent</v>
      </c>
    </row>
    <row r="77" spans="1:18">
      <c r="A77" t="s">
        <v>174</v>
      </c>
      <c r="B77" t="s">
        <v>175</v>
      </c>
      <c r="C77" t="s">
        <v>20</v>
      </c>
      <c r="D77" t="s">
        <v>38</v>
      </c>
      <c r="E77" t="s">
        <v>27</v>
      </c>
      <c r="F77">
        <v>13.96</v>
      </c>
      <c r="G77">
        <v>18.23</v>
      </c>
      <c r="H77">
        <v>12.42</v>
      </c>
      <c r="I77">
        <v>17.739999999999998</v>
      </c>
      <c r="J77" s="4">
        <v>0.65480000000000005</v>
      </c>
      <c r="K77">
        <v>110000</v>
      </c>
      <c r="L77" s="2">
        <v>45771</v>
      </c>
      <c r="M77" t="str">
        <f t="shared" si="5"/>
        <v>Admis</v>
      </c>
      <c r="N77" t="str">
        <f t="shared" si="6"/>
        <v>Non Eligible</v>
      </c>
      <c r="O77" t="str">
        <f t="shared" si="7"/>
        <v>RAS</v>
      </c>
      <c r="P77" t="str">
        <f t="shared" si="8"/>
        <v>Hors Data</v>
      </c>
      <c r="Q77">
        <f t="shared" si="9"/>
        <v>15.587499999999999</v>
      </c>
      <c r="R77" t="str" cm="1">
        <f t="array" ref="R77">_xlfn.IFS(Q77&gt;=16, "Excellent",Q77&gt;=14, "Très bien", Q77&gt;=12, "Bien", Q77&gt;=10, "Passable", Q77&lt;10, "Insuffisant")</f>
        <v>Très bien</v>
      </c>
    </row>
    <row r="78" spans="1:18">
      <c r="A78" t="s">
        <v>176</v>
      </c>
      <c r="B78" t="s">
        <v>109</v>
      </c>
      <c r="C78" t="s">
        <v>20</v>
      </c>
      <c r="D78" t="s">
        <v>38</v>
      </c>
      <c r="E78" t="s">
        <v>35</v>
      </c>
      <c r="F78">
        <v>16.010000000000002</v>
      </c>
      <c r="G78">
        <v>13.43</v>
      </c>
      <c r="H78">
        <v>14.48</v>
      </c>
      <c r="I78">
        <v>13</v>
      </c>
      <c r="J78" s="4">
        <v>0.92200000000000004</v>
      </c>
      <c r="K78">
        <v>80000</v>
      </c>
      <c r="L78" s="2">
        <v>45600</v>
      </c>
      <c r="M78" t="str">
        <f t="shared" si="5"/>
        <v>Admis</v>
      </c>
      <c r="N78" t="str">
        <f t="shared" si="6"/>
        <v>Eligible</v>
      </c>
      <c r="O78" t="str">
        <f t="shared" si="7"/>
        <v>RAS</v>
      </c>
      <c r="P78" t="str">
        <f t="shared" si="8"/>
        <v>Hors Data</v>
      </c>
      <c r="Q78">
        <f t="shared" si="9"/>
        <v>14.23</v>
      </c>
      <c r="R78" t="str" cm="1">
        <f t="array" ref="R78">_xlfn.IFS(Q78&gt;=16, "Excellent",Q78&gt;=14, "Très bien", Q78&gt;=12, "Bien", Q78&gt;=10, "Passable", Q78&lt;10, "Insuffisant")</f>
        <v>Très bien</v>
      </c>
    </row>
    <row r="79" spans="1:18">
      <c r="A79" t="s">
        <v>177</v>
      </c>
      <c r="B79" t="s">
        <v>178</v>
      </c>
      <c r="C79" t="s">
        <v>20</v>
      </c>
      <c r="D79" t="s">
        <v>41</v>
      </c>
      <c r="E79" t="s">
        <v>27</v>
      </c>
      <c r="F79">
        <v>10.82</v>
      </c>
      <c r="G79">
        <v>13.48</v>
      </c>
      <c r="H79">
        <v>15.12</v>
      </c>
      <c r="I79">
        <v>8.9700000000000006</v>
      </c>
      <c r="J79" s="4">
        <v>0.83409999999999995</v>
      </c>
      <c r="K79">
        <v>100000</v>
      </c>
      <c r="L79" s="2">
        <v>46227</v>
      </c>
      <c r="M79" t="str">
        <f t="shared" si="5"/>
        <v>Admis</v>
      </c>
      <c r="N79" t="str">
        <f t="shared" si="6"/>
        <v>Non Eligible</v>
      </c>
      <c r="O79" t="str">
        <f t="shared" si="7"/>
        <v>RAS</v>
      </c>
      <c r="P79" t="str">
        <f t="shared" si="8"/>
        <v>Hors Data</v>
      </c>
      <c r="Q79">
        <f t="shared" si="9"/>
        <v>12.0975</v>
      </c>
      <c r="R79" t="str" cm="1">
        <f t="array" ref="R79">_xlfn.IFS(Q79&gt;=16, "Excellent",Q79&gt;=14, "Très bien", Q79&gt;=12, "Bien", Q79&gt;=10, "Passable", Q79&lt;10, "Insuffisant")</f>
        <v>Bien</v>
      </c>
    </row>
    <row r="80" spans="1:18">
      <c r="A80" t="s">
        <v>179</v>
      </c>
      <c r="B80" t="s">
        <v>180</v>
      </c>
      <c r="C80" t="s">
        <v>25</v>
      </c>
      <c r="D80" t="s">
        <v>21</v>
      </c>
      <c r="E80" t="s">
        <v>48</v>
      </c>
      <c r="F80">
        <v>9.67</v>
      </c>
      <c r="G80">
        <v>11.6</v>
      </c>
      <c r="H80">
        <v>11.74</v>
      </c>
      <c r="I80">
        <v>11.16</v>
      </c>
      <c r="J80" s="4">
        <v>0.87749999999999995</v>
      </c>
      <c r="K80">
        <v>90000</v>
      </c>
      <c r="L80" s="2">
        <v>45669</v>
      </c>
      <c r="M80" t="str">
        <f t="shared" si="5"/>
        <v>Admis</v>
      </c>
      <c r="N80" t="str">
        <f t="shared" si="6"/>
        <v>Non Eligible</v>
      </c>
      <c r="O80" t="str">
        <f t="shared" si="7"/>
        <v>A surveiller</v>
      </c>
      <c r="P80" t="str">
        <f t="shared" si="8"/>
        <v>Hors Data</v>
      </c>
      <c r="Q80">
        <f t="shared" si="9"/>
        <v>11.0425</v>
      </c>
      <c r="R80" t="str" cm="1">
        <f t="array" ref="R80">_xlfn.IFS(Q80&gt;=16, "Excellent",Q80&gt;=14, "Très bien", Q80&gt;=12, "Bien", Q80&gt;=10, "Passable", Q80&lt;10, "Insuffisant")</f>
        <v>Passable</v>
      </c>
    </row>
    <row r="81" spans="1:18">
      <c r="A81" t="s">
        <v>181</v>
      </c>
      <c r="B81" t="s">
        <v>182</v>
      </c>
      <c r="C81" t="s">
        <v>25</v>
      </c>
      <c r="D81" t="s">
        <v>53</v>
      </c>
      <c r="E81" t="s">
        <v>48</v>
      </c>
      <c r="F81">
        <v>9.24</v>
      </c>
      <c r="G81">
        <v>10.43</v>
      </c>
      <c r="H81">
        <v>9.15</v>
      </c>
      <c r="I81">
        <v>12.93</v>
      </c>
      <c r="J81" s="4">
        <v>0.95140000000000002</v>
      </c>
      <c r="K81">
        <v>70000</v>
      </c>
      <c r="L81" s="2">
        <v>45547</v>
      </c>
      <c r="M81" t="str">
        <f t="shared" si="5"/>
        <v>Non admis</v>
      </c>
      <c r="N81" t="str">
        <f t="shared" si="6"/>
        <v>Non Eligible</v>
      </c>
      <c r="O81" t="str">
        <f t="shared" si="7"/>
        <v>A surveiller</v>
      </c>
      <c r="P81" t="str">
        <f t="shared" si="8"/>
        <v>Hors Data</v>
      </c>
      <c r="Q81">
        <f t="shared" si="9"/>
        <v>10.4375</v>
      </c>
      <c r="R81" t="str" cm="1">
        <f t="array" ref="R81">_xlfn.IFS(Q81&gt;=16, "Excellent",Q81&gt;=14, "Très bien", Q81&gt;=12, "Bien", Q81&gt;=10, "Passable", Q81&lt;10, "Insuffisant")</f>
        <v>Passable</v>
      </c>
    </row>
    <row r="82" spans="1:18">
      <c r="A82" t="s">
        <v>183</v>
      </c>
      <c r="B82" t="s">
        <v>184</v>
      </c>
      <c r="C82" t="s">
        <v>25</v>
      </c>
      <c r="D82" t="s">
        <v>26</v>
      </c>
      <c r="E82" t="s">
        <v>35</v>
      </c>
      <c r="F82">
        <v>15.58</v>
      </c>
      <c r="G82">
        <v>14.85</v>
      </c>
      <c r="H82">
        <v>15.71</v>
      </c>
      <c r="I82">
        <v>11.71</v>
      </c>
      <c r="J82" s="4">
        <v>0.84179999999999999</v>
      </c>
      <c r="K82">
        <v>60000</v>
      </c>
      <c r="L82" s="2">
        <v>45590</v>
      </c>
      <c r="M82" t="str">
        <f t="shared" si="5"/>
        <v>Admis</v>
      </c>
      <c r="N82" t="str">
        <f t="shared" si="6"/>
        <v>Eligible</v>
      </c>
      <c r="O82" t="str">
        <f t="shared" si="7"/>
        <v>RAS</v>
      </c>
      <c r="P82" t="str">
        <f t="shared" si="8"/>
        <v>Hors Data</v>
      </c>
      <c r="Q82">
        <f t="shared" si="9"/>
        <v>14.4625</v>
      </c>
      <c r="R82" t="str" cm="1">
        <f t="array" ref="R82">_xlfn.IFS(Q82&gt;=16, "Excellent",Q82&gt;=14, "Très bien", Q82&gt;=12, "Bien", Q82&gt;=10, "Passable", Q82&lt;10, "Insuffisant")</f>
        <v>Très bien</v>
      </c>
    </row>
    <row r="83" spans="1:18">
      <c r="A83" t="s">
        <v>185</v>
      </c>
      <c r="B83" t="s">
        <v>186</v>
      </c>
      <c r="C83" t="s">
        <v>20</v>
      </c>
      <c r="D83" t="s">
        <v>34</v>
      </c>
      <c r="E83" t="s">
        <v>35</v>
      </c>
      <c r="F83">
        <v>12.79</v>
      </c>
      <c r="G83">
        <v>10.57</v>
      </c>
      <c r="H83">
        <v>10.91</v>
      </c>
      <c r="I83">
        <v>8.76</v>
      </c>
      <c r="J83" s="4">
        <v>0.93310000000000004</v>
      </c>
      <c r="K83">
        <v>85000</v>
      </c>
      <c r="L83" s="2">
        <v>45852</v>
      </c>
      <c r="M83" t="str">
        <f t="shared" si="5"/>
        <v>Admis</v>
      </c>
      <c r="N83" t="str">
        <f t="shared" si="6"/>
        <v>Non Eligible</v>
      </c>
      <c r="O83" t="str">
        <f t="shared" si="7"/>
        <v>RAS</v>
      </c>
      <c r="P83" t="str">
        <f t="shared" si="8"/>
        <v>Hors Data</v>
      </c>
      <c r="Q83">
        <f t="shared" si="9"/>
        <v>10.757499999999999</v>
      </c>
      <c r="R83" t="str" cm="1">
        <f t="array" ref="R83">_xlfn.IFS(Q83&gt;=16, "Excellent",Q83&gt;=14, "Très bien", Q83&gt;=12, "Bien", Q83&gt;=10, "Passable", Q83&lt;10, "Insuffisant")</f>
        <v>Passable</v>
      </c>
    </row>
    <row r="84" spans="1:18">
      <c r="A84" t="s">
        <v>187</v>
      </c>
      <c r="B84" t="s">
        <v>188</v>
      </c>
      <c r="C84" t="s">
        <v>20</v>
      </c>
      <c r="D84" t="s">
        <v>53</v>
      </c>
      <c r="E84" t="s">
        <v>22</v>
      </c>
      <c r="F84">
        <v>15.33</v>
      </c>
      <c r="G84">
        <v>13.59</v>
      </c>
      <c r="H84">
        <v>16.829999999999998</v>
      </c>
      <c r="I84">
        <v>13.04</v>
      </c>
      <c r="J84" s="4">
        <v>0.93730000000000002</v>
      </c>
      <c r="K84">
        <v>120000</v>
      </c>
      <c r="L84" s="2">
        <v>45608</v>
      </c>
      <c r="M84" t="str">
        <f t="shared" si="5"/>
        <v>Admis</v>
      </c>
      <c r="N84" t="str">
        <f t="shared" si="6"/>
        <v>Eligible</v>
      </c>
      <c r="O84" t="str">
        <f t="shared" si="7"/>
        <v>RAS</v>
      </c>
      <c r="P84" t="str">
        <f t="shared" si="8"/>
        <v>Data</v>
      </c>
      <c r="Q84">
        <f t="shared" si="9"/>
        <v>14.6975</v>
      </c>
      <c r="R84" t="str" cm="1">
        <f t="array" ref="R84">_xlfn.IFS(Q84&gt;=16, "Excellent",Q84&gt;=14, "Très bien", Q84&gt;=12, "Bien", Q84&gt;=10, "Passable", Q84&lt;10, "Insuffisant")</f>
        <v>Très bien</v>
      </c>
    </row>
    <row r="85" spans="1:18">
      <c r="A85" t="s">
        <v>189</v>
      </c>
      <c r="B85" t="s">
        <v>59</v>
      </c>
      <c r="C85" t="s">
        <v>25</v>
      </c>
      <c r="D85" t="s">
        <v>26</v>
      </c>
      <c r="E85" t="s">
        <v>48</v>
      </c>
      <c r="F85">
        <v>14.95</v>
      </c>
      <c r="G85">
        <v>11.37</v>
      </c>
      <c r="H85">
        <v>11.56</v>
      </c>
      <c r="I85">
        <v>9.4700000000000006</v>
      </c>
      <c r="J85" s="4">
        <v>0.83599999999999997</v>
      </c>
      <c r="K85">
        <v>120000</v>
      </c>
      <c r="L85" s="2">
        <v>46125</v>
      </c>
      <c r="M85" t="str">
        <f t="shared" si="5"/>
        <v>Admis</v>
      </c>
      <c r="N85" t="str">
        <f t="shared" si="6"/>
        <v>Non Eligible</v>
      </c>
      <c r="O85" t="str">
        <f t="shared" si="7"/>
        <v>RAS</v>
      </c>
      <c r="P85" t="str">
        <f t="shared" si="8"/>
        <v>Hors Data</v>
      </c>
      <c r="Q85">
        <f t="shared" si="9"/>
        <v>11.8375</v>
      </c>
      <c r="R85" t="str" cm="1">
        <f t="array" ref="R85">_xlfn.IFS(Q85&gt;=16, "Excellent",Q85&gt;=14, "Très bien", Q85&gt;=12, "Bien", Q85&gt;=10, "Passable", Q85&lt;10, "Insuffisant")</f>
        <v>Passable</v>
      </c>
    </row>
    <row r="86" spans="1:18">
      <c r="A86" t="s">
        <v>190</v>
      </c>
      <c r="B86" t="s">
        <v>191</v>
      </c>
      <c r="C86" t="s">
        <v>25</v>
      </c>
      <c r="D86" t="s">
        <v>34</v>
      </c>
      <c r="E86" t="s">
        <v>35</v>
      </c>
      <c r="F86">
        <v>16.07</v>
      </c>
      <c r="G86">
        <v>13.84</v>
      </c>
      <c r="H86">
        <v>6.56</v>
      </c>
      <c r="I86">
        <v>11.15</v>
      </c>
      <c r="J86" s="4">
        <v>0.84530000000000005</v>
      </c>
      <c r="K86">
        <v>75000</v>
      </c>
      <c r="L86" s="2">
        <v>45894</v>
      </c>
      <c r="M86" t="str">
        <f t="shared" si="5"/>
        <v>Non admis</v>
      </c>
      <c r="N86" t="str">
        <f t="shared" si="6"/>
        <v>Non Eligible</v>
      </c>
      <c r="O86" t="str">
        <f t="shared" si="7"/>
        <v>A surveiller</v>
      </c>
      <c r="P86" t="str">
        <f t="shared" si="8"/>
        <v>Hors Data</v>
      </c>
      <c r="Q86">
        <f t="shared" si="9"/>
        <v>11.904999999999999</v>
      </c>
      <c r="R86" t="str" cm="1">
        <f t="array" ref="R86">_xlfn.IFS(Q86&gt;=16, "Excellent",Q86&gt;=14, "Très bien", Q86&gt;=12, "Bien", Q86&gt;=10, "Passable", Q86&lt;10, "Insuffisant")</f>
        <v>Passable</v>
      </c>
    </row>
    <row r="87" spans="1:18">
      <c r="A87" t="s">
        <v>192</v>
      </c>
      <c r="B87" t="s">
        <v>79</v>
      </c>
      <c r="C87" t="s">
        <v>25</v>
      </c>
      <c r="D87" t="s">
        <v>34</v>
      </c>
      <c r="E87" t="s">
        <v>35</v>
      </c>
      <c r="F87">
        <v>13.13</v>
      </c>
      <c r="G87">
        <v>10.71</v>
      </c>
      <c r="H87">
        <v>15.21</v>
      </c>
      <c r="I87">
        <v>15.26</v>
      </c>
      <c r="J87" s="4">
        <v>0.74470000000000003</v>
      </c>
      <c r="K87">
        <v>120000</v>
      </c>
      <c r="L87" s="2">
        <v>45762</v>
      </c>
      <c r="M87" t="str">
        <f t="shared" si="5"/>
        <v>Admis</v>
      </c>
      <c r="N87" t="str">
        <f t="shared" si="6"/>
        <v>Non Eligible</v>
      </c>
      <c r="O87" t="str">
        <f t="shared" si="7"/>
        <v>RAS</v>
      </c>
      <c r="P87" t="str">
        <f t="shared" si="8"/>
        <v>Hors Data</v>
      </c>
      <c r="Q87">
        <f t="shared" si="9"/>
        <v>13.577500000000001</v>
      </c>
      <c r="R87" t="str" cm="1">
        <f t="array" ref="R87">_xlfn.IFS(Q87&gt;=16, "Excellent",Q87&gt;=14, "Très bien", Q87&gt;=12, "Bien", Q87&gt;=10, "Passable", Q87&lt;10, "Insuffisant")</f>
        <v>Bien</v>
      </c>
    </row>
    <row r="88" spans="1:18">
      <c r="A88" t="s">
        <v>193</v>
      </c>
      <c r="B88" t="s">
        <v>194</v>
      </c>
      <c r="C88" t="s">
        <v>20</v>
      </c>
      <c r="D88" t="s">
        <v>41</v>
      </c>
      <c r="E88" t="s">
        <v>22</v>
      </c>
      <c r="F88">
        <v>19.649999999999999</v>
      </c>
      <c r="G88">
        <v>17.11</v>
      </c>
      <c r="H88">
        <v>18.34</v>
      </c>
      <c r="I88">
        <v>16.72</v>
      </c>
      <c r="J88" s="4">
        <v>0.67400000000000004</v>
      </c>
      <c r="K88">
        <v>75000</v>
      </c>
      <c r="L88" s="2">
        <v>45538</v>
      </c>
      <c r="M88" t="str">
        <f t="shared" si="5"/>
        <v>Admis</v>
      </c>
      <c r="N88" t="str">
        <f t="shared" si="6"/>
        <v>Non Eligible</v>
      </c>
      <c r="O88" t="str">
        <f t="shared" si="7"/>
        <v>RAS</v>
      </c>
      <c r="P88" t="str">
        <f t="shared" si="8"/>
        <v>Data</v>
      </c>
      <c r="Q88">
        <f t="shared" si="9"/>
        <v>17.954999999999998</v>
      </c>
      <c r="R88" t="str" cm="1">
        <f t="array" ref="R88">_xlfn.IFS(Q88&gt;=16, "Excellent",Q88&gt;=14, "Très bien", Q88&gt;=12, "Bien", Q88&gt;=10, "Passable", Q88&lt;10, "Insuffisant")</f>
        <v>Excellent</v>
      </c>
    </row>
    <row r="89" spans="1:18">
      <c r="A89" t="s">
        <v>195</v>
      </c>
      <c r="B89" t="s">
        <v>196</v>
      </c>
      <c r="C89" t="s">
        <v>20</v>
      </c>
      <c r="D89" t="s">
        <v>21</v>
      </c>
      <c r="E89" t="s">
        <v>27</v>
      </c>
      <c r="F89">
        <v>10.68</v>
      </c>
      <c r="G89">
        <v>10.98</v>
      </c>
      <c r="H89">
        <v>6.72</v>
      </c>
      <c r="I89">
        <v>6.07</v>
      </c>
      <c r="J89" s="4">
        <v>0.76039999999999996</v>
      </c>
      <c r="K89">
        <v>90000</v>
      </c>
      <c r="L89" s="2">
        <v>45871</v>
      </c>
      <c r="M89" t="str">
        <f t="shared" si="5"/>
        <v>Non admis</v>
      </c>
      <c r="N89" t="str">
        <f t="shared" si="6"/>
        <v>Non Eligible</v>
      </c>
      <c r="O89" t="str">
        <f t="shared" si="7"/>
        <v>A surveiller</v>
      </c>
      <c r="P89" t="str">
        <f t="shared" si="8"/>
        <v>Hors Data</v>
      </c>
      <c r="Q89">
        <f t="shared" si="9"/>
        <v>8.6125000000000007</v>
      </c>
      <c r="R89" t="str" cm="1">
        <f t="array" ref="R89">_xlfn.IFS(Q89&gt;=16, "Excellent",Q89&gt;=14, "Très bien", Q89&gt;=12, "Bien", Q89&gt;=10, "Passable", Q89&lt;10, "Insuffisant")</f>
        <v>Insuffisant</v>
      </c>
    </row>
    <row r="90" spans="1:18">
      <c r="A90" t="s">
        <v>197</v>
      </c>
      <c r="B90" t="s">
        <v>198</v>
      </c>
      <c r="C90" t="s">
        <v>25</v>
      </c>
      <c r="D90" t="s">
        <v>21</v>
      </c>
      <c r="E90" t="s">
        <v>27</v>
      </c>
      <c r="F90">
        <v>15.78</v>
      </c>
      <c r="G90">
        <v>16.23</v>
      </c>
      <c r="H90">
        <v>17.41</v>
      </c>
      <c r="I90">
        <v>16.79</v>
      </c>
      <c r="J90" s="4">
        <v>0.84550000000000003</v>
      </c>
      <c r="K90">
        <v>75000</v>
      </c>
      <c r="L90" s="2">
        <v>45641</v>
      </c>
      <c r="M90" t="str">
        <f t="shared" si="5"/>
        <v>Admis</v>
      </c>
      <c r="N90" t="str">
        <f t="shared" si="6"/>
        <v>Eligible</v>
      </c>
      <c r="O90" t="str">
        <f t="shared" si="7"/>
        <v>RAS</v>
      </c>
      <c r="P90" t="str">
        <f t="shared" si="8"/>
        <v>Hors Data</v>
      </c>
      <c r="Q90">
        <f t="shared" si="9"/>
        <v>16.552500000000002</v>
      </c>
      <c r="R90" t="str" cm="1">
        <f t="array" ref="R90">_xlfn.IFS(Q90&gt;=16, "Excellent",Q90&gt;=14, "Très bien", Q90&gt;=12, "Bien", Q90&gt;=10, "Passable", Q90&lt;10, "Insuffisant")</f>
        <v>Excellent</v>
      </c>
    </row>
    <row r="91" spans="1:18">
      <c r="A91" t="s">
        <v>199</v>
      </c>
      <c r="B91" t="s">
        <v>200</v>
      </c>
      <c r="C91" t="s">
        <v>25</v>
      </c>
      <c r="D91" t="s">
        <v>34</v>
      </c>
      <c r="E91" t="s">
        <v>35</v>
      </c>
      <c r="F91">
        <v>16.489999999999998</v>
      </c>
      <c r="G91">
        <v>14.98</v>
      </c>
      <c r="H91">
        <v>15.02</v>
      </c>
      <c r="I91">
        <v>13.43</v>
      </c>
      <c r="J91" s="4">
        <v>0.67589999999999995</v>
      </c>
      <c r="K91">
        <v>85000</v>
      </c>
      <c r="L91" s="2">
        <v>46220</v>
      </c>
      <c r="M91" t="str">
        <f t="shared" si="5"/>
        <v>Admis</v>
      </c>
      <c r="N91" t="str">
        <f t="shared" si="6"/>
        <v>Non Eligible</v>
      </c>
      <c r="O91" t="str">
        <f t="shared" si="7"/>
        <v>RAS</v>
      </c>
      <c r="P91" t="str">
        <f t="shared" si="8"/>
        <v>Hors Data</v>
      </c>
      <c r="Q91">
        <f t="shared" si="9"/>
        <v>14.979999999999999</v>
      </c>
      <c r="R91" t="str" cm="1">
        <f t="array" ref="R91">_xlfn.IFS(Q91&gt;=16, "Excellent",Q91&gt;=14, "Très bien", Q91&gt;=12, "Bien", Q91&gt;=10, "Passable", Q91&lt;10, "Insuffisant")</f>
        <v>Très bien</v>
      </c>
    </row>
    <row r="92" spans="1:18">
      <c r="A92" t="s">
        <v>201</v>
      </c>
      <c r="B92" t="s">
        <v>202</v>
      </c>
      <c r="C92" t="s">
        <v>20</v>
      </c>
      <c r="D92" t="s">
        <v>38</v>
      </c>
      <c r="E92" t="s">
        <v>48</v>
      </c>
      <c r="F92">
        <v>15.45</v>
      </c>
      <c r="G92">
        <v>16.77</v>
      </c>
      <c r="H92">
        <v>11.24</v>
      </c>
      <c r="I92">
        <v>11.35</v>
      </c>
      <c r="J92" s="4">
        <v>0.89300000000000002</v>
      </c>
      <c r="K92">
        <v>85000</v>
      </c>
      <c r="L92" s="2">
        <v>45739</v>
      </c>
      <c r="M92" t="str">
        <f t="shared" si="5"/>
        <v>Admis</v>
      </c>
      <c r="N92" t="str">
        <f t="shared" si="6"/>
        <v>Non Eligible</v>
      </c>
      <c r="O92" t="str">
        <f t="shared" si="7"/>
        <v>RAS</v>
      </c>
      <c r="P92" t="str">
        <f t="shared" si="8"/>
        <v>Hors Data</v>
      </c>
      <c r="Q92">
        <f t="shared" si="9"/>
        <v>13.702500000000001</v>
      </c>
      <c r="R92" t="str" cm="1">
        <f t="array" ref="R92">_xlfn.IFS(Q92&gt;=16, "Excellent",Q92&gt;=14, "Très bien", Q92&gt;=12, "Bien", Q92&gt;=10, "Passable", Q92&lt;10, "Insuffisant")</f>
        <v>Bien</v>
      </c>
    </row>
    <row r="93" spans="1:18">
      <c r="A93" t="s">
        <v>203</v>
      </c>
      <c r="B93" t="s">
        <v>204</v>
      </c>
      <c r="C93" t="s">
        <v>25</v>
      </c>
      <c r="D93" t="s">
        <v>53</v>
      </c>
      <c r="E93" t="s">
        <v>27</v>
      </c>
      <c r="F93">
        <v>14.4</v>
      </c>
      <c r="G93">
        <v>11.44</v>
      </c>
      <c r="H93">
        <v>15.58</v>
      </c>
      <c r="I93">
        <v>12.4</v>
      </c>
      <c r="J93" s="4">
        <v>0.94669999999999999</v>
      </c>
      <c r="K93">
        <v>100000</v>
      </c>
      <c r="L93" s="2">
        <v>45868</v>
      </c>
      <c r="M93" t="str">
        <f t="shared" si="5"/>
        <v>Admis</v>
      </c>
      <c r="N93" t="str">
        <f t="shared" si="6"/>
        <v>Eligible</v>
      </c>
      <c r="O93" t="str">
        <f t="shared" si="7"/>
        <v>RAS</v>
      </c>
      <c r="P93" t="str">
        <f t="shared" si="8"/>
        <v>Hors Data</v>
      </c>
      <c r="Q93">
        <f t="shared" si="9"/>
        <v>13.455</v>
      </c>
      <c r="R93" t="str" cm="1">
        <f t="array" ref="R93">_xlfn.IFS(Q93&gt;=16, "Excellent",Q93&gt;=14, "Très bien", Q93&gt;=12, "Bien", Q93&gt;=10, "Passable", Q93&lt;10, "Insuffisant")</f>
        <v>Bien</v>
      </c>
    </row>
    <row r="94" spans="1:18">
      <c r="A94" t="s">
        <v>205</v>
      </c>
      <c r="B94" t="s">
        <v>79</v>
      </c>
      <c r="C94" t="s">
        <v>25</v>
      </c>
      <c r="D94" t="s">
        <v>41</v>
      </c>
      <c r="E94" t="s">
        <v>48</v>
      </c>
      <c r="F94">
        <v>16.260000000000002</v>
      </c>
      <c r="G94">
        <v>12.04</v>
      </c>
      <c r="H94">
        <v>16.62</v>
      </c>
      <c r="I94">
        <v>13.76</v>
      </c>
      <c r="J94" s="4">
        <v>0.82809999999999995</v>
      </c>
      <c r="K94">
        <v>85000</v>
      </c>
      <c r="L94" s="2">
        <v>45549</v>
      </c>
      <c r="M94" t="str">
        <f t="shared" si="5"/>
        <v>Admis</v>
      </c>
      <c r="N94" t="str">
        <f t="shared" si="6"/>
        <v>Eligible</v>
      </c>
      <c r="O94" t="str">
        <f t="shared" si="7"/>
        <v>RAS</v>
      </c>
      <c r="P94" t="str">
        <f t="shared" si="8"/>
        <v>Hors Data</v>
      </c>
      <c r="Q94">
        <f t="shared" si="9"/>
        <v>14.67</v>
      </c>
      <c r="R94" t="str" cm="1">
        <f t="array" ref="R94">_xlfn.IFS(Q94&gt;=16, "Excellent",Q94&gt;=14, "Très bien", Q94&gt;=12, "Bien", Q94&gt;=10, "Passable", Q94&lt;10, "Insuffisant")</f>
        <v>Très bien</v>
      </c>
    </row>
    <row r="95" spans="1:18">
      <c r="A95" t="s">
        <v>206</v>
      </c>
      <c r="B95" t="s">
        <v>207</v>
      </c>
      <c r="C95" t="s">
        <v>20</v>
      </c>
      <c r="D95" t="s">
        <v>38</v>
      </c>
      <c r="E95" t="s">
        <v>48</v>
      </c>
      <c r="F95">
        <v>16.86</v>
      </c>
      <c r="G95">
        <v>17.149999999999999</v>
      </c>
      <c r="H95">
        <v>13.37</v>
      </c>
      <c r="I95">
        <v>12.1</v>
      </c>
      <c r="J95" s="4">
        <v>0.73799999999999999</v>
      </c>
      <c r="K95">
        <v>85000</v>
      </c>
      <c r="L95" s="2">
        <v>45627</v>
      </c>
      <c r="M95" t="str">
        <f t="shared" si="5"/>
        <v>Admis</v>
      </c>
      <c r="N95" t="str">
        <f t="shared" si="6"/>
        <v>Non Eligible</v>
      </c>
      <c r="O95" t="str">
        <f t="shared" si="7"/>
        <v>RAS</v>
      </c>
      <c r="P95" t="str">
        <f t="shared" si="8"/>
        <v>Hors Data</v>
      </c>
      <c r="Q95">
        <f t="shared" si="9"/>
        <v>14.87</v>
      </c>
      <c r="R95" t="str" cm="1">
        <f t="array" ref="R95">_xlfn.IFS(Q95&gt;=16, "Excellent",Q95&gt;=14, "Très bien", Q95&gt;=12, "Bien", Q95&gt;=10, "Passable", Q95&lt;10, "Insuffisant")</f>
        <v>Très bien</v>
      </c>
    </row>
    <row r="96" spans="1:18">
      <c r="A96" t="s">
        <v>208</v>
      </c>
      <c r="B96" t="s">
        <v>96</v>
      </c>
      <c r="C96" t="s">
        <v>25</v>
      </c>
      <c r="D96" t="s">
        <v>34</v>
      </c>
      <c r="E96" t="s">
        <v>35</v>
      </c>
      <c r="F96">
        <v>17.95</v>
      </c>
      <c r="G96">
        <v>18.739999999999998</v>
      </c>
      <c r="H96">
        <v>15.86</v>
      </c>
      <c r="I96">
        <v>17.809999999999999</v>
      </c>
      <c r="J96" s="4">
        <v>0.88939999999999997</v>
      </c>
      <c r="K96">
        <v>100000</v>
      </c>
      <c r="L96" s="2">
        <v>45681</v>
      </c>
      <c r="M96" t="str">
        <f t="shared" si="5"/>
        <v>Admis</v>
      </c>
      <c r="N96" t="str">
        <f t="shared" si="6"/>
        <v>Eligible</v>
      </c>
      <c r="O96" t="str">
        <f t="shared" si="7"/>
        <v>RAS</v>
      </c>
      <c r="P96" t="str">
        <f t="shared" si="8"/>
        <v>Hors Data</v>
      </c>
      <c r="Q96">
        <f t="shared" si="9"/>
        <v>17.59</v>
      </c>
      <c r="R96" t="str" cm="1">
        <f t="array" ref="R96">_xlfn.IFS(Q96&gt;=16, "Excellent",Q96&gt;=14, "Très bien", Q96&gt;=12, "Bien", Q96&gt;=10, "Passable", Q96&lt;10, "Insuffisant")</f>
        <v>Excellent</v>
      </c>
    </row>
    <row r="97" spans="1:18">
      <c r="A97" t="s">
        <v>209</v>
      </c>
      <c r="B97" t="s">
        <v>210</v>
      </c>
      <c r="C97" t="s">
        <v>20</v>
      </c>
      <c r="D97" t="s">
        <v>38</v>
      </c>
      <c r="E97" t="s">
        <v>48</v>
      </c>
      <c r="F97">
        <v>11.97</v>
      </c>
      <c r="G97">
        <v>11.7</v>
      </c>
      <c r="H97">
        <v>10.27</v>
      </c>
      <c r="I97">
        <v>10.67</v>
      </c>
      <c r="J97" s="4">
        <v>0.83150000000000002</v>
      </c>
      <c r="K97">
        <v>80000</v>
      </c>
      <c r="L97" s="2">
        <v>45572</v>
      </c>
      <c r="M97" t="str">
        <f t="shared" si="5"/>
        <v>Admis</v>
      </c>
      <c r="N97" t="str">
        <f t="shared" si="6"/>
        <v>Non Eligible</v>
      </c>
      <c r="O97" t="str">
        <f t="shared" si="7"/>
        <v>RAS</v>
      </c>
      <c r="P97" t="str">
        <f t="shared" si="8"/>
        <v>Hors Data</v>
      </c>
      <c r="Q97">
        <f t="shared" si="9"/>
        <v>11.1525</v>
      </c>
      <c r="R97" t="str" cm="1">
        <f t="array" ref="R97">_xlfn.IFS(Q97&gt;=16, "Excellent",Q97&gt;=14, "Très bien", Q97&gt;=12, "Bien", Q97&gt;=10, "Passable", Q97&lt;10, "Insuffisant")</f>
        <v>Passable</v>
      </c>
    </row>
    <row r="98" spans="1:18">
      <c r="A98" t="s">
        <v>211</v>
      </c>
      <c r="B98" t="s">
        <v>19</v>
      </c>
      <c r="C98" t="s">
        <v>20</v>
      </c>
      <c r="D98" t="s">
        <v>38</v>
      </c>
      <c r="E98" t="s">
        <v>48</v>
      </c>
      <c r="F98">
        <v>19.989999999999998</v>
      </c>
      <c r="G98">
        <v>15.02</v>
      </c>
      <c r="H98">
        <v>19.13</v>
      </c>
      <c r="I98">
        <v>19.82</v>
      </c>
      <c r="J98" s="4">
        <v>0.92949999999999999</v>
      </c>
      <c r="K98">
        <v>85000</v>
      </c>
      <c r="L98" s="2">
        <v>46044</v>
      </c>
      <c r="M98" t="str">
        <f t="shared" si="5"/>
        <v>Admis</v>
      </c>
      <c r="N98" t="str">
        <f t="shared" si="6"/>
        <v>Eligible</v>
      </c>
      <c r="O98" t="str">
        <f t="shared" si="7"/>
        <v>RAS</v>
      </c>
      <c r="P98" t="str">
        <f t="shared" si="8"/>
        <v>Hors Data</v>
      </c>
      <c r="Q98">
        <f t="shared" si="9"/>
        <v>18.490000000000002</v>
      </c>
      <c r="R98" t="str" cm="1">
        <f t="array" ref="R98">_xlfn.IFS(Q98&gt;=16, "Excellent",Q98&gt;=14, "Très bien", Q98&gt;=12, "Bien", Q98&gt;=10, "Passable", Q98&lt;10, "Insuffisant")</f>
        <v>Excellent</v>
      </c>
    </row>
    <row r="99" spans="1:18">
      <c r="A99" t="s">
        <v>212</v>
      </c>
      <c r="B99" t="s">
        <v>213</v>
      </c>
      <c r="C99" t="s">
        <v>25</v>
      </c>
      <c r="D99" t="s">
        <v>34</v>
      </c>
      <c r="E99" t="s">
        <v>48</v>
      </c>
      <c r="F99">
        <v>13.82</v>
      </c>
      <c r="G99">
        <v>10.97</v>
      </c>
      <c r="H99">
        <v>8.57</v>
      </c>
      <c r="I99">
        <v>12.67</v>
      </c>
      <c r="J99" s="4">
        <v>0.94189999999999996</v>
      </c>
      <c r="K99">
        <v>50000</v>
      </c>
      <c r="L99" s="2">
        <v>46197</v>
      </c>
      <c r="M99" t="str">
        <f t="shared" si="5"/>
        <v>Non admis</v>
      </c>
      <c r="N99" t="str">
        <f t="shared" si="6"/>
        <v>Non Eligible</v>
      </c>
      <c r="O99" t="str">
        <f t="shared" si="7"/>
        <v>A surveiller</v>
      </c>
      <c r="P99" t="str">
        <f t="shared" si="8"/>
        <v>Hors Data</v>
      </c>
      <c r="Q99">
        <f t="shared" si="9"/>
        <v>11.5075</v>
      </c>
      <c r="R99" t="str" cm="1">
        <f t="array" ref="R99">_xlfn.IFS(Q99&gt;=16, "Excellent",Q99&gt;=14, "Très bien", Q99&gt;=12, "Bien", Q99&gt;=10, "Passable", Q99&lt;10, "Insuffisant")</f>
        <v>Passable</v>
      </c>
    </row>
    <row r="100" spans="1:18">
      <c r="A100" t="s">
        <v>214</v>
      </c>
      <c r="B100" t="s">
        <v>104</v>
      </c>
      <c r="C100" t="s">
        <v>25</v>
      </c>
      <c r="D100" t="s">
        <v>26</v>
      </c>
      <c r="E100" t="s">
        <v>48</v>
      </c>
      <c r="F100">
        <v>12.63</v>
      </c>
      <c r="G100">
        <v>11.11</v>
      </c>
      <c r="H100">
        <v>15.87</v>
      </c>
      <c r="I100">
        <v>11.46</v>
      </c>
      <c r="J100" s="4">
        <v>0.92549999999999999</v>
      </c>
      <c r="K100">
        <v>120000</v>
      </c>
      <c r="L100" s="2">
        <v>46225</v>
      </c>
      <c r="M100" t="str">
        <f t="shared" si="5"/>
        <v>Admis</v>
      </c>
      <c r="N100" t="str">
        <f t="shared" si="6"/>
        <v>Eligible</v>
      </c>
      <c r="O100" t="str">
        <f t="shared" si="7"/>
        <v>RAS</v>
      </c>
      <c r="P100" t="str">
        <f t="shared" si="8"/>
        <v>Hors Data</v>
      </c>
      <c r="Q100">
        <f t="shared" si="9"/>
        <v>12.7675</v>
      </c>
      <c r="R100" t="str" cm="1">
        <f t="array" ref="R100">_xlfn.IFS(Q100&gt;=16, "Excellent",Q100&gt;=14, "Très bien", Q100&gt;=12, "Bien", Q100&gt;=10, "Passable", Q100&lt;10, "Insuffisant")</f>
        <v>Bien</v>
      </c>
    </row>
    <row r="101" spans="1:18">
      <c r="A101" t="s">
        <v>215</v>
      </c>
      <c r="B101" t="s">
        <v>216</v>
      </c>
      <c r="C101" t="s">
        <v>20</v>
      </c>
      <c r="D101" t="s">
        <v>21</v>
      </c>
      <c r="E101" t="s">
        <v>48</v>
      </c>
      <c r="F101">
        <v>10.51</v>
      </c>
      <c r="G101">
        <v>12.84</v>
      </c>
      <c r="H101">
        <v>10.34</v>
      </c>
      <c r="I101">
        <v>10.61</v>
      </c>
      <c r="J101" s="4">
        <v>0.78510000000000002</v>
      </c>
      <c r="K101">
        <v>60000</v>
      </c>
      <c r="L101" s="2">
        <v>45722</v>
      </c>
      <c r="M101" t="str">
        <f t="shared" si="5"/>
        <v>Admis</v>
      </c>
      <c r="N101" t="str">
        <f t="shared" si="6"/>
        <v>Non Eligible</v>
      </c>
      <c r="O101" t="str">
        <f t="shared" si="7"/>
        <v>RAS</v>
      </c>
      <c r="P101" t="str">
        <f t="shared" si="8"/>
        <v>Hors Data</v>
      </c>
      <c r="Q101">
        <f t="shared" si="9"/>
        <v>11.074999999999999</v>
      </c>
      <c r="R101" t="str" cm="1">
        <f t="array" ref="R101">_xlfn.IFS(Q101&gt;=16, "Excellent",Q101&gt;=14, "Très bien", Q101&gt;=12, "Bien", Q101&gt;=10, "Passable", Q101&lt;10, "Insuffisant")</f>
        <v>Passable</v>
      </c>
    </row>
    <row r="102" spans="1:18">
      <c r="A102" t="s">
        <v>217</v>
      </c>
      <c r="B102" t="s">
        <v>218</v>
      </c>
      <c r="C102" t="s">
        <v>25</v>
      </c>
      <c r="D102" t="s">
        <v>53</v>
      </c>
      <c r="E102" t="s">
        <v>22</v>
      </c>
      <c r="F102">
        <v>15.2</v>
      </c>
      <c r="G102">
        <v>13.47</v>
      </c>
      <c r="H102">
        <v>14.76</v>
      </c>
      <c r="I102">
        <v>14.95</v>
      </c>
      <c r="J102" s="4">
        <v>0.80259999999999998</v>
      </c>
      <c r="K102">
        <v>120000</v>
      </c>
      <c r="L102" s="2">
        <v>46088</v>
      </c>
      <c r="M102" t="str">
        <f t="shared" si="5"/>
        <v>Admis</v>
      </c>
      <c r="N102" t="str">
        <f t="shared" si="6"/>
        <v>Eligible</v>
      </c>
      <c r="O102" t="str">
        <f t="shared" si="7"/>
        <v>RAS</v>
      </c>
      <c r="P102" t="str">
        <f t="shared" si="8"/>
        <v>Data</v>
      </c>
      <c r="Q102">
        <f t="shared" si="9"/>
        <v>14.594999999999999</v>
      </c>
      <c r="R102" t="str" cm="1">
        <f t="array" ref="R102">_xlfn.IFS(Q102&gt;=16, "Excellent",Q102&gt;=14, "Très bien", Q102&gt;=12, "Bien", Q102&gt;=10, "Passable", Q102&lt;10, "Insuffisant")</f>
        <v>Très bien</v>
      </c>
    </row>
    <row r="103" spans="1:18">
      <c r="A103" t="s">
        <v>219</v>
      </c>
      <c r="B103" t="s">
        <v>220</v>
      </c>
      <c r="C103" t="s">
        <v>20</v>
      </c>
      <c r="D103" t="s">
        <v>38</v>
      </c>
      <c r="E103" t="s">
        <v>27</v>
      </c>
      <c r="F103">
        <v>18.34</v>
      </c>
      <c r="G103">
        <v>20</v>
      </c>
      <c r="H103">
        <v>13.99</v>
      </c>
      <c r="I103">
        <v>20</v>
      </c>
      <c r="J103" s="4">
        <v>0.79849999999999999</v>
      </c>
      <c r="K103">
        <v>110000</v>
      </c>
      <c r="L103" s="2">
        <v>45888</v>
      </c>
      <c r="M103" t="str">
        <f t="shared" si="5"/>
        <v>Admis</v>
      </c>
      <c r="N103" t="str">
        <f t="shared" si="6"/>
        <v>Non Eligible</v>
      </c>
      <c r="O103" t="str">
        <f t="shared" si="7"/>
        <v>RAS</v>
      </c>
      <c r="P103" t="str">
        <f t="shared" si="8"/>
        <v>Hors Data</v>
      </c>
      <c r="Q103">
        <f t="shared" si="9"/>
        <v>18.082500000000003</v>
      </c>
      <c r="R103" t="str" cm="1">
        <f t="array" ref="R103">_xlfn.IFS(Q103&gt;=16, "Excellent",Q103&gt;=14, "Très bien", Q103&gt;=12, "Bien", Q103&gt;=10, "Passable", Q103&lt;10, "Insuffisant")</f>
        <v>Excellent</v>
      </c>
    </row>
    <row r="104" spans="1:18">
      <c r="A104" t="s">
        <v>221</v>
      </c>
      <c r="B104" t="s">
        <v>37</v>
      </c>
      <c r="C104" t="s">
        <v>25</v>
      </c>
      <c r="D104" t="s">
        <v>53</v>
      </c>
      <c r="E104" t="s">
        <v>27</v>
      </c>
      <c r="F104">
        <v>10.3</v>
      </c>
      <c r="G104">
        <v>12.8</v>
      </c>
      <c r="H104">
        <v>13.16</v>
      </c>
      <c r="I104">
        <v>11.86</v>
      </c>
      <c r="J104" s="4">
        <v>0.62409999999999999</v>
      </c>
      <c r="K104">
        <v>130000</v>
      </c>
      <c r="L104" s="2">
        <v>45568</v>
      </c>
      <c r="M104" t="str">
        <f t="shared" si="5"/>
        <v>Admis</v>
      </c>
      <c r="N104" t="str">
        <f t="shared" si="6"/>
        <v>Non Eligible</v>
      </c>
      <c r="O104" t="str">
        <f t="shared" si="7"/>
        <v>RAS</v>
      </c>
      <c r="P104" t="str">
        <f t="shared" si="8"/>
        <v>Hors Data</v>
      </c>
      <c r="Q104">
        <f t="shared" si="9"/>
        <v>12.030000000000001</v>
      </c>
      <c r="R104" t="str" cm="1">
        <f t="array" ref="R104">_xlfn.IFS(Q104&gt;=16, "Excellent",Q104&gt;=14, "Très bien", Q104&gt;=12, "Bien", Q104&gt;=10, "Passable", Q104&lt;10, "Insuffisant")</f>
        <v>Bien</v>
      </c>
    </row>
    <row r="105" spans="1:18">
      <c r="A105" t="s">
        <v>222</v>
      </c>
      <c r="B105" t="s">
        <v>178</v>
      </c>
      <c r="C105" t="s">
        <v>20</v>
      </c>
      <c r="D105" t="s">
        <v>41</v>
      </c>
      <c r="E105" t="s">
        <v>22</v>
      </c>
      <c r="F105">
        <v>9.56</v>
      </c>
      <c r="G105">
        <v>11.05</v>
      </c>
      <c r="H105">
        <v>14.5</v>
      </c>
      <c r="I105">
        <v>14.54</v>
      </c>
      <c r="J105" s="4">
        <v>0.90580000000000005</v>
      </c>
      <c r="K105">
        <v>50000</v>
      </c>
      <c r="L105" s="2">
        <v>45599</v>
      </c>
      <c r="M105" t="str">
        <f t="shared" si="5"/>
        <v>Admis</v>
      </c>
      <c r="N105" t="str">
        <f t="shared" si="6"/>
        <v>Non Eligible</v>
      </c>
      <c r="O105" t="str">
        <f t="shared" si="7"/>
        <v>A surveiller</v>
      </c>
      <c r="P105" t="str">
        <f t="shared" si="8"/>
        <v>Data</v>
      </c>
      <c r="Q105">
        <f t="shared" si="9"/>
        <v>12.4125</v>
      </c>
      <c r="R105" t="str" cm="1">
        <f t="array" ref="R105">_xlfn.IFS(Q105&gt;=16, "Excellent",Q105&gt;=14, "Très bien", Q105&gt;=12, "Bien", Q105&gt;=10, "Passable", Q105&lt;10, "Insuffisant")</f>
        <v>Bien</v>
      </c>
    </row>
    <row r="106" spans="1:18">
      <c r="A106" t="s">
        <v>223</v>
      </c>
      <c r="B106" t="s">
        <v>224</v>
      </c>
      <c r="C106" t="s">
        <v>25</v>
      </c>
      <c r="D106" t="s">
        <v>38</v>
      </c>
      <c r="E106" t="s">
        <v>35</v>
      </c>
      <c r="F106">
        <v>8.43</v>
      </c>
      <c r="G106">
        <v>9.84</v>
      </c>
      <c r="H106">
        <v>7.64</v>
      </c>
      <c r="I106">
        <v>10.37</v>
      </c>
      <c r="J106" s="4">
        <v>0.6411</v>
      </c>
      <c r="K106">
        <v>70000</v>
      </c>
      <c r="L106" s="2">
        <v>45919</v>
      </c>
      <c r="M106" t="str">
        <f t="shared" si="5"/>
        <v>Non admis</v>
      </c>
      <c r="N106" t="str">
        <f t="shared" si="6"/>
        <v>Non Eligible</v>
      </c>
      <c r="O106" t="str">
        <f t="shared" si="7"/>
        <v>A surveiller</v>
      </c>
      <c r="P106" t="str">
        <f t="shared" si="8"/>
        <v>Hors Data</v>
      </c>
      <c r="Q106">
        <f t="shared" si="9"/>
        <v>9.07</v>
      </c>
      <c r="R106" t="str" cm="1">
        <f t="array" ref="R106">_xlfn.IFS(Q106&gt;=16, "Excellent",Q106&gt;=14, "Très bien", Q106&gt;=12, "Bien", Q106&gt;=10, "Passable", Q106&lt;10, "Insuffisant")</f>
        <v>Insuffisant</v>
      </c>
    </row>
    <row r="107" spans="1:18">
      <c r="A107" t="s">
        <v>225</v>
      </c>
      <c r="B107" t="s">
        <v>226</v>
      </c>
      <c r="C107" t="s">
        <v>25</v>
      </c>
      <c r="D107" t="s">
        <v>21</v>
      </c>
      <c r="E107" t="s">
        <v>27</v>
      </c>
      <c r="F107">
        <v>10.74</v>
      </c>
      <c r="G107">
        <v>7.48</v>
      </c>
      <c r="H107">
        <v>14.15</v>
      </c>
      <c r="I107">
        <v>16.04</v>
      </c>
      <c r="J107" s="4">
        <v>0.89759999999999995</v>
      </c>
      <c r="K107">
        <v>50000</v>
      </c>
      <c r="L107" s="2">
        <v>45832</v>
      </c>
      <c r="M107" t="str">
        <f t="shared" si="5"/>
        <v>Admis</v>
      </c>
      <c r="N107" t="str">
        <f t="shared" si="6"/>
        <v>Non Eligible</v>
      </c>
      <c r="O107" t="str">
        <f t="shared" si="7"/>
        <v>RAS</v>
      </c>
      <c r="P107" t="str">
        <f t="shared" si="8"/>
        <v>Hors Data</v>
      </c>
      <c r="Q107">
        <f t="shared" si="9"/>
        <v>12.102499999999999</v>
      </c>
      <c r="R107" t="str" cm="1">
        <f t="array" ref="R107">_xlfn.IFS(Q107&gt;=16, "Excellent",Q107&gt;=14, "Très bien", Q107&gt;=12, "Bien", Q107&gt;=10, "Passable", Q107&lt;10, "Insuffisant")</f>
        <v>Bien</v>
      </c>
    </row>
    <row r="108" spans="1:18">
      <c r="A108" t="s">
        <v>227</v>
      </c>
      <c r="B108" t="s">
        <v>191</v>
      </c>
      <c r="C108" t="s">
        <v>25</v>
      </c>
      <c r="D108" t="s">
        <v>53</v>
      </c>
      <c r="E108" t="s">
        <v>35</v>
      </c>
      <c r="F108">
        <v>7.62</v>
      </c>
      <c r="G108">
        <v>9.17</v>
      </c>
      <c r="H108">
        <v>9.44</v>
      </c>
      <c r="I108">
        <v>11.78</v>
      </c>
      <c r="J108" s="4">
        <v>0.85189999999999999</v>
      </c>
      <c r="K108">
        <v>80000</v>
      </c>
      <c r="L108" s="2">
        <v>45541</v>
      </c>
      <c r="M108" t="str">
        <f t="shared" si="5"/>
        <v>Non admis</v>
      </c>
      <c r="N108" t="str">
        <f t="shared" si="6"/>
        <v>Non Eligible</v>
      </c>
      <c r="O108" t="str">
        <f t="shared" si="7"/>
        <v>A surveiller</v>
      </c>
      <c r="P108" t="str">
        <f t="shared" si="8"/>
        <v>Hors Data</v>
      </c>
      <c r="Q108">
        <f t="shared" si="9"/>
        <v>9.5024999999999995</v>
      </c>
      <c r="R108" t="str" cm="1">
        <f t="array" ref="R108">_xlfn.IFS(Q108&gt;=16, "Excellent",Q108&gt;=14, "Très bien", Q108&gt;=12, "Bien", Q108&gt;=10, "Passable", Q108&lt;10, "Insuffisant")</f>
        <v>Insuffisant</v>
      </c>
    </row>
    <row r="109" spans="1:18">
      <c r="A109" t="s">
        <v>228</v>
      </c>
      <c r="B109" t="s">
        <v>229</v>
      </c>
      <c r="C109" t="s">
        <v>25</v>
      </c>
      <c r="D109" t="s">
        <v>21</v>
      </c>
      <c r="E109" t="s">
        <v>27</v>
      </c>
      <c r="F109">
        <v>12.34</v>
      </c>
      <c r="G109">
        <v>10.97</v>
      </c>
      <c r="H109">
        <v>9.73</v>
      </c>
      <c r="I109">
        <v>11.28</v>
      </c>
      <c r="J109" s="4">
        <v>0.79859999999999998</v>
      </c>
      <c r="K109">
        <v>120000</v>
      </c>
      <c r="L109" s="2">
        <v>46187</v>
      </c>
      <c r="M109" t="str">
        <f t="shared" si="5"/>
        <v>Non admis</v>
      </c>
      <c r="N109" t="str">
        <f t="shared" si="6"/>
        <v>Non Eligible</v>
      </c>
      <c r="O109" t="str">
        <f t="shared" si="7"/>
        <v>A surveiller</v>
      </c>
      <c r="P109" t="str">
        <f t="shared" si="8"/>
        <v>Hors Data</v>
      </c>
      <c r="Q109">
        <f t="shared" si="9"/>
        <v>11.080000000000002</v>
      </c>
      <c r="R109" t="str" cm="1">
        <f t="array" ref="R109">_xlfn.IFS(Q109&gt;=16, "Excellent",Q109&gt;=14, "Très bien", Q109&gt;=12, "Bien", Q109&gt;=10, "Passable", Q109&lt;10, "Insuffisant")</f>
        <v>Passable</v>
      </c>
    </row>
    <row r="110" spans="1:18">
      <c r="A110" t="s">
        <v>230</v>
      </c>
      <c r="B110" t="s">
        <v>231</v>
      </c>
      <c r="C110" t="s">
        <v>20</v>
      </c>
      <c r="D110" t="s">
        <v>41</v>
      </c>
      <c r="E110" t="s">
        <v>27</v>
      </c>
      <c r="F110">
        <v>13.76</v>
      </c>
      <c r="G110">
        <v>16.350000000000001</v>
      </c>
      <c r="H110">
        <v>16.22</v>
      </c>
      <c r="I110">
        <v>13.46</v>
      </c>
      <c r="J110" s="4">
        <v>0.98750000000000004</v>
      </c>
      <c r="K110">
        <v>110000</v>
      </c>
      <c r="L110" s="2">
        <v>46047</v>
      </c>
      <c r="M110" t="str">
        <f t="shared" si="5"/>
        <v>Admis</v>
      </c>
      <c r="N110" t="str">
        <f t="shared" si="6"/>
        <v>Eligible</v>
      </c>
      <c r="O110" t="str">
        <f t="shared" si="7"/>
        <v>RAS</v>
      </c>
      <c r="P110" t="str">
        <f t="shared" si="8"/>
        <v>Hors Data</v>
      </c>
      <c r="Q110">
        <f t="shared" si="9"/>
        <v>14.9475</v>
      </c>
      <c r="R110" t="str" cm="1">
        <f t="array" ref="R110">_xlfn.IFS(Q110&gt;=16, "Excellent",Q110&gt;=14, "Très bien", Q110&gt;=12, "Bien", Q110&gt;=10, "Passable", Q110&lt;10, "Insuffisant")</f>
        <v>Très bien</v>
      </c>
    </row>
    <row r="111" spans="1:18">
      <c r="A111" t="s">
        <v>232</v>
      </c>
      <c r="B111" t="s">
        <v>233</v>
      </c>
      <c r="C111" t="s">
        <v>25</v>
      </c>
      <c r="D111" t="s">
        <v>21</v>
      </c>
      <c r="E111" t="s">
        <v>27</v>
      </c>
      <c r="F111">
        <v>17.63</v>
      </c>
      <c r="G111">
        <v>13.44</v>
      </c>
      <c r="H111">
        <v>12.55</v>
      </c>
      <c r="I111">
        <v>18.21</v>
      </c>
      <c r="J111" s="4">
        <v>0.8972</v>
      </c>
      <c r="K111">
        <v>100000</v>
      </c>
      <c r="L111" s="2">
        <v>45887</v>
      </c>
      <c r="M111" t="str">
        <f t="shared" si="5"/>
        <v>Admis</v>
      </c>
      <c r="N111" t="str">
        <f t="shared" si="6"/>
        <v>Eligible</v>
      </c>
      <c r="O111" t="str">
        <f t="shared" si="7"/>
        <v>RAS</v>
      </c>
      <c r="P111" t="str">
        <f t="shared" si="8"/>
        <v>Hors Data</v>
      </c>
      <c r="Q111">
        <f t="shared" si="9"/>
        <v>15.457500000000001</v>
      </c>
      <c r="R111" t="str" cm="1">
        <f t="array" ref="R111">_xlfn.IFS(Q111&gt;=16, "Excellent",Q111&gt;=14, "Très bien", Q111&gt;=12, "Bien", Q111&gt;=10, "Passable", Q111&lt;10, "Insuffisant")</f>
        <v>Très bien</v>
      </c>
    </row>
    <row r="112" spans="1:18">
      <c r="A112" t="s">
        <v>234</v>
      </c>
      <c r="B112" t="s">
        <v>235</v>
      </c>
      <c r="C112" t="s">
        <v>20</v>
      </c>
      <c r="D112" t="s">
        <v>34</v>
      </c>
      <c r="E112" t="s">
        <v>22</v>
      </c>
      <c r="F112">
        <v>18.670000000000002</v>
      </c>
      <c r="G112">
        <v>20</v>
      </c>
      <c r="H112">
        <v>20</v>
      </c>
      <c r="I112">
        <v>20</v>
      </c>
      <c r="J112" s="4">
        <v>0.88100000000000001</v>
      </c>
      <c r="K112">
        <v>120000</v>
      </c>
      <c r="L112" s="2">
        <v>46226</v>
      </c>
      <c r="M112" t="str">
        <f t="shared" si="5"/>
        <v>Admis</v>
      </c>
      <c r="N112" t="str">
        <f t="shared" si="6"/>
        <v>Eligible</v>
      </c>
      <c r="O112" t="str">
        <f t="shared" si="7"/>
        <v>RAS</v>
      </c>
      <c r="P112" t="str">
        <f t="shared" si="8"/>
        <v>Data</v>
      </c>
      <c r="Q112">
        <f t="shared" si="9"/>
        <v>19.6675</v>
      </c>
      <c r="R112" t="str" cm="1">
        <f t="array" ref="R112">_xlfn.IFS(Q112&gt;=16, "Excellent",Q112&gt;=14, "Très bien", Q112&gt;=12, "Bien", Q112&gt;=10, "Passable", Q112&lt;10, "Insuffisant")</f>
        <v>Excellent</v>
      </c>
    </row>
    <row r="113" spans="1:18">
      <c r="A113" t="s">
        <v>236</v>
      </c>
      <c r="B113" t="s">
        <v>237</v>
      </c>
      <c r="C113" t="s">
        <v>25</v>
      </c>
      <c r="D113" t="s">
        <v>38</v>
      </c>
      <c r="E113" t="s">
        <v>35</v>
      </c>
      <c r="F113">
        <v>10.84</v>
      </c>
      <c r="G113">
        <v>14.06</v>
      </c>
      <c r="H113">
        <v>15.62</v>
      </c>
      <c r="I113">
        <v>15.45</v>
      </c>
      <c r="J113" s="4">
        <v>0.89270000000000005</v>
      </c>
      <c r="K113">
        <v>50000</v>
      </c>
      <c r="L113" s="2">
        <v>46215</v>
      </c>
      <c r="M113" t="str">
        <f t="shared" si="5"/>
        <v>Admis</v>
      </c>
      <c r="N113" t="str">
        <f t="shared" si="6"/>
        <v>Non Eligible</v>
      </c>
      <c r="O113" t="str">
        <f t="shared" si="7"/>
        <v>RAS</v>
      </c>
      <c r="P113" t="str">
        <f t="shared" si="8"/>
        <v>Hors Data</v>
      </c>
      <c r="Q113">
        <f t="shared" si="9"/>
        <v>13.9925</v>
      </c>
      <c r="R113" t="str" cm="1">
        <f t="array" ref="R113">_xlfn.IFS(Q113&gt;=16, "Excellent",Q113&gt;=14, "Très bien", Q113&gt;=12, "Bien", Q113&gt;=10, "Passable", Q113&lt;10, "Insuffisant")</f>
        <v>Bien</v>
      </c>
    </row>
    <row r="114" spans="1:18">
      <c r="A114" t="s">
        <v>238</v>
      </c>
      <c r="B114" t="s">
        <v>239</v>
      </c>
      <c r="C114" t="s">
        <v>25</v>
      </c>
      <c r="D114" t="s">
        <v>53</v>
      </c>
      <c r="E114" t="s">
        <v>48</v>
      </c>
      <c r="F114">
        <v>18.809999999999999</v>
      </c>
      <c r="G114">
        <v>20</v>
      </c>
      <c r="H114">
        <v>20</v>
      </c>
      <c r="I114">
        <v>17.59</v>
      </c>
      <c r="J114" s="4">
        <v>0.84499999999999997</v>
      </c>
      <c r="K114">
        <v>110000</v>
      </c>
      <c r="L114" s="2">
        <v>46217</v>
      </c>
      <c r="M114" t="str">
        <f t="shared" si="5"/>
        <v>Admis</v>
      </c>
      <c r="N114" t="str">
        <f t="shared" si="6"/>
        <v>Eligible</v>
      </c>
      <c r="O114" t="str">
        <f t="shared" si="7"/>
        <v>RAS</v>
      </c>
      <c r="P114" t="str">
        <f t="shared" si="8"/>
        <v>Hors Data</v>
      </c>
      <c r="Q114">
        <f t="shared" si="9"/>
        <v>19.100000000000001</v>
      </c>
      <c r="R114" t="str" cm="1">
        <f t="array" ref="R114">_xlfn.IFS(Q114&gt;=16, "Excellent",Q114&gt;=14, "Très bien", Q114&gt;=12, "Bien", Q114&gt;=10, "Passable", Q114&lt;10, "Insuffisant")</f>
        <v>Excellent</v>
      </c>
    </row>
    <row r="115" spans="1:18">
      <c r="A115" t="s">
        <v>240</v>
      </c>
      <c r="B115" t="s">
        <v>241</v>
      </c>
      <c r="C115" t="s">
        <v>20</v>
      </c>
      <c r="D115" t="s">
        <v>26</v>
      </c>
      <c r="E115" t="s">
        <v>27</v>
      </c>
      <c r="F115">
        <v>15.49</v>
      </c>
      <c r="G115">
        <v>14.47</v>
      </c>
      <c r="H115">
        <v>15.24</v>
      </c>
      <c r="I115">
        <v>13.19</v>
      </c>
      <c r="J115" s="4">
        <v>0.80830000000000002</v>
      </c>
      <c r="K115">
        <v>75000</v>
      </c>
      <c r="L115" s="2">
        <v>45717</v>
      </c>
      <c r="M115" t="str">
        <f t="shared" si="5"/>
        <v>Admis</v>
      </c>
      <c r="N115" t="str">
        <f t="shared" si="6"/>
        <v>Eligible</v>
      </c>
      <c r="O115" t="str">
        <f t="shared" si="7"/>
        <v>RAS</v>
      </c>
      <c r="P115" t="str">
        <f t="shared" si="8"/>
        <v>Hors Data</v>
      </c>
      <c r="Q115">
        <f t="shared" si="9"/>
        <v>14.5975</v>
      </c>
      <c r="R115" t="str" cm="1">
        <f t="array" ref="R115">_xlfn.IFS(Q115&gt;=16, "Excellent",Q115&gt;=14, "Très bien", Q115&gt;=12, "Bien", Q115&gt;=10, "Passable", Q115&lt;10, "Insuffisant")</f>
        <v>Très bien</v>
      </c>
    </row>
    <row r="116" spans="1:18">
      <c r="A116" t="s">
        <v>242</v>
      </c>
      <c r="B116" t="s">
        <v>243</v>
      </c>
      <c r="C116" t="s">
        <v>25</v>
      </c>
      <c r="D116" t="s">
        <v>53</v>
      </c>
      <c r="E116" t="s">
        <v>22</v>
      </c>
      <c r="F116">
        <v>11.48</v>
      </c>
      <c r="G116">
        <v>15.71</v>
      </c>
      <c r="H116">
        <v>12.61</v>
      </c>
      <c r="I116">
        <v>11.97</v>
      </c>
      <c r="J116" s="4">
        <v>0.55089999999999995</v>
      </c>
      <c r="K116">
        <v>100000</v>
      </c>
      <c r="L116" s="2">
        <v>46152</v>
      </c>
      <c r="M116" t="str">
        <f t="shared" si="5"/>
        <v>Admis</v>
      </c>
      <c r="N116" t="str">
        <f t="shared" si="6"/>
        <v>Non Eligible</v>
      </c>
      <c r="O116" t="str">
        <f t="shared" si="7"/>
        <v>RAS</v>
      </c>
      <c r="P116" t="str">
        <f t="shared" si="8"/>
        <v>Data</v>
      </c>
      <c r="Q116">
        <f t="shared" si="9"/>
        <v>12.942499999999999</v>
      </c>
      <c r="R116" t="str" cm="1">
        <f t="array" ref="R116">_xlfn.IFS(Q116&gt;=16, "Excellent",Q116&gt;=14, "Très bien", Q116&gt;=12, "Bien", Q116&gt;=10, "Passable", Q116&lt;10, "Insuffisant")</f>
        <v>Bien</v>
      </c>
    </row>
    <row r="117" spans="1:18">
      <c r="A117" t="s">
        <v>244</v>
      </c>
      <c r="B117" t="s">
        <v>173</v>
      </c>
      <c r="C117" t="s">
        <v>25</v>
      </c>
      <c r="D117" t="s">
        <v>21</v>
      </c>
      <c r="E117" t="s">
        <v>35</v>
      </c>
      <c r="F117">
        <v>15.07</v>
      </c>
      <c r="G117">
        <v>11.87</v>
      </c>
      <c r="H117">
        <v>13.51</v>
      </c>
      <c r="I117">
        <v>11.94</v>
      </c>
      <c r="J117" s="4">
        <v>0.91290000000000004</v>
      </c>
      <c r="K117">
        <v>110000</v>
      </c>
      <c r="L117" s="2">
        <v>45889</v>
      </c>
      <c r="M117" t="str">
        <f t="shared" si="5"/>
        <v>Admis</v>
      </c>
      <c r="N117" t="str">
        <f t="shared" si="6"/>
        <v>Eligible</v>
      </c>
      <c r="O117" t="str">
        <f t="shared" si="7"/>
        <v>RAS</v>
      </c>
      <c r="P117" t="str">
        <f t="shared" si="8"/>
        <v>Hors Data</v>
      </c>
      <c r="Q117">
        <f t="shared" si="9"/>
        <v>13.097499999999998</v>
      </c>
      <c r="R117" t="str" cm="1">
        <f t="array" ref="R117">_xlfn.IFS(Q117&gt;=16, "Excellent",Q117&gt;=14, "Très bien", Q117&gt;=12, "Bien", Q117&gt;=10, "Passable", Q117&lt;10, "Insuffisant")</f>
        <v>Bien</v>
      </c>
    </row>
    <row r="118" spans="1:18">
      <c r="A118" t="s">
        <v>245</v>
      </c>
      <c r="B118" t="s">
        <v>246</v>
      </c>
      <c r="C118" t="s">
        <v>20</v>
      </c>
      <c r="D118" t="s">
        <v>38</v>
      </c>
      <c r="E118" t="s">
        <v>22</v>
      </c>
      <c r="F118">
        <v>18.510000000000002</v>
      </c>
      <c r="G118">
        <v>15.64</v>
      </c>
      <c r="H118">
        <v>13.21</v>
      </c>
      <c r="I118">
        <v>14.8</v>
      </c>
      <c r="J118" s="4">
        <v>0.66739999999999999</v>
      </c>
      <c r="K118">
        <v>100000</v>
      </c>
      <c r="L118" s="2">
        <v>46044</v>
      </c>
      <c r="M118" t="str">
        <f t="shared" si="5"/>
        <v>Admis</v>
      </c>
      <c r="N118" t="str">
        <f t="shared" si="6"/>
        <v>Non Eligible</v>
      </c>
      <c r="O118" t="str">
        <f t="shared" si="7"/>
        <v>RAS</v>
      </c>
      <c r="P118" t="str">
        <f t="shared" si="8"/>
        <v>Data</v>
      </c>
      <c r="Q118">
        <f t="shared" si="9"/>
        <v>15.540000000000003</v>
      </c>
      <c r="R118" t="str" cm="1">
        <f t="array" ref="R118">_xlfn.IFS(Q118&gt;=16, "Excellent",Q118&gt;=14, "Très bien", Q118&gt;=12, "Bien", Q118&gt;=10, "Passable", Q118&lt;10, "Insuffisant")</f>
        <v>Très bien</v>
      </c>
    </row>
    <row r="119" spans="1:18">
      <c r="A119" t="s">
        <v>247</v>
      </c>
      <c r="B119" t="s">
        <v>248</v>
      </c>
      <c r="C119" t="s">
        <v>20</v>
      </c>
      <c r="D119" t="s">
        <v>53</v>
      </c>
      <c r="E119" t="s">
        <v>27</v>
      </c>
      <c r="F119">
        <v>13.77</v>
      </c>
      <c r="G119">
        <v>12.51</v>
      </c>
      <c r="H119">
        <v>15.21</v>
      </c>
      <c r="I119">
        <v>11.91</v>
      </c>
      <c r="J119" s="4">
        <v>0.94169999999999998</v>
      </c>
      <c r="K119">
        <v>80000</v>
      </c>
      <c r="L119" s="2">
        <v>46137</v>
      </c>
      <c r="M119" t="str">
        <f t="shared" si="5"/>
        <v>Admis</v>
      </c>
      <c r="N119" t="str">
        <f t="shared" si="6"/>
        <v>Eligible</v>
      </c>
      <c r="O119" t="str">
        <f t="shared" si="7"/>
        <v>RAS</v>
      </c>
      <c r="P119" t="str">
        <f t="shared" si="8"/>
        <v>Hors Data</v>
      </c>
      <c r="Q119">
        <f t="shared" si="9"/>
        <v>13.350000000000001</v>
      </c>
      <c r="R119" t="str" cm="1">
        <f t="array" ref="R119">_xlfn.IFS(Q119&gt;=16, "Excellent",Q119&gt;=14, "Très bien", Q119&gt;=12, "Bien", Q119&gt;=10, "Passable", Q119&lt;10, "Insuffisant")</f>
        <v>Bien</v>
      </c>
    </row>
    <row r="120" spans="1:18">
      <c r="A120" t="s">
        <v>249</v>
      </c>
      <c r="B120" t="s">
        <v>100</v>
      </c>
      <c r="C120" t="s">
        <v>20</v>
      </c>
      <c r="D120" t="s">
        <v>34</v>
      </c>
      <c r="E120" t="s">
        <v>27</v>
      </c>
      <c r="F120">
        <v>10.83</v>
      </c>
      <c r="G120">
        <v>9.1199999999999992</v>
      </c>
      <c r="H120">
        <v>10.78</v>
      </c>
      <c r="I120">
        <v>14.67</v>
      </c>
      <c r="J120" s="4">
        <v>0.82340000000000002</v>
      </c>
      <c r="K120">
        <v>90000</v>
      </c>
      <c r="L120" s="2">
        <v>45650</v>
      </c>
      <c r="M120" t="str">
        <f t="shared" si="5"/>
        <v>Admis</v>
      </c>
      <c r="N120" t="str">
        <f t="shared" si="6"/>
        <v>Non Eligible</v>
      </c>
      <c r="O120" t="str">
        <f t="shared" si="7"/>
        <v>RAS</v>
      </c>
      <c r="P120" t="str">
        <f t="shared" si="8"/>
        <v>Hors Data</v>
      </c>
      <c r="Q120">
        <f t="shared" si="9"/>
        <v>11.35</v>
      </c>
      <c r="R120" t="str" cm="1">
        <f t="array" ref="R120">_xlfn.IFS(Q120&gt;=16, "Excellent",Q120&gt;=14, "Très bien", Q120&gt;=12, "Bien", Q120&gt;=10, "Passable", Q120&lt;10, "Insuffisant")</f>
        <v>Passable</v>
      </c>
    </row>
    <row r="121" spans="1:18">
      <c r="A121" t="s">
        <v>250</v>
      </c>
      <c r="B121" t="s">
        <v>251</v>
      </c>
      <c r="C121" t="s">
        <v>20</v>
      </c>
      <c r="D121" t="s">
        <v>41</v>
      </c>
      <c r="E121" t="s">
        <v>22</v>
      </c>
      <c r="F121">
        <v>9.1999999999999993</v>
      </c>
      <c r="G121">
        <v>7.51</v>
      </c>
      <c r="H121">
        <v>11.45</v>
      </c>
      <c r="I121">
        <v>6.64</v>
      </c>
      <c r="J121" s="4">
        <v>0.77759999999999996</v>
      </c>
      <c r="K121">
        <v>85000</v>
      </c>
      <c r="L121" s="2">
        <v>45849</v>
      </c>
      <c r="M121" t="str">
        <f t="shared" si="5"/>
        <v>Admis</v>
      </c>
      <c r="N121" t="str">
        <f t="shared" si="6"/>
        <v>Non Eligible</v>
      </c>
      <c r="O121" t="str">
        <f t="shared" si="7"/>
        <v>A surveiller</v>
      </c>
      <c r="P121" t="str">
        <f t="shared" si="8"/>
        <v>Data</v>
      </c>
      <c r="Q121">
        <f t="shared" si="9"/>
        <v>8.6999999999999993</v>
      </c>
      <c r="R121" t="str" cm="1">
        <f t="array" ref="R121">_xlfn.IFS(Q121&gt;=16, "Excellent",Q121&gt;=14, "Très bien", Q121&gt;=12, "Bien", Q121&gt;=10, "Passable", Q121&lt;10, "Insuffisant")</f>
        <v>Insuffisant</v>
      </c>
    </row>
    <row r="122" spans="1:18">
      <c r="A122" t="s">
        <v>252</v>
      </c>
      <c r="B122" t="s">
        <v>253</v>
      </c>
      <c r="C122" t="s">
        <v>20</v>
      </c>
      <c r="D122" t="s">
        <v>53</v>
      </c>
      <c r="E122" t="s">
        <v>22</v>
      </c>
      <c r="F122">
        <v>9.3800000000000008</v>
      </c>
      <c r="G122">
        <v>9.59</v>
      </c>
      <c r="H122">
        <v>14.07</v>
      </c>
      <c r="I122">
        <v>9.36</v>
      </c>
      <c r="J122" s="4">
        <v>0.87290000000000001</v>
      </c>
      <c r="K122">
        <v>90000</v>
      </c>
      <c r="L122" s="2">
        <v>45626</v>
      </c>
      <c r="M122" t="str">
        <f t="shared" si="5"/>
        <v>Admis</v>
      </c>
      <c r="N122" t="str">
        <f t="shared" si="6"/>
        <v>Non Eligible</v>
      </c>
      <c r="O122" t="str">
        <f t="shared" si="7"/>
        <v>A surveiller</v>
      </c>
      <c r="P122" t="str">
        <f t="shared" si="8"/>
        <v>Data</v>
      </c>
      <c r="Q122">
        <f t="shared" si="9"/>
        <v>10.6</v>
      </c>
      <c r="R122" t="str" cm="1">
        <f t="array" ref="R122">_xlfn.IFS(Q122&gt;=16, "Excellent",Q122&gt;=14, "Très bien", Q122&gt;=12, "Bien", Q122&gt;=10, "Passable", Q122&lt;10, "Insuffisant")</f>
        <v>Passable</v>
      </c>
    </row>
    <row r="123" spans="1:18">
      <c r="A123" t="s">
        <v>254</v>
      </c>
      <c r="B123" t="s">
        <v>71</v>
      </c>
      <c r="C123" t="s">
        <v>25</v>
      </c>
      <c r="D123" t="s">
        <v>26</v>
      </c>
      <c r="E123" t="s">
        <v>35</v>
      </c>
      <c r="F123">
        <v>15</v>
      </c>
      <c r="G123">
        <v>13.92</v>
      </c>
      <c r="H123">
        <v>15.39</v>
      </c>
      <c r="I123">
        <v>17.760000000000002</v>
      </c>
      <c r="J123" s="4">
        <v>0.83599999999999997</v>
      </c>
      <c r="K123">
        <v>85000</v>
      </c>
      <c r="L123" s="2">
        <v>45731</v>
      </c>
      <c r="M123" t="str">
        <f t="shared" si="5"/>
        <v>Admis</v>
      </c>
      <c r="N123" t="str">
        <f t="shared" si="6"/>
        <v>Eligible</v>
      </c>
      <c r="O123" t="str">
        <f t="shared" si="7"/>
        <v>RAS</v>
      </c>
      <c r="P123" t="str">
        <f t="shared" si="8"/>
        <v>Hors Data</v>
      </c>
      <c r="Q123">
        <f t="shared" si="9"/>
        <v>15.517500000000002</v>
      </c>
      <c r="R123" t="str" cm="1">
        <f t="array" ref="R123">_xlfn.IFS(Q123&gt;=16, "Excellent",Q123&gt;=14, "Très bien", Q123&gt;=12, "Bien", Q123&gt;=10, "Passable", Q123&lt;10, "Insuffisant")</f>
        <v>Très bien</v>
      </c>
    </row>
    <row r="124" spans="1:18">
      <c r="A124" t="s">
        <v>255</v>
      </c>
      <c r="B124" t="s">
        <v>256</v>
      </c>
      <c r="C124" t="s">
        <v>25</v>
      </c>
      <c r="D124" t="s">
        <v>34</v>
      </c>
      <c r="E124" t="s">
        <v>27</v>
      </c>
      <c r="F124">
        <v>12.66</v>
      </c>
      <c r="G124">
        <v>13.95</v>
      </c>
      <c r="H124">
        <v>9.9700000000000006</v>
      </c>
      <c r="I124">
        <v>7.89</v>
      </c>
      <c r="J124" s="4">
        <v>0.8034</v>
      </c>
      <c r="K124">
        <v>80000</v>
      </c>
      <c r="L124" s="2">
        <v>45825</v>
      </c>
      <c r="M124" t="str">
        <f t="shared" si="5"/>
        <v>Non admis</v>
      </c>
      <c r="N124" t="str">
        <f t="shared" si="6"/>
        <v>Non Eligible</v>
      </c>
      <c r="O124" t="str">
        <f t="shared" si="7"/>
        <v>A surveiller</v>
      </c>
      <c r="P124" t="str">
        <f t="shared" si="8"/>
        <v>Hors Data</v>
      </c>
      <c r="Q124">
        <f t="shared" si="9"/>
        <v>11.1175</v>
      </c>
      <c r="R124" t="str" cm="1">
        <f t="array" ref="R124">_xlfn.IFS(Q124&gt;=16, "Excellent",Q124&gt;=14, "Très bien", Q124&gt;=12, "Bien", Q124&gt;=10, "Passable", Q124&lt;10, "Insuffisant")</f>
        <v>Passable</v>
      </c>
    </row>
    <row r="125" spans="1:18">
      <c r="A125" t="s">
        <v>257</v>
      </c>
      <c r="B125" t="s">
        <v>258</v>
      </c>
      <c r="C125" t="s">
        <v>20</v>
      </c>
      <c r="D125" t="s">
        <v>26</v>
      </c>
      <c r="E125" t="s">
        <v>35</v>
      </c>
      <c r="F125">
        <v>8.66</v>
      </c>
      <c r="G125">
        <v>8.25</v>
      </c>
      <c r="H125">
        <v>9.07</v>
      </c>
      <c r="I125">
        <v>16.170000000000002</v>
      </c>
      <c r="J125" s="4">
        <v>0.70330000000000004</v>
      </c>
      <c r="K125">
        <v>70000</v>
      </c>
      <c r="L125" s="2">
        <v>46134</v>
      </c>
      <c r="M125" t="str">
        <f t="shared" si="5"/>
        <v>Non admis</v>
      </c>
      <c r="N125" t="str">
        <f t="shared" si="6"/>
        <v>Non Eligible</v>
      </c>
      <c r="O125" t="str">
        <f t="shared" si="7"/>
        <v>A surveiller</v>
      </c>
      <c r="P125" t="str">
        <f t="shared" si="8"/>
        <v>Hors Data</v>
      </c>
      <c r="Q125">
        <f t="shared" si="9"/>
        <v>10.537500000000001</v>
      </c>
      <c r="R125" t="str" cm="1">
        <f t="array" ref="R125">_xlfn.IFS(Q125&gt;=16, "Excellent",Q125&gt;=14, "Très bien", Q125&gt;=12, "Bien", Q125&gt;=10, "Passable", Q125&lt;10, "Insuffisant")</f>
        <v>Passable</v>
      </c>
    </row>
    <row r="126" spans="1:18">
      <c r="A126" t="s">
        <v>259</v>
      </c>
      <c r="B126" t="s">
        <v>260</v>
      </c>
      <c r="C126" t="s">
        <v>25</v>
      </c>
      <c r="D126" t="s">
        <v>53</v>
      </c>
      <c r="E126" t="s">
        <v>35</v>
      </c>
      <c r="F126">
        <v>11.41</v>
      </c>
      <c r="G126">
        <v>9.24</v>
      </c>
      <c r="H126">
        <v>15.43</v>
      </c>
      <c r="I126">
        <v>12.49</v>
      </c>
      <c r="J126" s="4">
        <v>0.77380000000000004</v>
      </c>
      <c r="K126">
        <v>80000</v>
      </c>
      <c r="L126" s="2">
        <v>46139</v>
      </c>
      <c r="M126" t="str">
        <f t="shared" si="5"/>
        <v>Admis</v>
      </c>
      <c r="N126" t="str">
        <f t="shared" si="6"/>
        <v>Non Eligible</v>
      </c>
      <c r="O126" t="str">
        <f t="shared" si="7"/>
        <v>RAS</v>
      </c>
      <c r="P126" t="str">
        <f t="shared" si="8"/>
        <v>Hors Data</v>
      </c>
      <c r="Q126">
        <f t="shared" si="9"/>
        <v>12.1425</v>
      </c>
      <c r="R126" t="str" cm="1">
        <f t="array" ref="R126">_xlfn.IFS(Q126&gt;=16, "Excellent",Q126&gt;=14, "Très bien", Q126&gt;=12, "Bien", Q126&gt;=10, "Passable", Q126&lt;10, "Insuffisant")</f>
        <v>Bien</v>
      </c>
    </row>
    <row r="127" spans="1:18">
      <c r="A127" t="s">
        <v>261</v>
      </c>
      <c r="B127" t="s">
        <v>262</v>
      </c>
      <c r="C127" t="s">
        <v>25</v>
      </c>
      <c r="D127" t="s">
        <v>41</v>
      </c>
      <c r="E127" t="s">
        <v>35</v>
      </c>
      <c r="F127">
        <v>15.4</v>
      </c>
      <c r="G127">
        <v>19.149999999999999</v>
      </c>
      <c r="H127">
        <v>15.79</v>
      </c>
      <c r="I127">
        <v>15.94</v>
      </c>
      <c r="J127" s="4">
        <v>0.82779999999999998</v>
      </c>
      <c r="K127">
        <v>100000</v>
      </c>
      <c r="L127" s="2">
        <v>45808</v>
      </c>
      <c r="M127" t="str">
        <f t="shared" si="5"/>
        <v>Admis</v>
      </c>
      <c r="N127" t="str">
        <f t="shared" si="6"/>
        <v>Eligible</v>
      </c>
      <c r="O127" t="str">
        <f t="shared" si="7"/>
        <v>RAS</v>
      </c>
      <c r="P127" t="str">
        <f t="shared" si="8"/>
        <v>Hors Data</v>
      </c>
      <c r="Q127">
        <f t="shared" si="9"/>
        <v>16.57</v>
      </c>
      <c r="R127" t="str" cm="1">
        <f t="array" ref="R127">_xlfn.IFS(Q127&gt;=16, "Excellent",Q127&gt;=14, "Très bien", Q127&gt;=12, "Bien", Q127&gt;=10, "Passable", Q127&lt;10, "Insuffisant")</f>
        <v>Excellent</v>
      </c>
    </row>
    <row r="128" spans="1:18">
      <c r="A128" t="s">
        <v>263</v>
      </c>
      <c r="B128" t="s">
        <v>264</v>
      </c>
      <c r="C128" t="s">
        <v>20</v>
      </c>
      <c r="D128" t="s">
        <v>53</v>
      </c>
      <c r="E128" t="s">
        <v>48</v>
      </c>
      <c r="F128">
        <v>13.64</v>
      </c>
      <c r="G128">
        <v>16.39</v>
      </c>
      <c r="H128">
        <v>16.13</v>
      </c>
      <c r="I128">
        <v>15.16</v>
      </c>
      <c r="J128" s="4">
        <v>0.83150000000000002</v>
      </c>
      <c r="K128">
        <v>120000</v>
      </c>
      <c r="L128" s="2">
        <v>45766</v>
      </c>
      <c r="M128" t="str">
        <f t="shared" si="5"/>
        <v>Admis</v>
      </c>
      <c r="N128" t="str">
        <f t="shared" si="6"/>
        <v>Eligible</v>
      </c>
      <c r="O128" t="str">
        <f t="shared" si="7"/>
        <v>RAS</v>
      </c>
      <c r="P128" t="str">
        <f t="shared" si="8"/>
        <v>Hors Data</v>
      </c>
      <c r="Q128">
        <f t="shared" si="9"/>
        <v>15.329999999999998</v>
      </c>
      <c r="R128" t="str" cm="1">
        <f t="array" ref="R128">_xlfn.IFS(Q128&gt;=16, "Excellent",Q128&gt;=14, "Très bien", Q128&gt;=12, "Bien", Q128&gt;=10, "Passable", Q128&lt;10, "Insuffisant")</f>
        <v>Très bien</v>
      </c>
    </row>
    <row r="129" spans="1:18">
      <c r="A129" t="s">
        <v>265</v>
      </c>
      <c r="B129" t="s">
        <v>123</v>
      </c>
      <c r="C129" t="s">
        <v>25</v>
      </c>
      <c r="D129" t="s">
        <v>41</v>
      </c>
      <c r="E129" t="s">
        <v>35</v>
      </c>
      <c r="F129">
        <v>10.42</v>
      </c>
      <c r="G129">
        <v>9.75</v>
      </c>
      <c r="H129">
        <v>10.69</v>
      </c>
      <c r="I129">
        <v>13.16</v>
      </c>
      <c r="J129" s="4">
        <v>0.89610000000000001</v>
      </c>
      <c r="K129">
        <v>60000</v>
      </c>
      <c r="L129" s="2">
        <v>45907</v>
      </c>
      <c r="M129" t="str">
        <f t="shared" si="5"/>
        <v>Admis</v>
      </c>
      <c r="N129" t="str">
        <f t="shared" si="6"/>
        <v>Non Eligible</v>
      </c>
      <c r="O129" t="str">
        <f t="shared" si="7"/>
        <v>RAS</v>
      </c>
      <c r="P129" t="str">
        <f t="shared" si="8"/>
        <v>Hors Data</v>
      </c>
      <c r="Q129">
        <f t="shared" si="9"/>
        <v>11.004999999999999</v>
      </c>
      <c r="R129" t="str" cm="1">
        <f t="array" ref="R129">_xlfn.IFS(Q129&gt;=16, "Excellent",Q129&gt;=14, "Très bien", Q129&gt;=12, "Bien", Q129&gt;=10, "Passable", Q129&lt;10, "Insuffisant")</f>
        <v>Passable</v>
      </c>
    </row>
    <row r="130" spans="1:18">
      <c r="A130" t="s">
        <v>266</v>
      </c>
      <c r="B130" t="s">
        <v>29</v>
      </c>
      <c r="C130" t="s">
        <v>25</v>
      </c>
      <c r="D130" t="s">
        <v>34</v>
      </c>
      <c r="E130" t="s">
        <v>22</v>
      </c>
      <c r="F130">
        <v>16.54</v>
      </c>
      <c r="G130">
        <v>17.329999999999998</v>
      </c>
      <c r="H130">
        <v>18.96</v>
      </c>
      <c r="I130">
        <v>17.440000000000001</v>
      </c>
      <c r="J130" s="4">
        <v>0.75839999999999996</v>
      </c>
      <c r="K130">
        <v>70000</v>
      </c>
      <c r="L130" s="2">
        <v>46174</v>
      </c>
      <c r="M130" t="str">
        <f t="shared" si="5"/>
        <v>Admis</v>
      </c>
      <c r="N130" t="str">
        <f t="shared" si="6"/>
        <v>Non Eligible</v>
      </c>
      <c r="O130" t="str">
        <f t="shared" si="7"/>
        <v>RAS</v>
      </c>
      <c r="P130" t="str">
        <f t="shared" si="8"/>
        <v>Data</v>
      </c>
      <c r="Q130">
        <f t="shared" si="9"/>
        <v>17.567499999999999</v>
      </c>
      <c r="R130" t="str" cm="1">
        <f t="array" ref="R130">_xlfn.IFS(Q130&gt;=16, "Excellent",Q130&gt;=14, "Très bien", Q130&gt;=12, "Bien", Q130&gt;=10, "Passable", Q130&lt;10, "Insuffisant")</f>
        <v>Excellent</v>
      </c>
    </row>
    <row r="131" spans="1:18">
      <c r="A131" t="s">
        <v>267</v>
      </c>
      <c r="B131" t="s">
        <v>268</v>
      </c>
      <c r="C131" t="s">
        <v>25</v>
      </c>
      <c r="D131" t="s">
        <v>21</v>
      </c>
      <c r="E131" t="s">
        <v>27</v>
      </c>
      <c r="F131">
        <v>18.059999999999999</v>
      </c>
      <c r="G131">
        <v>20</v>
      </c>
      <c r="H131">
        <v>17.77</v>
      </c>
      <c r="I131">
        <v>20</v>
      </c>
      <c r="J131" s="4">
        <v>0.76829999999999998</v>
      </c>
      <c r="K131">
        <v>85000</v>
      </c>
      <c r="L131" s="2">
        <v>46219</v>
      </c>
      <c r="M131" t="str">
        <f t="shared" ref="M131:M194" si="10">IF(H131&gt;=10,"Admis","Non admis")</f>
        <v>Admis</v>
      </c>
      <c r="N131" t="str">
        <f t="shared" ref="N131:N194" si="11">IF(AND(F131&gt;=12,H131&gt;=12,J131&gt;80%), "Eligible", "Non Eligible")</f>
        <v>Non Eligible</v>
      </c>
      <c r="O131" t="str">
        <f t="shared" ref="O131:O194" si="12">IF(OR(F131&lt;10,H131&lt;10), "A surveiller", "RAS")</f>
        <v>RAS</v>
      </c>
      <c r="P131" t="str">
        <f t="shared" ref="P131:P194" si="13">IF(NOT(E131="Data"), "Hors Data", "Data")</f>
        <v>Hors Data</v>
      </c>
      <c r="Q131">
        <f t="shared" ref="Q131:Q194" si="14">AVERAGE(F131:I131)</f>
        <v>18.9575</v>
      </c>
      <c r="R131" t="str" cm="1">
        <f t="array" ref="R131">_xlfn.IFS(Q131&gt;=16, "Excellent",Q131&gt;=14, "Très bien", Q131&gt;=12, "Bien", Q131&gt;=10, "Passable", Q131&lt;10, "Insuffisant")</f>
        <v>Excellent</v>
      </c>
    </row>
    <row r="132" spans="1:18">
      <c r="A132" t="s">
        <v>269</v>
      </c>
      <c r="B132" t="s">
        <v>270</v>
      </c>
      <c r="C132" t="s">
        <v>25</v>
      </c>
      <c r="D132" t="s">
        <v>53</v>
      </c>
      <c r="E132" t="s">
        <v>35</v>
      </c>
      <c r="F132">
        <v>16.84</v>
      </c>
      <c r="G132">
        <v>16.21</v>
      </c>
      <c r="H132">
        <v>13.47</v>
      </c>
      <c r="I132">
        <v>15.93</v>
      </c>
      <c r="J132" s="4">
        <v>0.56440000000000001</v>
      </c>
      <c r="K132">
        <v>100000</v>
      </c>
      <c r="L132" s="2">
        <v>45694</v>
      </c>
      <c r="M132" t="str">
        <f t="shared" si="10"/>
        <v>Admis</v>
      </c>
      <c r="N132" t="str">
        <f t="shared" si="11"/>
        <v>Non Eligible</v>
      </c>
      <c r="O132" t="str">
        <f t="shared" si="12"/>
        <v>RAS</v>
      </c>
      <c r="P132" t="str">
        <f t="shared" si="13"/>
        <v>Hors Data</v>
      </c>
      <c r="Q132">
        <f t="shared" si="14"/>
        <v>15.612499999999999</v>
      </c>
      <c r="R132" t="str" cm="1">
        <f t="array" ref="R132">_xlfn.IFS(Q132&gt;=16, "Excellent",Q132&gt;=14, "Très bien", Q132&gt;=12, "Bien", Q132&gt;=10, "Passable", Q132&lt;10, "Insuffisant")</f>
        <v>Très bien</v>
      </c>
    </row>
    <row r="133" spans="1:18">
      <c r="A133" t="s">
        <v>271</v>
      </c>
      <c r="B133" t="s">
        <v>272</v>
      </c>
      <c r="C133" t="s">
        <v>25</v>
      </c>
      <c r="D133" t="s">
        <v>34</v>
      </c>
      <c r="E133" t="s">
        <v>35</v>
      </c>
      <c r="F133">
        <v>16.010000000000002</v>
      </c>
      <c r="G133">
        <v>16.95</v>
      </c>
      <c r="H133">
        <v>15.54</v>
      </c>
      <c r="I133">
        <v>20</v>
      </c>
      <c r="J133" s="4">
        <v>0.71589999999999998</v>
      </c>
      <c r="K133">
        <v>60000</v>
      </c>
      <c r="L133" s="2">
        <v>45666</v>
      </c>
      <c r="M133" t="str">
        <f t="shared" si="10"/>
        <v>Admis</v>
      </c>
      <c r="N133" t="str">
        <f t="shared" si="11"/>
        <v>Non Eligible</v>
      </c>
      <c r="O133" t="str">
        <f t="shared" si="12"/>
        <v>RAS</v>
      </c>
      <c r="P133" t="str">
        <f t="shared" si="13"/>
        <v>Hors Data</v>
      </c>
      <c r="Q133">
        <f t="shared" si="14"/>
        <v>17.125</v>
      </c>
      <c r="R133" t="str" cm="1">
        <f t="array" ref="R133">_xlfn.IFS(Q133&gt;=16, "Excellent",Q133&gt;=14, "Très bien", Q133&gt;=12, "Bien", Q133&gt;=10, "Passable", Q133&lt;10, "Insuffisant")</f>
        <v>Excellent</v>
      </c>
    </row>
    <row r="134" spans="1:18">
      <c r="A134" t="s">
        <v>273</v>
      </c>
      <c r="B134" t="s">
        <v>274</v>
      </c>
      <c r="C134" t="s">
        <v>20</v>
      </c>
      <c r="D134" t="s">
        <v>53</v>
      </c>
      <c r="E134" t="s">
        <v>48</v>
      </c>
      <c r="F134">
        <v>17.86</v>
      </c>
      <c r="G134">
        <v>19.79</v>
      </c>
      <c r="H134">
        <v>14.54</v>
      </c>
      <c r="I134">
        <v>18.03</v>
      </c>
      <c r="J134" s="4">
        <v>0.58899999999999997</v>
      </c>
      <c r="K134">
        <v>75000</v>
      </c>
      <c r="L134" s="2">
        <v>46030</v>
      </c>
      <c r="M134" t="str">
        <f t="shared" si="10"/>
        <v>Admis</v>
      </c>
      <c r="N134" t="str">
        <f t="shared" si="11"/>
        <v>Non Eligible</v>
      </c>
      <c r="O134" t="str">
        <f t="shared" si="12"/>
        <v>RAS</v>
      </c>
      <c r="P134" t="str">
        <f t="shared" si="13"/>
        <v>Hors Data</v>
      </c>
      <c r="Q134">
        <f t="shared" si="14"/>
        <v>17.555</v>
      </c>
      <c r="R134" t="str" cm="1">
        <f t="array" ref="R134">_xlfn.IFS(Q134&gt;=16, "Excellent",Q134&gt;=14, "Très bien", Q134&gt;=12, "Bien", Q134&gt;=10, "Passable", Q134&lt;10, "Insuffisant")</f>
        <v>Excellent</v>
      </c>
    </row>
    <row r="135" spans="1:18">
      <c r="A135" t="s">
        <v>275</v>
      </c>
      <c r="B135" t="s">
        <v>24</v>
      </c>
      <c r="C135" t="s">
        <v>25</v>
      </c>
      <c r="D135" t="s">
        <v>34</v>
      </c>
      <c r="E135" t="s">
        <v>48</v>
      </c>
      <c r="F135">
        <v>15.47</v>
      </c>
      <c r="G135">
        <v>15.46</v>
      </c>
      <c r="H135">
        <v>20</v>
      </c>
      <c r="I135">
        <v>20</v>
      </c>
      <c r="J135" s="4">
        <v>0.81699999999999995</v>
      </c>
      <c r="K135">
        <v>50000</v>
      </c>
      <c r="L135" s="2">
        <v>45746</v>
      </c>
      <c r="M135" t="str">
        <f t="shared" si="10"/>
        <v>Admis</v>
      </c>
      <c r="N135" t="str">
        <f t="shared" si="11"/>
        <v>Eligible</v>
      </c>
      <c r="O135" t="str">
        <f t="shared" si="12"/>
        <v>RAS</v>
      </c>
      <c r="P135" t="str">
        <f t="shared" si="13"/>
        <v>Hors Data</v>
      </c>
      <c r="Q135">
        <f t="shared" si="14"/>
        <v>17.732500000000002</v>
      </c>
      <c r="R135" t="str" cm="1">
        <f t="array" ref="R135">_xlfn.IFS(Q135&gt;=16, "Excellent",Q135&gt;=14, "Très bien", Q135&gt;=12, "Bien", Q135&gt;=10, "Passable", Q135&lt;10, "Insuffisant")</f>
        <v>Excellent</v>
      </c>
    </row>
    <row r="136" spans="1:18">
      <c r="A136" t="s">
        <v>276</v>
      </c>
      <c r="B136" t="s">
        <v>125</v>
      </c>
      <c r="C136" t="s">
        <v>25</v>
      </c>
      <c r="D136" t="s">
        <v>26</v>
      </c>
      <c r="E136" t="s">
        <v>22</v>
      </c>
      <c r="F136">
        <v>16.48</v>
      </c>
      <c r="G136">
        <v>15.69</v>
      </c>
      <c r="H136">
        <v>15.21</v>
      </c>
      <c r="I136">
        <v>17.100000000000001</v>
      </c>
      <c r="J136" s="4">
        <v>0.95309999999999995</v>
      </c>
      <c r="K136">
        <v>50000</v>
      </c>
      <c r="L136" s="2">
        <v>45675</v>
      </c>
      <c r="M136" t="str">
        <f t="shared" si="10"/>
        <v>Admis</v>
      </c>
      <c r="N136" t="str">
        <f t="shared" si="11"/>
        <v>Eligible</v>
      </c>
      <c r="O136" t="str">
        <f t="shared" si="12"/>
        <v>RAS</v>
      </c>
      <c r="P136" t="str">
        <f t="shared" si="13"/>
        <v>Data</v>
      </c>
      <c r="Q136">
        <f t="shared" si="14"/>
        <v>16.12</v>
      </c>
      <c r="R136" t="str" cm="1">
        <f t="array" ref="R136">_xlfn.IFS(Q136&gt;=16, "Excellent",Q136&gt;=14, "Très bien", Q136&gt;=12, "Bien", Q136&gt;=10, "Passable", Q136&lt;10, "Insuffisant")</f>
        <v>Excellent</v>
      </c>
    </row>
    <row r="137" spans="1:18">
      <c r="A137" t="s">
        <v>277</v>
      </c>
      <c r="B137" t="s">
        <v>278</v>
      </c>
      <c r="C137" t="s">
        <v>20</v>
      </c>
      <c r="D137" t="s">
        <v>38</v>
      </c>
      <c r="E137" t="s">
        <v>22</v>
      </c>
      <c r="F137">
        <v>16</v>
      </c>
      <c r="G137">
        <v>15.54</v>
      </c>
      <c r="H137">
        <v>16.79</v>
      </c>
      <c r="I137">
        <v>11.1</v>
      </c>
      <c r="J137" s="4">
        <v>0.94479999999999997</v>
      </c>
      <c r="K137">
        <v>60000</v>
      </c>
      <c r="L137" s="2">
        <v>45557</v>
      </c>
      <c r="M137" t="str">
        <f t="shared" si="10"/>
        <v>Admis</v>
      </c>
      <c r="N137" t="str">
        <f t="shared" si="11"/>
        <v>Eligible</v>
      </c>
      <c r="O137" t="str">
        <f t="shared" si="12"/>
        <v>RAS</v>
      </c>
      <c r="P137" t="str">
        <f t="shared" si="13"/>
        <v>Data</v>
      </c>
      <c r="Q137">
        <f t="shared" si="14"/>
        <v>14.8575</v>
      </c>
      <c r="R137" t="str" cm="1">
        <f t="array" ref="R137">_xlfn.IFS(Q137&gt;=16, "Excellent",Q137&gt;=14, "Très bien", Q137&gt;=12, "Bien", Q137&gt;=10, "Passable", Q137&lt;10, "Insuffisant")</f>
        <v>Très bien</v>
      </c>
    </row>
    <row r="138" spans="1:18">
      <c r="A138" t="s">
        <v>279</v>
      </c>
      <c r="B138" t="s">
        <v>280</v>
      </c>
      <c r="C138" t="s">
        <v>25</v>
      </c>
      <c r="D138" t="s">
        <v>38</v>
      </c>
      <c r="E138" t="s">
        <v>22</v>
      </c>
      <c r="F138">
        <v>16.86</v>
      </c>
      <c r="G138">
        <v>14.75</v>
      </c>
      <c r="H138">
        <v>13.97</v>
      </c>
      <c r="I138">
        <v>20</v>
      </c>
      <c r="J138" s="4">
        <v>0.93310000000000004</v>
      </c>
      <c r="K138">
        <v>110000</v>
      </c>
      <c r="L138" s="2">
        <v>45818</v>
      </c>
      <c r="M138" t="str">
        <f t="shared" si="10"/>
        <v>Admis</v>
      </c>
      <c r="N138" t="str">
        <f t="shared" si="11"/>
        <v>Eligible</v>
      </c>
      <c r="O138" t="str">
        <f t="shared" si="12"/>
        <v>RAS</v>
      </c>
      <c r="P138" t="str">
        <f t="shared" si="13"/>
        <v>Data</v>
      </c>
      <c r="Q138">
        <f t="shared" si="14"/>
        <v>16.395</v>
      </c>
      <c r="R138" t="str" cm="1">
        <f t="array" ref="R138">_xlfn.IFS(Q138&gt;=16, "Excellent",Q138&gt;=14, "Très bien", Q138&gt;=12, "Bien", Q138&gt;=10, "Passable", Q138&lt;10, "Insuffisant")</f>
        <v>Excellent</v>
      </c>
    </row>
    <row r="139" spans="1:18">
      <c r="A139" t="s">
        <v>281</v>
      </c>
      <c r="B139" t="s">
        <v>115</v>
      </c>
      <c r="C139" t="s">
        <v>20</v>
      </c>
      <c r="D139" t="s">
        <v>38</v>
      </c>
      <c r="E139" t="s">
        <v>27</v>
      </c>
      <c r="F139">
        <v>12</v>
      </c>
      <c r="G139">
        <v>9.9700000000000006</v>
      </c>
      <c r="H139">
        <v>8.31</v>
      </c>
      <c r="I139">
        <v>9.06</v>
      </c>
      <c r="J139" s="4">
        <v>0.79290000000000005</v>
      </c>
      <c r="K139">
        <v>120000</v>
      </c>
      <c r="L139" s="2">
        <v>45810</v>
      </c>
      <c r="M139" t="str">
        <f t="shared" si="10"/>
        <v>Non admis</v>
      </c>
      <c r="N139" t="str">
        <f t="shared" si="11"/>
        <v>Non Eligible</v>
      </c>
      <c r="O139" t="str">
        <f t="shared" si="12"/>
        <v>A surveiller</v>
      </c>
      <c r="P139" t="str">
        <f t="shared" si="13"/>
        <v>Hors Data</v>
      </c>
      <c r="Q139">
        <f t="shared" si="14"/>
        <v>9.8350000000000009</v>
      </c>
      <c r="R139" t="str" cm="1">
        <f t="array" ref="R139">_xlfn.IFS(Q139&gt;=16, "Excellent",Q139&gt;=14, "Très bien", Q139&gt;=12, "Bien", Q139&gt;=10, "Passable", Q139&lt;10, "Insuffisant")</f>
        <v>Insuffisant</v>
      </c>
    </row>
    <row r="140" spans="1:18">
      <c r="A140" t="s">
        <v>282</v>
      </c>
      <c r="B140" t="s">
        <v>283</v>
      </c>
      <c r="C140" t="s">
        <v>20</v>
      </c>
      <c r="D140" t="s">
        <v>38</v>
      </c>
      <c r="E140" t="s">
        <v>48</v>
      </c>
      <c r="F140">
        <v>16.760000000000002</v>
      </c>
      <c r="G140">
        <v>16.02</v>
      </c>
      <c r="H140">
        <v>15.15</v>
      </c>
      <c r="I140">
        <v>18.649999999999999</v>
      </c>
      <c r="J140" s="4">
        <v>0.83130000000000004</v>
      </c>
      <c r="K140">
        <v>85000</v>
      </c>
      <c r="L140" s="2">
        <v>45930</v>
      </c>
      <c r="M140" t="str">
        <f t="shared" si="10"/>
        <v>Admis</v>
      </c>
      <c r="N140" t="str">
        <f t="shared" si="11"/>
        <v>Eligible</v>
      </c>
      <c r="O140" t="str">
        <f t="shared" si="12"/>
        <v>RAS</v>
      </c>
      <c r="P140" t="str">
        <f t="shared" si="13"/>
        <v>Hors Data</v>
      </c>
      <c r="Q140">
        <f t="shared" si="14"/>
        <v>16.645</v>
      </c>
      <c r="R140" t="str" cm="1">
        <f t="array" ref="R140">_xlfn.IFS(Q140&gt;=16, "Excellent",Q140&gt;=14, "Très bien", Q140&gt;=12, "Bien", Q140&gt;=10, "Passable", Q140&lt;10, "Insuffisant")</f>
        <v>Excellent</v>
      </c>
    </row>
    <row r="141" spans="1:18">
      <c r="A141" t="s">
        <v>284</v>
      </c>
      <c r="B141" t="s">
        <v>285</v>
      </c>
      <c r="C141" t="s">
        <v>20</v>
      </c>
      <c r="D141" t="s">
        <v>53</v>
      </c>
      <c r="E141" t="s">
        <v>27</v>
      </c>
      <c r="F141">
        <v>9.49</v>
      </c>
      <c r="G141">
        <v>10.18</v>
      </c>
      <c r="H141">
        <v>12.33</v>
      </c>
      <c r="I141">
        <v>9.66</v>
      </c>
      <c r="J141" s="4">
        <v>0.95430000000000004</v>
      </c>
      <c r="K141">
        <v>60000</v>
      </c>
      <c r="L141" s="2">
        <v>45676</v>
      </c>
      <c r="M141" t="str">
        <f t="shared" si="10"/>
        <v>Admis</v>
      </c>
      <c r="N141" t="str">
        <f t="shared" si="11"/>
        <v>Non Eligible</v>
      </c>
      <c r="O141" t="str">
        <f t="shared" si="12"/>
        <v>A surveiller</v>
      </c>
      <c r="P141" t="str">
        <f t="shared" si="13"/>
        <v>Hors Data</v>
      </c>
      <c r="Q141">
        <f t="shared" si="14"/>
        <v>10.414999999999999</v>
      </c>
      <c r="R141" t="str" cm="1">
        <f t="array" ref="R141">_xlfn.IFS(Q141&gt;=16, "Excellent",Q141&gt;=14, "Très bien", Q141&gt;=12, "Bien", Q141&gt;=10, "Passable", Q141&lt;10, "Insuffisant")</f>
        <v>Passable</v>
      </c>
    </row>
    <row r="142" spans="1:18">
      <c r="A142" t="s">
        <v>286</v>
      </c>
      <c r="B142" t="s">
        <v>260</v>
      </c>
      <c r="C142" t="s">
        <v>25</v>
      </c>
      <c r="D142" t="s">
        <v>38</v>
      </c>
      <c r="E142" t="s">
        <v>48</v>
      </c>
      <c r="F142">
        <v>11.81</v>
      </c>
      <c r="G142">
        <v>9.3699999999999992</v>
      </c>
      <c r="H142">
        <v>10.33</v>
      </c>
      <c r="I142">
        <v>13.51</v>
      </c>
      <c r="J142" s="4">
        <v>0.80449999999999999</v>
      </c>
      <c r="K142">
        <v>130000</v>
      </c>
      <c r="L142" s="2">
        <v>46036</v>
      </c>
      <c r="M142" t="str">
        <f t="shared" si="10"/>
        <v>Admis</v>
      </c>
      <c r="N142" t="str">
        <f t="shared" si="11"/>
        <v>Non Eligible</v>
      </c>
      <c r="O142" t="str">
        <f t="shared" si="12"/>
        <v>RAS</v>
      </c>
      <c r="P142" t="str">
        <f t="shared" si="13"/>
        <v>Hors Data</v>
      </c>
      <c r="Q142">
        <f t="shared" si="14"/>
        <v>11.254999999999999</v>
      </c>
      <c r="R142" t="str" cm="1">
        <f t="array" ref="R142">_xlfn.IFS(Q142&gt;=16, "Excellent",Q142&gt;=14, "Très bien", Q142&gt;=12, "Bien", Q142&gt;=10, "Passable", Q142&lt;10, "Insuffisant")</f>
        <v>Passable</v>
      </c>
    </row>
    <row r="143" spans="1:18">
      <c r="A143" t="s">
        <v>287</v>
      </c>
      <c r="B143" t="s">
        <v>288</v>
      </c>
      <c r="C143" t="s">
        <v>20</v>
      </c>
      <c r="D143" t="s">
        <v>34</v>
      </c>
      <c r="E143" t="s">
        <v>35</v>
      </c>
      <c r="F143">
        <v>19.489999999999998</v>
      </c>
      <c r="G143">
        <v>19.309999999999999</v>
      </c>
      <c r="H143">
        <v>15.43</v>
      </c>
      <c r="I143">
        <v>15.54</v>
      </c>
      <c r="J143" s="4">
        <v>0.85609999999999997</v>
      </c>
      <c r="K143">
        <v>75000</v>
      </c>
      <c r="L143" s="2">
        <v>46012</v>
      </c>
      <c r="M143" t="str">
        <f t="shared" si="10"/>
        <v>Admis</v>
      </c>
      <c r="N143" t="str">
        <f t="shared" si="11"/>
        <v>Eligible</v>
      </c>
      <c r="O143" t="str">
        <f t="shared" si="12"/>
        <v>RAS</v>
      </c>
      <c r="P143" t="str">
        <f t="shared" si="13"/>
        <v>Hors Data</v>
      </c>
      <c r="Q143">
        <f t="shared" si="14"/>
        <v>17.442499999999999</v>
      </c>
      <c r="R143" t="str" cm="1">
        <f t="array" ref="R143">_xlfn.IFS(Q143&gt;=16, "Excellent",Q143&gt;=14, "Très bien", Q143&gt;=12, "Bien", Q143&gt;=10, "Passable", Q143&lt;10, "Insuffisant")</f>
        <v>Excellent</v>
      </c>
    </row>
    <row r="144" spans="1:18">
      <c r="A144" t="s">
        <v>289</v>
      </c>
      <c r="B144" t="s">
        <v>196</v>
      </c>
      <c r="C144" t="s">
        <v>20</v>
      </c>
      <c r="D144" t="s">
        <v>38</v>
      </c>
      <c r="E144" t="s">
        <v>48</v>
      </c>
      <c r="F144">
        <v>14.42</v>
      </c>
      <c r="G144">
        <v>14.1</v>
      </c>
      <c r="H144">
        <v>16.39</v>
      </c>
      <c r="I144">
        <v>17.13</v>
      </c>
      <c r="J144" s="4">
        <v>0.76539999999999997</v>
      </c>
      <c r="K144">
        <v>60000</v>
      </c>
      <c r="L144" s="2">
        <v>45859</v>
      </c>
      <c r="M144" t="str">
        <f t="shared" si="10"/>
        <v>Admis</v>
      </c>
      <c r="N144" t="str">
        <f t="shared" si="11"/>
        <v>Non Eligible</v>
      </c>
      <c r="O144" t="str">
        <f t="shared" si="12"/>
        <v>RAS</v>
      </c>
      <c r="P144" t="str">
        <f t="shared" si="13"/>
        <v>Hors Data</v>
      </c>
      <c r="Q144">
        <f t="shared" si="14"/>
        <v>15.509999999999998</v>
      </c>
      <c r="R144" t="str" cm="1">
        <f t="array" ref="R144">_xlfn.IFS(Q144&gt;=16, "Excellent",Q144&gt;=14, "Très bien", Q144&gt;=12, "Bien", Q144&gt;=10, "Passable", Q144&lt;10, "Insuffisant")</f>
        <v>Très bien</v>
      </c>
    </row>
    <row r="145" spans="1:18">
      <c r="A145" t="s">
        <v>290</v>
      </c>
      <c r="B145" t="s">
        <v>291</v>
      </c>
      <c r="C145" t="s">
        <v>20</v>
      </c>
      <c r="D145" t="s">
        <v>26</v>
      </c>
      <c r="E145" t="s">
        <v>48</v>
      </c>
      <c r="F145">
        <v>16.28</v>
      </c>
      <c r="G145">
        <v>17.579999999999998</v>
      </c>
      <c r="H145">
        <v>18.96</v>
      </c>
      <c r="I145">
        <v>17.010000000000002</v>
      </c>
      <c r="J145" s="4">
        <v>0.8982</v>
      </c>
      <c r="K145">
        <v>60000</v>
      </c>
      <c r="L145" s="2">
        <v>45662</v>
      </c>
      <c r="M145" t="str">
        <f t="shared" si="10"/>
        <v>Admis</v>
      </c>
      <c r="N145" t="str">
        <f t="shared" si="11"/>
        <v>Eligible</v>
      </c>
      <c r="O145" t="str">
        <f t="shared" si="12"/>
        <v>RAS</v>
      </c>
      <c r="P145" t="str">
        <f t="shared" si="13"/>
        <v>Hors Data</v>
      </c>
      <c r="Q145">
        <f t="shared" si="14"/>
        <v>17.4575</v>
      </c>
      <c r="R145" t="str" cm="1">
        <f t="array" ref="R145">_xlfn.IFS(Q145&gt;=16, "Excellent",Q145&gt;=14, "Très bien", Q145&gt;=12, "Bien", Q145&gt;=10, "Passable", Q145&lt;10, "Insuffisant")</f>
        <v>Excellent</v>
      </c>
    </row>
    <row r="146" spans="1:18">
      <c r="A146" t="s">
        <v>292</v>
      </c>
      <c r="B146" t="s">
        <v>63</v>
      </c>
      <c r="C146" t="s">
        <v>25</v>
      </c>
      <c r="D146" t="s">
        <v>26</v>
      </c>
      <c r="E146" t="s">
        <v>35</v>
      </c>
      <c r="F146">
        <v>13.14</v>
      </c>
      <c r="G146">
        <v>12.49</v>
      </c>
      <c r="H146">
        <v>16.55</v>
      </c>
      <c r="I146">
        <v>16.11</v>
      </c>
      <c r="J146" s="4">
        <v>0.72319999999999995</v>
      </c>
      <c r="K146">
        <v>75000</v>
      </c>
      <c r="L146" s="2">
        <v>45890</v>
      </c>
      <c r="M146" t="str">
        <f t="shared" si="10"/>
        <v>Admis</v>
      </c>
      <c r="N146" t="str">
        <f t="shared" si="11"/>
        <v>Non Eligible</v>
      </c>
      <c r="O146" t="str">
        <f t="shared" si="12"/>
        <v>RAS</v>
      </c>
      <c r="P146" t="str">
        <f t="shared" si="13"/>
        <v>Hors Data</v>
      </c>
      <c r="Q146">
        <f t="shared" si="14"/>
        <v>14.572500000000002</v>
      </c>
      <c r="R146" t="str" cm="1">
        <f t="array" ref="R146">_xlfn.IFS(Q146&gt;=16, "Excellent",Q146&gt;=14, "Très bien", Q146&gt;=12, "Bien", Q146&gt;=10, "Passable", Q146&lt;10, "Insuffisant")</f>
        <v>Très bien</v>
      </c>
    </row>
    <row r="147" spans="1:18">
      <c r="A147" t="s">
        <v>293</v>
      </c>
      <c r="B147" t="s">
        <v>144</v>
      </c>
      <c r="C147" t="s">
        <v>25</v>
      </c>
      <c r="D147" t="s">
        <v>26</v>
      </c>
      <c r="E147" t="s">
        <v>27</v>
      </c>
      <c r="F147">
        <v>11.19</v>
      </c>
      <c r="G147">
        <v>11.46</v>
      </c>
      <c r="H147">
        <v>11.25</v>
      </c>
      <c r="I147">
        <v>11.14</v>
      </c>
      <c r="J147" s="4">
        <v>0.91400000000000003</v>
      </c>
      <c r="K147">
        <v>110000</v>
      </c>
      <c r="L147" s="2">
        <v>46008</v>
      </c>
      <c r="M147" t="str">
        <f t="shared" si="10"/>
        <v>Admis</v>
      </c>
      <c r="N147" t="str">
        <f t="shared" si="11"/>
        <v>Non Eligible</v>
      </c>
      <c r="O147" t="str">
        <f t="shared" si="12"/>
        <v>RAS</v>
      </c>
      <c r="P147" t="str">
        <f t="shared" si="13"/>
        <v>Hors Data</v>
      </c>
      <c r="Q147">
        <f t="shared" si="14"/>
        <v>11.26</v>
      </c>
      <c r="R147" t="str" cm="1">
        <f t="array" ref="R147">_xlfn.IFS(Q147&gt;=16, "Excellent",Q147&gt;=14, "Très bien", Q147&gt;=12, "Bien", Q147&gt;=10, "Passable", Q147&lt;10, "Insuffisant")</f>
        <v>Passable</v>
      </c>
    </row>
    <row r="148" spans="1:18">
      <c r="A148" t="s">
        <v>294</v>
      </c>
      <c r="B148" t="s">
        <v>295</v>
      </c>
      <c r="C148" t="s">
        <v>20</v>
      </c>
      <c r="D148" t="s">
        <v>34</v>
      </c>
      <c r="E148" t="s">
        <v>27</v>
      </c>
      <c r="F148">
        <v>11.01</v>
      </c>
      <c r="G148">
        <v>8.56</v>
      </c>
      <c r="H148">
        <v>14.44</v>
      </c>
      <c r="I148">
        <v>14.79</v>
      </c>
      <c r="J148" s="4">
        <v>0.81269999999999998</v>
      </c>
      <c r="K148">
        <v>80000</v>
      </c>
      <c r="L148" s="2">
        <v>45796</v>
      </c>
      <c r="M148" t="str">
        <f t="shared" si="10"/>
        <v>Admis</v>
      </c>
      <c r="N148" t="str">
        <f t="shared" si="11"/>
        <v>Non Eligible</v>
      </c>
      <c r="O148" t="str">
        <f t="shared" si="12"/>
        <v>RAS</v>
      </c>
      <c r="P148" t="str">
        <f t="shared" si="13"/>
        <v>Hors Data</v>
      </c>
      <c r="Q148">
        <f t="shared" si="14"/>
        <v>12.2</v>
      </c>
      <c r="R148" t="str" cm="1">
        <f t="array" ref="R148">_xlfn.IFS(Q148&gt;=16, "Excellent",Q148&gt;=14, "Très bien", Q148&gt;=12, "Bien", Q148&gt;=10, "Passable", Q148&lt;10, "Insuffisant")</f>
        <v>Bien</v>
      </c>
    </row>
    <row r="149" spans="1:18">
      <c r="A149" t="s">
        <v>296</v>
      </c>
      <c r="B149" t="s">
        <v>297</v>
      </c>
      <c r="C149" t="s">
        <v>20</v>
      </c>
      <c r="D149" t="s">
        <v>38</v>
      </c>
      <c r="E149" t="s">
        <v>27</v>
      </c>
      <c r="F149">
        <v>13.62</v>
      </c>
      <c r="G149">
        <v>16.149999999999999</v>
      </c>
      <c r="H149">
        <v>15.57</v>
      </c>
      <c r="I149">
        <v>8.92</v>
      </c>
      <c r="J149" s="4">
        <v>0.94320000000000004</v>
      </c>
      <c r="K149">
        <v>80000</v>
      </c>
      <c r="L149" s="2">
        <v>45720</v>
      </c>
      <c r="M149" t="str">
        <f t="shared" si="10"/>
        <v>Admis</v>
      </c>
      <c r="N149" t="str">
        <f t="shared" si="11"/>
        <v>Eligible</v>
      </c>
      <c r="O149" t="str">
        <f t="shared" si="12"/>
        <v>RAS</v>
      </c>
      <c r="P149" t="str">
        <f t="shared" si="13"/>
        <v>Hors Data</v>
      </c>
      <c r="Q149">
        <f t="shared" si="14"/>
        <v>13.565</v>
      </c>
      <c r="R149" t="str" cm="1">
        <f t="array" ref="R149">_xlfn.IFS(Q149&gt;=16, "Excellent",Q149&gt;=14, "Très bien", Q149&gt;=12, "Bien", Q149&gt;=10, "Passable", Q149&lt;10, "Insuffisant")</f>
        <v>Bien</v>
      </c>
    </row>
    <row r="150" spans="1:18">
      <c r="A150" t="s">
        <v>298</v>
      </c>
      <c r="B150" t="s">
        <v>272</v>
      </c>
      <c r="C150" t="s">
        <v>25</v>
      </c>
      <c r="D150" t="s">
        <v>41</v>
      </c>
      <c r="E150" t="s">
        <v>27</v>
      </c>
      <c r="F150">
        <v>13.51</v>
      </c>
      <c r="G150">
        <v>12.63</v>
      </c>
      <c r="H150">
        <v>11.38</v>
      </c>
      <c r="I150">
        <v>13.43</v>
      </c>
      <c r="J150" s="4">
        <v>0.70140000000000002</v>
      </c>
      <c r="K150">
        <v>75000</v>
      </c>
      <c r="L150" s="2">
        <v>45890</v>
      </c>
      <c r="M150" t="str">
        <f t="shared" si="10"/>
        <v>Admis</v>
      </c>
      <c r="N150" t="str">
        <f t="shared" si="11"/>
        <v>Non Eligible</v>
      </c>
      <c r="O150" t="str">
        <f t="shared" si="12"/>
        <v>RAS</v>
      </c>
      <c r="P150" t="str">
        <f t="shared" si="13"/>
        <v>Hors Data</v>
      </c>
      <c r="Q150">
        <f t="shared" si="14"/>
        <v>12.737500000000001</v>
      </c>
      <c r="R150" t="str" cm="1">
        <f t="array" ref="R150">_xlfn.IFS(Q150&gt;=16, "Excellent",Q150&gt;=14, "Très bien", Q150&gt;=12, "Bien", Q150&gt;=10, "Passable", Q150&lt;10, "Insuffisant")</f>
        <v>Bien</v>
      </c>
    </row>
    <row r="151" spans="1:18">
      <c r="A151" t="s">
        <v>299</v>
      </c>
      <c r="B151" t="s">
        <v>40</v>
      </c>
      <c r="C151" t="s">
        <v>20</v>
      </c>
      <c r="D151" t="s">
        <v>38</v>
      </c>
      <c r="E151" t="s">
        <v>35</v>
      </c>
      <c r="F151">
        <v>11.8</v>
      </c>
      <c r="G151">
        <v>19.760000000000002</v>
      </c>
      <c r="H151">
        <v>14.75</v>
      </c>
      <c r="I151">
        <v>17.48</v>
      </c>
      <c r="J151" s="4">
        <v>0.68049999999999999</v>
      </c>
      <c r="K151">
        <v>130000</v>
      </c>
      <c r="L151" s="2">
        <v>45784</v>
      </c>
      <c r="M151" t="str">
        <f t="shared" si="10"/>
        <v>Admis</v>
      </c>
      <c r="N151" t="str">
        <f t="shared" si="11"/>
        <v>Non Eligible</v>
      </c>
      <c r="O151" t="str">
        <f t="shared" si="12"/>
        <v>RAS</v>
      </c>
      <c r="P151" t="str">
        <f t="shared" si="13"/>
        <v>Hors Data</v>
      </c>
      <c r="Q151">
        <f t="shared" si="14"/>
        <v>15.947500000000002</v>
      </c>
      <c r="R151" t="str" cm="1">
        <f t="array" ref="R151">_xlfn.IFS(Q151&gt;=16, "Excellent",Q151&gt;=14, "Très bien", Q151&gt;=12, "Bien", Q151&gt;=10, "Passable", Q151&lt;10, "Insuffisant")</f>
        <v>Très bien</v>
      </c>
    </row>
    <row r="152" spans="1:18">
      <c r="A152" t="s">
        <v>300</v>
      </c>
      <c r="B152" t="s">
        <v>301</v>
      </c>
      <c r="C152" t="s">
        <v>25</v>
      </c>
      <c r="D152" t="s">
        <v>21</v>
      </c>
      <c r="E152" t="s">
        <v>22</v>
      </c>
      <c r="F152">
        <v>12.01</v>
      </c>
      <c r="G152">
        <v>11.84</v>
      </c>
      <c r="H152">
        <v>10.3</v>
      </c>
      <c r="I152">
        <v>12.88</v>
      </c>
      <c r="J152" s="4">
        <v>0.81130000000000002</v>
      </c>
      <c r="K152">
        <v>100000</v>
      </c>
      <c r="L152" s="2">
        <v>45816</v>
      </c>
      <c r="M152" t="str">
        <f t="shared" si="10"/>
        <v>Admis</v>
      </c>
      <c r="N152" t="str">
        <f t="shared" si="11"/>
        <v>Non Eligible</v>
      </c>
      <c r="O152" t="str">
        <f t="shared" si="12"/>
        <v>RAS</v>
      </c>
      <c r="P152" t="str">
        <f t="shared" si="13"/>
        <v>Data</v>
      </c>
      <c r="Q152">
        <f t="shared" si="14"/>
        <v>11.757500000000002</v>
      </c>
      <c r="R152" t="str" cm="1">
        <f t="array" ref="R152">_xlfn.IFS(Q152&gt;=16, "Excellent",Q152&gt;=14, "Très bien", Q152&gt;=12, "Bien", Q152&gt;=10, "Passable", Q152&lt;10, "Insuffisant")</f>
        <v>Passable</v>
      </c>
    </row>
    <row r="153" spans="1:18">
      <c r="A153" t="s">
        <v>302</v>
      </c>
      <c r="B153" t="s">
        <v>47</v>
      </c>
      <c r="C153" t="s">
        <v>20</v>
      </c>
      <c r="D153" t="s">
        <v>21</v>
      </c>
      <c r="E153" t="s">
        <v>35</v>
      </c>
      <c r="F153">
        <v>14.14</v>
      </c>
      <c r="G153">
        <v>14.78</v>
      </c>
      <c r="H153">
        <v>11.75</v>
      </c>
      <c r="I153">
        <v>16.5</v>
      </c>
      <c r="J153" s="4">
        <v>0.90129999999999999</v>
      </c>
      <c r="K153">
        <v>100000</v>
      </c>
      <c r="L153" s="2">
        <v>45780</v>
      </c>
      <c r="M153" t="str">
        <f t="shared" si="10"/>
        <v>Admis</v>
      </c>
      <c r="N153" t="str">
        <f t="shared" si="11"/>
        <v>Non Eligible</v>
      </c>
      <c r="O153" t="str">
        <f t="shared" si="12"/>
        <v>RAS</v>
      </c>
      <c r="P153" t="str">
        <f t="shared" si="13"/>
        <v>Hors Data</v>
      </c>
      <c r="Q153">
        <f t="shared" si="14"/>
        <v>14.2925</v>
      </c>
      <c r="R153" t="str" cm="1">
        <f t="array" ref="R153">_xlfn.IFS(Q153&gt;=16, "Excellent",Q153&gt;=14, "Très bien", Q153&gt;=12, "Bien", Q153&gt;=10, "Passable", Q153&lt;10, "Insuffisant")</f>
        <v>Très bien</v>
      </c>
    </row>
    <row r="154" spans="1:18">
      <c r="A154" t="s">
        <v>303</v>
      </c>
      <c r="B154" t="s">
        <v>180</v>
      </c>
      <c r="C154" t="s">
        <v>25</v>
      </c>
      <c r="D154" t="s">
        <v>26</v>
      </c>
      <c r="E154" t="s">
        <v>48</v>
      </c>
      <c r="F154">
        <v>10.38</v>
      </c>
      <c r="G154">
        <v>15.34</v>
      </c>
      <c r="H154">
        <v>12.68</v>
      </c>
      <c r="I154">
        <v>9.83</v>
      </c>
      <c r="J154" s="4">
        <v>0.74870000000000003</v>
      </c>
      <c r="K154">
        <v>80000</v>
      </c>
      <c r="L154" s="2">
        <v>45748</v>
      </c>
      <c r="M154" t="str">
        <f t="shared" si="10"/>
        <v>Admis</v>
      </c>
      <c r="N154" t="str">
        <f t="shared" si="11"/>
        <v>Non Eligible</v>
      </c>
      <c r="O154" t="str">
        <f t="shared" si="12"/>
        <v>RAS</v>
      </c>
      <c r="P154" t="str">
        <f t="shared" si="13"/>
        <v>Hors Data</v>
      </c>
      <c r="Q154">
        <f t="shared" si="14"/>
        <v>12.057499999999999</v>
      </c>
      <c r="R154" t="str" cm="1">
        <f t="array" ref="R154">_xlfn.IFS(Q154&gt;=16, "Excellent",Q154&gt;=14, "Très bien", Q154&gt;=12, "Bien", Q154&gt;=10, "Passable", Q154&lt;10, "Insuffisant")</f>
        <v>Bien</v>
      </c>
    </row>
    <row r="155" spans="1:18">
      <c r="A155" t="s">
        <v>304</v>
      </c>
      <c r="B155" t="s">
        <v>231</v>
      </c>
      <c r="C155" t="s">
        <v>20</v>
      </c>
      <c r="D155" t="s">
        <v>34</v>
      </c>
      <c r="E155" t="s">
        <v>27</v>
      </c>
      <c r="F155">
        <v>17.88</v>
      </c>
      <c r="G155">
        <v>14.55</v>
      </c>
      <c r="H155">
        <v>15.6</v>
      </c>
      <c r="I155">
        <v>14.77</v>
      </c>
      <c r="J155" s="4">
        <v>0.84219999999999995</v>
      </c>
      <c r="K155">
        <v>85000</v>
      </c>
      <c r="L155" s="2">
        <v>46037</v>
      </c>
      <c r="M155" t="str">
        <f t="shared" si="10"/>
        <v>Admis</v>
      </c>
      <c r="N155" t="str">
        <f t="shared" si="11"/>
        <v>Eligible</v>
      </c>
      <c r="O155" t="str">
        <f t="shared" si="12"/>
        <v>RAS</v>
      </c>
      <c r="P155" t="str">
        <f t="shared" si="13"/>
        <v>Hors Data</v>
      </c>
      <c r="Q155">
        <f t="shared" si="14"/>
        <v>15.7</v>
      </c>
      <c r="R155" t="str" cm="1">
        <f t="array" ref="R155">_xlfn.IFS(Q155&gt;=16, "Excellent",Q155&gt;=14, "Très bien", Q155&gt;=12, "Bien", Q155&gt;=10, "Passable", Q155&lt;10, "Insuffisant")</f>
        <v>Très bien</v>
      </c>
    </row>
    <row r="156" spans="1:18">
      <c r="A156" t="s">
        <v>305</v>
      </c>
      <c r="B156" t="s">
        <v>288</v>
      </c>
      <c r="C156" t="s">
        <v>20</v>
      </c>
      <c r="D156" t="s">
        <v>26</v>
      </c>
      <c r="E156" t="s">
        <v>35</v>
      </c>
      <c r="F156">
        <v>10.83</v>
      </c>
      <c r="G156">
        <v>16.63</v>
      </c>
      <c r="H156">
        <v>13.88</v>
      </c>
      <c r="I156">
        <v>16.010000000000002</v>
      </c>
      <c r="J156" s="4">
        <v>0.71230000000000004</v>
      </c>
      <c r="K156">
        <v>120000</v>
      </c>
      <c r="L156" s="2">
        <v>45858</v>
      </c>
      <c r="M156" t="str">
        <f t="shared" si="10"/>
        <v>Admis</v>
      </c>
      <c r="N156" t="str">
        <f t="shared" si="11"/>
        <v>Non Eligible</v>
      </c>
      <c r="O156" t="str">
        <f t="shared" si="12"/>
        <v>RAS</v>
      </c>
      <c r="P156" t="str">
        <f t="shared" si="13"/>
        <v>Hors Data</v>
      </c>
      <c r="Q156">
        <f t="shared" si="14"/>
        <v>14.337500000000002</v>
      </c>
      <c r="R156" t="str" cm="1">
        <f t="array" ref="R156">_xlfn.IFS(Q156&gt;=16, "Excellent",Q156&gt;=14, "Très bien", Q156&gt;=12, "Bien", Q156&gt;=10, "Passable", Q156&lt;10, "Insuffisant")</f>
        <v>Très bien</v>
      </c>
    </row>
    <row r="157" spans="1:18">
      <c r="A157" t="s">
        <v>306</v>
      </c>
      <c r="B157" t="s">
        <v>307</v>
      </c>
      <c r="C157" t="s">
        <v>25</v>
      </c>
      <c r="D157" t="s">
        <v>41</v>
      </c>
      <c r="E157" t="s">
        <v>35</v>
      </c>
      <c r="F157">
        <v>9.59</v>
      </c>
      <c r="G157">
        <v>11.89</v>
      </c>
      <c r="H157">
        <v>5.9</v>
      </c>
      <c r="I157">
        <v>6.29</v>
      </c>
      <c r="J157" s="4">
        <v>0.89759999999999995</v>
      </c>
      <c r="K157">
        <v>100000</v>
      </c>
      <c r="L157" s="2">
        <v>45862</v>
      </c>
      <c r="M157" t="str">
        <f t="shared" si="10"/>
        <v>Non admis</v>
      </c>
      <c r="N157" t="str">
        <f t="shared" si="11"/>
        <v>Non Eligible</v>
      </c>
      <c r="O157" t="str">
        <f t="shared" si="12"/>
        <v>A surveiller</v>
      </c>
      <c r="P157" t="str">
        <f t="shared" si="13"/>
        <v>Hors Data</v>
      </c>
      <c r="Q157">
        <f t="shared" si="14"/>
        <v>8.4175000000000004</v>
      </c>
      <c r="R157" t="str" cm="1">
        <f t="array" ref="R157">_xlfn.IFS(Q157&gt;=16, "Excellent",Q157&gt;=14, "Très bien", Q157&gt;=12, "Bien", Q157&gt;=10, "Passable", Q157&lt;10, "Insuffisant")</f>
        <v>Insuffisant</v>
      </c>
    </row>
    <row r="158" spans="1:18">
      <c r="A158" t="s">
        <v>308</v>
      </c>
      <c r="B158" t="s">
        <v>152</v>
      </c>
      <c r="C158" t="s">
        <v>20</v>
      </c>
      <c r="D158" t="s">
        <v>21</v>
      </c>
      <c r="E158" t="s">
        <v>35</v>
      </c>
      <c r="F158">
        <v>7.09</v>
      </c>
      <c r="G158">
        <v>14.15</v>
      </c>
      <c r="H158">
        <v>17.559999999999999</v>
      </c>
      <c r="I158">
        <v>14.04</v>
      </c>
      <c r="J158" s="4">
        <v>0.92930000000000001</v>
      </c>
      <c r="K158">
        <v>110000</v>
      </c>
      <c r="L158" s="2">
        <v>45993</v>
      </c>
      <c r="M158" t="str">
        <f t="shared" si="10"/>
        <v>Admis</v>
      </c>
      <c r="N158" t="str">
        <f t="shared" si="11"/>
        <v>Non Eligible</v>
      </c>
      <c r="O158" t="str">
        <f t="shared" si="12"/>
        <v>A surveiller</v>
      </c>
      <c r="P158" t="str">
        <f t="shared" si="13"/>
        <v>Hors Data</v>
      </c>
      <c r="Q158">
        <f t="shared" si="14"/>
        <v>13.209999999999999</v>
      </c>
      <c r="R158" t="str" cm="1">
        <f t="array" ref="R158">_xlfn.IFS(Q158&gt;=16, "Excellent",Q158&gt;=14, "Très bien", Q158&gt;=12, "Bien", Q158&gt;=10, "Passable", Q158&lt;10, "Insuffisant")</f>
        <v>Bien</v>
      </c>
    </row>
    <row r="159" spans="1:18">
      <c r="A159" t="s">
        <v>309</v>
      </c>
      <c r="B159" t="s">
        <v>310</v>
      </c>
      <c r="C159" t="s">
        <v>25</v>
      </c>
      <c r="D159" t="s">
        <v>41</v>
      </c>
      <c r="E159" t="s">
        <v>27</v>
      </c>
      <c r="F159">
        <v>11.93</v>
      </c>
      <c r="G159">
        <v>13.54</v>
      </c>
      <c r="H159">
        <v>11.22</v>
      </c>
      <c r="I159">
        <v>12.15</v>
      </c>
      <c r="J159" s="4">
        <v>0.82089999999999996</v>
      </c>
      <c r="K159">
        <v>50000</v>
      </c>
      <c r="L159" s="2">
        <v>45788</v>
      </c>
      <c r="M159" t="str">
        <f t="shared" si="10"/>
        <v>Admis</v>
      </c>
      <c r="N159" t="str">
        <f t="shared" si="11"/>
        <v>Non Eligible</v>
      </c>
      <c r="O159" t="str">
        <f t="shared" si="12"/>
        <v>RAS</v>
      </c>
      <c r="P159" t="str">
        <f t="shared" si="13"/>
        <v>Hors Data</v>
      </c>
      <c r="Q159">
        <f t="shared" si="14"/>
        <v>12.209999999999999</v>
      </c>
      <c r="R159" t="str" cm="1">
        <f t="array" ref="R159">_xlfn.IFS(Q159&gt;=16, "Excellent",Q159&gt;=14, "Très bien", Q159&gt;=12, "Bien", Q159&gt;=10, "Passable", Q159&lt;10, "Insuffisant")</f>
        <v>Bien</v>
      </c>
    </row>
    <row r="160" spans="1:18">
      <c r="A160" t="s">
        <v>311</v>
      </c>
      <c r="B160" t="s">
        <v>224</v>
      </c>
      <c r="C160" t="s">
        <v>25</v>
      </c>
      <c r="D160" t="s">
        <v>38</v>
      </c>
      <c r="E160" t="s">
        <v>22</v>
      </c>
      <c r="F160">
        <v>11.87</v>
      </c>
      <c r="G160">
        <v>15.01</v>
      </c>
      <c r="H160">
        <v>17.46</v>
      </c>
      <c r="I160">
        <v>10.64</v>
      </c>
      <c r="J160" s="4">
        <v>0.6431</v>
      </c>
      <c r="K160">
        <v>120000</v>
      </c>
      <c r="L160" s="2">
        <v>45606</v>
      </c>
      <c r="M160" t="str">
        <f t="shared" si="10"/>
        <v>Admis</v>
      </c>
      <c r="N160" t="str">
        <f t="shared" si="11"/>
        <v>Non Eligible</v>
      </c>
      <c r="O160" t="str">
        <f t="shared" si="12"/>
        <v>RAS</v>
      </c>
      <c r="P160" t="str">
        <f t="shared" si="13"/>
        <v>Data</v>
      </c>
      <c r="Q160">
        <f t="shared" si="14"/>
        <v>13.745000000000001</v>
      </c>
      <c r="R160" t="str" cm="1">
        <f t="array" ref="R160">_xlfn.IFS(Q160&gt;=16, "Excellent",Q160&gt;=14, "Très bien", Q160&gt;=12, "Bien", Q160&gt;=10, "Passable", Q160&lt;10, "Insuffisant")</f>
        <v>Bien</v>
      </c>
    </row>
    <row r="161" spans="1:18">
      <c r="A161" t="s">
        <v>312</v>
      </c>
      <c r="B161" t="s">
        <v>313</v>
      </c>
      <c r="C161" t="s">
        <v>25</v>
      </c>
      <c r="D161" t="s">
        <v>41</v>
      </c>
      <c r="E161" t="s">
        <v>35</v>
      </c>
      <c r="F161">
        <v>17.34</v>
      </c>
      <c r="G161">
        <v>17.350000000000001</v>
      </c>
      <c r="H161">
        <v>15.47</v>
      </c>
      <c r="I161">
        <v>19.100000000000001</v>
      </c>
      <c r="J161" s="4">
        <v>0.83650000000000002</v>
      </c>
      <c r="K161">
        <v>130000</v>
      </c>
      <c r="L161" s="2">
        <v>46132</v>
      </c>
      <c r="M161" t="str">
        <f t="shared" si="10"/>
        <v>Admis</v>
      </c>
      <c r="N161" t="str">
        <f t="shared" si="11"/>
        <v>Eligible</v>
      </c>
      <c r="O161" t="str">
        <f t="shared" si="12"/>
        <v>RAS</v>
      </c>
      <c r="P161" t="str">
        <f t="shared" si="13"/>
        <v>Hors Data</v>
      </c>
      <c r="Q161">
        <f t="shared" si="14"/>
        <v>17.314999999999998</v>
      </c>
      <c r="R161" t="str" cm="1">
        <f t="array" ref="R161">_xlfn.IFS(Q161&gt;=16, "Excellent",Q161&gt;=14, "Très bien", Q161&gt;=12, "Bien", Q161&gt;=10, "Passable", Q161&lt;10, "Insuffisant")</f>
        <v>Excellent</v>
      </c>
    </row>
    <row r="162" spans="1:18">
      <c r="A162" t="s">
        <v>314</v>
      </c>
      <c r="B162" t="s">
        <v>315</v>
      </c>
      <c r="C162" t="s">
        <v>25</v>
      </c>
      <c r="D162" t="s">
        <v>38</v>
      </c>
      <c r="E162" t="s">
        <v>22</v>
      </c>
      <c r="F162">
        <v>15.66</v>
      </c>
      <c r="G162">
        <v>11.46</v>
      </c>
      <c r="H162">
        <v>11.64</v>
      </c>
      <c r="I162">
        <v>15.82</v>
      </c>
      <c r="J162" s="4">
        <v>0.91639999999999999</v>
      </c>
      <c r="K162">
        <v>100000</v>
      </c>
      <c r="L162" s="2">
        <v>45574</v>
      </c>
      <c r="M162" t="str">
        <f t="shared" si="10"/>
        <v>Admis</v>
      </c>
      <c r="N162" t="str">
        <f t="shared" si="11"/>
        <v>Non Eligible</v>
      </c>
      <c r="O162" t="str">
        <f t="shared" si="12"/>
        <v>RAS</v>
      </c>
      <c r="P162" t="str">
        <f t="shared" si="13"/>
        <v>Data</v>
      </c>
      <c r="Q162">
        <f t="shared" si="14"/>
        <v>13.645000000000001</v>
      </c>
      <c r="R162" t="str" cm="1">
        <f t="array" ref="R162">_xlfn.IFS(Q162&gt;=16, "Excellent",Q162&gt;=14, "Très bien", Q162&gt;=12, "Bien", Q162&gt;=10, "Passable", Q162&lt;10, "Insuffisant")</f>
        <v>Bien</v>
      </c>
    </row>
    <row r="163" spans="1:18">
      <c r="A163" t="s">
        <v>316</v>
      </c>
      <c r="B163" t="s">
        <v>317</v>
      </c>
      <c r="C163" t="s">
        <v>25</v>
      </c>
      <c r="D163" t="s">
        <v>41</v>
      </c>
      <c r="E163" t="s">
        <v>27</v>
      </c>
      <c r="F163">
        <v>14.71</v>
      </c>
      <c r="G163">
        <v>11.81</v>
      </c>
      <c r="H163">
        <v>8.17</v>
      </c>
      <c r="I163">
        <v>15</v>
      </c>
      <c r="J163" s="4">
        <v>0.74680000000000002</v>
      </c>
      <c r="K163">
        <v>130000</v>
      </c>
      <c r="L163" s="2">
        <v>45936</v>
      </c>
      <c r="M163" t="str">
        <f t="shared" si="10"/>
        <v>Non admis</v>
      </c>
      <c r="N163" t="str">
        <f t="shared" si="11"/>
        <v>Non Eligible</v>
      </c>
      <c r="O163" t="str">
        <f t="shared" si="12"/>
        <v>A surveiller</v>
      </c>
      <c r="P163" t="str">
        <f t="shared" si="13"/>
        <v>Hors Data</v>
      </c>
      <c r="Q163">
        <f t="shared" si="14"/>
        <v>12.422500000000001</v>
      </c>
      <c r="R163" t="str" cm="1">
        <f t="array" ref="R163">_xlfn.IFS(Q163&gt;=16, "Excellent",Q163&gt;=14, "Très bien", Q163&gt;=12, "Bien", Q163&gt;=10, "Passable", Q163&lt;10, "Insuffisant")</f>
        <v>Bien</v>
      </c>
    </row>
    <row r="164" spans="1:18">
      <c r="A164" t="s">
        <v>318</v>
      </c>
      <c r="B164" t="s">
        <v>19</v>
      </c>
      <c r="C164" t="s">
        <v>20</v>
      </c>
      <c r="D164" t="s">
        <v>21</v>
      </c>
      <c r="E164" t="s">
        <v>35</v>
      </c>
      <c r="F164">
        <v>7.8</v>
      </c>
      <c r="G164">
        <v>8.25</v>
      </c>
      <c r="H164">
        <v>8.6199999999999992</v>
      </c>
      <c r="I164">
        <v>7.23</v>
      </c>
      <c r="J164" s="4">
        <v>0.91080000000000005</v>
      </c>
      <c r="K164">
        <v>90000</v>
      </c>
      <c r="L164" s="2">
        <v>45722</v>
      </c>
      <c r="M164" t="str">
        <f t="shared" si="10"/>
        <v>Non admis</v>
      </c>
      <c r="N164" t="str">
        <f t="shared" si="11"/>
        <v>Non Eligible</v>
      </c>
      <c r="O164" t="str">
        <f t="shared" si="12"/>
        <v>A surveiller</v>
      </c>
      <c r="P164" t="str">
        <f t="shared" si="13"/>
        <v>Hors Data</v>
      </c>
      <c r="Q164">
        <f t="shared" si="14"/>
        <v>7.9750000000000005</v>
      </c>
      <c r="R164" t="str" cm="1">
        <f t="array" ref="R164">_xlfn.IFS(Q164&gt;=16, "Excellent",Q164&gt;=14, "Très bien", Q164&gt;=12, "Bien", Q164&gt;=10, "Passable", Q164&lt;10, "Insuffisant")</f>
        <v>Insuffisant</v>
      </c>
    </row>
    <row r="165" spans="1:18">
      <c r="A165" t="s">
        <v>319</v>
      </c>
      <c r="B165" t="s">
        <v>320</v>
      </c>
      <c r="C165" t="s">
        <v>20</v>
      </c>
      <c r="D165" t="s">
        <v>41</v>
      </c>
      <c r="E165" t="s">
        <v>22</v>
      </c>
      <c r="F165">
        <v>10.18</v>
      </c>
      <c r="G165">
        <v>10.91</v>
      </c>
      <c r="H165">
        <v>8.77</v>
      </c>
      <c r="I165">
        <v>12.82</v>
      </c>
      <c r="J165" s="4">
        <v>0.9526</v>
      </c>
      <c r="K165">
        <v>75000</v>
      </c>
      <c r="L165" s="2">
        <v>45685</v>
      </c>
      <c r="M165" t="str">
        <f t="shared" si="10"/>
        <v>Non admis</v>
      </c>
      <c r="N165" t="str">
        <f t="shared" si="11"/>
        <v>Non Eligible</v>
      </c>
      <c r="O165" t="str">
        <f t="shared" si="12"/>
        <v>A surveiller</v>
      </c>
      <c r="P165" t="str">
        <f t="shared" si="13"/>
        <v>Data</v>
      </c>
      <c r="Q165">
        <f t="shared" si="14"/>
        <v>10.67</v>
      </c>
      <c r="R165" t="str" cm="1">
        <f t="array" ref="R165">_xlfn.IFS(Q165&gt;=16, "Excellent",Q165&gt;=14, "Très bien", Q165&gt;=12, "Bien", Q165&gt;=10, "Passable", Q165&lt;10, "Insuffisant")</f>
        <v>Passable</v>
      </c>
    </row>
    <row r="166" spans="1:18">
      <c r="A166" t="s">
        <v>321</v>
      </c>
      <c r="B166" t="s">
        <v>285</v>
      </c>
      <c r="C166" t="s">
        <v>20</v>
      </c>
      <c r="D166" t="s">
        <v>53</v>
      </c>
      <c r="E166" t="s">
        <v>35</v>
      </c>
      <c r="F166">
        <v>15.02</v>
      </c>
      <c r="G166">
        <v>14.73</v>
      </c>
      <c r="H166">
        <v>10.6</v>
      </c>
      <c r="I166">
        <v>14.57</v>
      </c>
      <c r="J166" s="4">
        <v>0.55000000000000004</v>
      </c>
      <c r="K166">
        <v>90000</v>
      </c>
      <c r="L166" s="2">
        <v>45565</v>
      </c>
      <c r="M166" t="str">
        <f t="shared" si="10"/>
        <v>Admis</v>
      </c>
      <c r="N166" t="str">
        <f t="shared" si="11"/>
        <v>Non Eligible</v>
      </c>
      <c r="O166" t="str">
        <f t="shared" si="12"/>
        <v>RAS</v>
      </c>
      <c r="P166" t="str">
        <f t="shared" si="13"/>
        <v>Hors Data</v>
      </c>
      <c r="Q166">
        <f t="shared" si="14"/>
        <v>13.73</v>
      </c>
      <c r="R166" t="str" cm="1">
        <f t="array" ref="R166">_xlfn.IFS(Q166&gt;=16, "Excellent",Q166&gt;=14, "Très bien", Q166&gt;=12, "Bien", Q166&gt;=10, "Passable", Q166&lt;10, "Insuffisant")</f>
        <v>Bien</v>
      </c>
    </row>
    <row r="167" spans="1:18">
      <c r="A167" t="s">
        <v>322</v>
      </c>
      <c r="B167" t="s">
        <v>323</v>
      </c>
      <c r="C167" t="s">
        <v>25</v>
      </c>
      <c r="D167" t="s">
        <v>21</v>
      </c>
      <c r="E167" t="s">
        <v>22</v>
      </c>
      <c r="F167">
        <v>11.54</v>
      </c>
      <c r="G167">
        <v>14.85</v>
      </c>
      <c r="H167">
        <v>8.76</v>
      </c>
      <c r="I167">
        <v>11.29</v>
      </c>
      <c r="J167" s="4">
        <v>0.86670000000000003</v>
      </c>
      <c r="K167">
        <v>90000</v>
      </c>
      <c r="L167" s="2">
        <v>46166</v>
      </c>
      <c r="M167" t="str">
        <f t="shared" si="10"/>
        <v>Non admis</v>
      </c>
      <c r="N167" t="str">
        <f t="shared" si="11"/>
        <v>Non Eligible</v>
      </c>
      <c r="O167" t="str">
        <f t="shared" si="12"/>
        <v>A surveiller</v>
      </c>
      <c r="P167" t="str">
        <f t="shared" si="13"/>
        <v>Data</v>
      </c>
      <c r="Q167">
        <f t="shared" si="14"/>
        <v>11.61</v>
      </c>
      <c r="R167" t="str" cm="1">
        <f t="array" ref="R167">_xlfn.IFS(Q167&gt;=16, "Excellent",Q167&gt;=14, "Très bien", Q167&gt;=12, "Bien", Q167&gt;=10, "Passable", Q167&lt;10, "Insuffisant")</f>
        <v>Passable</v>
      </c>
    </row>
    <row r="168" spans="1:18">
      <c r="A168" t="s">
        <v>324</v>
      </c>
      <c r="B168" t="s">
        <v>325</v>
      </c>
      <c r="C168" t="s">
        <v>20</v>
      </c>
      <c r="D168" t="s">
        <v>41</v>
      </c>
      <c r="E168" t="s">
        <v>35</v>
      </c>
      <c r="F168">
        <v>15.57</v>
      </c>
      <c r="G168">
        <v>15.62</v>
      </c>
      <c r="H168">
        <v>19.28</v>
      </c>
      <c r="I168">
        <v>15.74</v>
      </c>
      <c r="J168" s="4">
        <v>0.76029999999999998</v>
      </c>
      <c r="K168">
        <v>60000</v>
      </c>
      <c r="L168" s="2">
        <v>45836</v>
      </c>
      <c r="M168" t="str">
        <f t="shared" si="10"/>
        <v>Admis</v>
      </c>
      <c r="N168" t="str">
        <f t="shared" si="11"/>
        <v>Non Eligible</v>
      </c>
      <c r="O168" t="str">
        <f t="shared" si="12"/>
        <v>RAS</v>
      </c>
      <c r="P168" t="str">
        <f t="shared" si="13"/>
        <v>Hors Data</v>
      </c>
      <c r="Q168">
        <f t="shared" si="14"/>
        <v>16.552499999999998</v>
      </c>
      <c r="R168" t="str" cm="1">
        <f t="array" ref="R168">_xlfn.IFS(Q168&gt;=16, "Excellent",Q168&gt;=14, "Très bien", Q168&gt;=12, "Bien", Q168&gt;=10, "Passable", Q168&lt;10, "Insuffisant")</f>
        <v>Excellent</v>
      </c>
    </row>
    <row r="169" spans="1:18">
      <c r="A169" t="s">
        <v>326</v>
      </c>
      <c r="B169" t="s">
        <v>88</v>
      </c>
      <c r="C169" t="s">
        <v>20</v>
      </c>
      <c r="D169" t="s">
        <v>53</v>
      </c>
      <c r="E169" t="s">
        <v>27</v>
      </c>
      <c r="F169">
        <v>9.26</v>
      </c>
      <c r="G169">
        <v>11.82</v>
      </c>
      <c r="H169">
        <v>14.8</v>
      </c>
      <c r="I169">
        <v>11.54</v>
      </c>
      <c r="J169" s="4">
        <v>0.93049999999999999</v>
      </c>
      <c r="K169">
        <v>70000</v>
      </c>
      <c r="L169" s="2">
        <v>45775</v>
      </c>
      <c r="M169" t="str">
        <f t="shared" si="10"/>
        <v>Admis</v>
      </c>
      <c r="N169" t="str">
        <f t="shared" si="11"/>
        <v>Non Eligible</v>
      </c>
      <c r="O169" t="str">
        <f t="shared" si="12"/>
        <v>A surveiller</v>
      </c>
      <c r="P169" t="str">
        <f t="shared" si="13"/>
        <v>Hors Data</v>
      </c>
      <c r="Q169">
        <f t="shared" si="14"/>
        <v>11.854999999999999</v>
      </c>
      <c r="R169" t="str" cm="1">
        <f t="array" ref="R169">_xlfn.IFS(Q169&gt;=16, "Excellent",Q169&gt;=14, "Très bien", Q169&gt;=12, "Bien", Q169&gt;=10, "Passable", Q169&lt;10, "Insuffisant")</f>
        <v>Passable</v>
      </c>
    </row>
    <row r="170" spans="1:18">
      <c r="A170" t="s">
        <v>327</v>
      </c>
      <c r="B170" t="s">
        <v>231</v>
      </c>
      <c r="C170" t="s">
        <v>20</v>
      </c>
      <c r="D170" t="s">
        <v>38</v>
      </c>
      <c r="E170" t="s">
        <v>48</v>
      </c>
      <c r="F170">
        <v>16.14</v>
      </c>
      <c r="G170">
        <v>14.35</v>
      </c>
      <c r="H170">
        <v>20</v>
      </c>
      <c r="I170">
        <v>18.850000000000001</v>
      </c>
      <c r="J170" s="4">
        <v>0.85829999999999995</v>
      </c>
      <c r="K170">
        <v>75000</v>
      </c>
      <c r="L170" s="2">
        <v>46054</v>
      </c>
      <c r="M170" t="str">
        <f t="shared" si="10"/>
        <v>Admis</v>
      </c>
      <c r="N170" t="str">
        <f t="shared" si="11"/>
        <v>Eligible</v>
      </c>
      <c r="O170" t="str">
        <f t="shared" si="12"/>
        <v>RAS</v>
      </c>
      <c r="P170" t="str">
        <f t="shared" si="13"/>
        <v>Hors Data</v>
      </c>
      <c r="Q170">
        <f t="shared" si="14"/>
        <v>17.335000000000001</v>
      </c>
      <c r="R170" t="str" cm="1">
        <f t="array" ref="R170">_xlfn.IFS(Q170&gt;=16, "Excellent",Q170&gt;=14, "Très bien", Q170&gt;=12, "Bien", Q170&gt;=10, "Passable", Q170&lt;10, "Insuffisant")</f>
        <v>Excellent</v>
      </c>
    </row>
    <row r="171" spans="1:18">
      <c r="A171" t="s">
        <v>328</v>
      </c>
      <c r="B171" t="s">
        <v>329</v>
      </c>
      <c r="C171" t="s">
        <v>20</v>
      </c>
      <c r="D171" t="s">
        <v>53</v>
      </c>
      <c r="E171" t="s">
        <v>27</v>
      </c>
      <c r="F171">
        <v>15.33</v>
      </c>
      <c r="G171">
        <v>18.54</v>
      </c>
      <c r="H171">
        <v>12.36</v>
      </c>
      <c r="I171">
        <v>13.48</v>
      </c>
      <c r="J171" s="4">
        <v>0.8236</v>
      </c>
      <c r="K171">
        <v>90000</v>
      </c>
      <c r="L171" s="2">
        <v>45563</v>
      </c>
      <c r="M171" t="str">
        <f t="shared" si="10"/>
        <v>Admis</v>
      </c>
      <c r="N171" t="str">
        <f t="shared" si="11"/>
        <v>Eligible</v>
      </c>
      <c r="O171" t="str">
        <f t="shared" si="12"/>
        <v>RAS</v>
      </c>
      <c r="P171" t="str">
        <f t="shared" si="13"/>
        <v>Hors Data</v>
      </c>
      <c r="Q171">
        <f t="shared" si="14"/>
        <v>14.927499999999998</v>
      </c>
      <c r="R171" t="str" cm="1">
        <f t="array" ref="R171">_xlfn.IFS(Q171&gt;=16, "Excellent",Q171&gt;=14, "Très bien", Q171&gt;=12, "Bien", Q171&gt;=10, "Passable", Q171&lt;10, "Insuffisant")</f>
        <v>Très bien</v>
      </c>
    </row>
    <row r="172" spans="1:18">
      <c r="A172" t="s">
        <v>330</v>
      </c>
      <c r="B172" t="s">
        <v>331</v>
      </c>
      <c r="C172" t="s">
        <v>20</v>
      </c>
      <c r="D172" t="s">
        <v>38</v>
      </c>
      <c r="E172" t="s">
        <v>48</v>
      </c>
      <c r="F172">
        <v>18.61</v>
      </c>
      <c r="G172">
        <v>14.67</v>
      </c>
      <c r="H172">
        <v>14.29</v>
      </c>
      <c r="I172">
        <v>11.2</v>
      </c>
      <c r="J172" s="4">
        <v>0.90839999999999999</v>
      </c>
      <c r="K172">
        <v>60000</v>
      </c>
      <c r="L172" s="2">
        <v>45931</v>
      </c>
      <c r="M172" t="str">
        <f t="shared" si="10"/>
        <v>Admis</v>
      </c>
      <c r="N172" t="str">
        <f t="shared" si="11"/>
        <v>Eligible</v>
      </c>
      <c r="O172" t="str">
        <f t="shared" si="12"/>
        <v>RAS</v>
      </c>
      <c r="P172" t="str">
        <f t="shared" si="13"/>
        <v>Hors Data</v>
      </c>
      <c r="Q172">
        <f t="shared" si="14"/>
        <v>14.692499999999999</v>
      </c>
      <c r="R172" t="str" cm="1">
        <f t="array" ref="R172">_xlfn.IFS(Q172&gt;=16, "Excellent",Q172&gt;=14, "Très bien", Q172&gt;=12, "Bien", Q172&gt;=10, "Passable", Q172&lt;10, "Insuffisant")</f>
        <v>Très bien</v>
      </c>
    </row>
    <row r="173" spans="1:18">
      <c r="A173" t="s">
        <v>332</v>
      </c>
      <c r="B173" t="s">
        <v>161</v>
      </c>
      <c r="C173" t="s">
        <v>20</v>
      </c>
      <c r="D173" t="s">
        <v>21</v>
      </c>
      <c r="E173" t="s">
        <v>27</v>
      </c>
      <c r="F173">
        <v>13.39</v>
      </c>
      <c r="G173">
        <v>14.71</v>
      </c>
      <c r="H173">
        <v>10.61</v>
      </c>
      <c r="I173">
        <v>9.44</v>
      </c>
      <c r="J173" s="4">
        <v>0.91259999999999997</v>
      </c>
      <c r="K173">
        <v>110000</v>
      </c>
      <c r="L173" s="2">
        <v>45882</v>
      </c>
      <c r="M173" t="str">
        <f t="shared" si="10"/>
        <v>Admis</v>
      </c>
      <c r="N173" t="str">
        <f t="shared" si="11"/>
        <v>Non Eligible</v>
      </c>
      <c r="O173" t="str">
        <f t="shared" si="12"/>
        <v>RAS</v>
      </c>
      <c r="P173" t="str">
        <f t="shared" si="13"/>
        <v>Hors Data</v>
      </c>
      <c r="Q173">
        <f t="shared" si="14"/>
        <v>12.0375</v>
      </c>
      <c r="R173" t="str" cm="1">
        <f t="array" ref="R173">_xlfn.IFS(Q173&gt;=16, "Excellent",Q173&gt;=14, "Très bien", Q173&gt;=12, "Bien", Q173&gt;=10, "Passable", Q173&lt;10, "Insuffisant")</f>
        <v>Bien</v>
      </c>
    </row>
    <row r="174" spans="1:18">
      <c r="A174" t="s">
        <v>333</v>
      </c>
      <c r="B174" t="s">
        <v>313</v>
      </c>
      <c r="C174" t="s">
        <v>25</v>
      </c>
      <c r="D174" t="s">
        <v>34</v>
      </c>
      <c r="E174" t="s">
        <v>35</v>
      </c>
      <c r="F174">
        <v>11.83</v>
      </c>
      <c r="G174">
        <v>10.96</v>
      </c>
      <c r="H174">
        <v>12.97</v>
      </c>
      <c r="I174">
        <v>15.24</v>
      </c>
      <c r="J174" s="4">
        <v>0.94269999999999998</v>
      </c>
      <c r="K174">
        <v>60000</v>
      </c>
      <c r="L174" s="2">
        <v>45923</v>
      </c>
      <c r="M174" t="str">
        <f t="shared" si="10"/>
        <v>Admis</v>
      </c>
      <c r="N174" t="str">
        <f t="shared" si="11"/>
        <v>Non Eligible</v>
      </c>
      <c r="O174" t="str">
        <f t="shared" si="12"/>
        <v>RAS</v>
      </c>
      <c r="P174" t="str">
        <f t="shared" si="13"/>
        <v>Hors Data</v>
      </c>
      <c r="Q174">
        <f t="shared" si="14"/>
        <v>12.75</v>
      </c>
      <c r="R174" t="str" cm="1">
        <f t="array" ref="R174">_xlfn.IFS(Q174&gt;=16, "Excellent",Q174&gt;=14, "Très bien", Q174&gt;=12, "Bien", Q174&gt;=10, "Passable", Q174&lt;10, "Insuffisant")</f>
        <v>Bien</v>
      </c>
    </row>
    <row r="175" spans="1:18">
      <c r="A175" t="s">
        <v>334</v>
      </c>
      <c r="B175" t="s">
        <v>119</v>
      </c>
      <c r="C175" t="s">
        <v>25</v>
      </c>
      <c r="D175" t="s">
        <v>38</v>
      </c>
      <c r="E175" t="s">
        <v>27</v>
      </c>
      <c r="F175">
        <v>15.71</v>
      </c>
      <c r="G175">
        <v>18.71</v>
      </c>
      <c r="H175">
        <v>17.37</v>
      </c>
      <c r="I175">
        <v>17.010000000000002</v>
      </c>
      <c r="J175" s="4">
        <v>0.85809999999999997</v>
      </c>
      <c r="K175">
        <v>130000</v>
      </c>
      <c r="L175" s="2">
        <v>45622</v>
      </c>
      <c r="M175" t="str">
        <f t="shared" si="10"/>
        <v>Admis</v>
      </c>
      <c r="N175" t="str">
        <f t="shared" si="11"/>
        <v>Eligible</v>
      </c>
      <c r="O175" t="str">
        <f t="shared" si="12"/>
        <v>RAS</v>
      </c>
      <c r="P175" t="str">
        <f t="shared" si="13"/>
        <v>Hors Data</v>
      </c>
      <c r="Q175">
        <f t="shared" si="14"/>
        <v>17.200000000000003</v>
      </c>
      <c r="R175" t="str" cm="1">
        <f t="array" ref="R175">_xlfn.IFS(Q175&gt;=16, "Excellent",Q175&gt;=14, "Très bien", Q175&gt;=12, "Bien", Q175&gt;=10, "Passable", Q175&lt;10, "Insuffisant")</f>
        <v>Excellent</v>
      </c>
    </row>
    <row r="176" spans="1:18">
      <c r="A176" t="s">
        <v>335</v>
      </c>
      <c r="B176" t="s">
        <v>104</v>
      </c>
      <c r="C176" t="s">
        <v>25</v>
      </c>
      <c r="D176" t="s">
        <v>53</v>
      </c>
      <c r="E176" t="s">
        <v>22</v>
      </c>
      <c r="F176">
        <v>8.2200000000000006</v>
      </c>
      <c r="G176">
        <v>8.5299999999999994</v>
      </c>
      <c r="H176">
        <v>8.23</v>
      </c>
      <c r="I176">
        <v>7.63</v>
      </c>
      <c r="J176" s="4">
        <v>0.71509999999999996</v>
      </c>
      <c r="K176">
        <v>100000</v>
      </c>
      <c r="L176" s="2">
        <v>46202</v>
      </c>
      <c r="M176" t="str">
        <f t="shared" si="10"/>
        <v>Non admis</v>
      </c>
      <c r="N176" t="str">
        <f t="shared" si="11"/>
        <v>Non Eligible</v>
      </c>
      <c r="O176" t="str">
        <f t="shared" si="12"/>
        <v>A surveiller</v>
      </c>
      <c r="P176" t="str">
        <f t="shared" si="13"/>
        <v>Data</v>
      </c>
      <c r="Q176">
        <f t="shared" si="14"/>
        <v>8.1524999999999999</v>
      </c>
      <c r="R176" t="str" cm="1">
        <f t="array" ref="R176">_xlfn.IFS(Q176&gt;=16, "Excellent",Q176&gt;=14, "Très bien", Q176&gt;=12, "Bien", Q176&gt;=10, "Passable", Q176&lt;10, "Insuffisant")</f>
        <v>Insuffisant</v>
      </c>
    </row>
    <row r="177" spans="1:18">
      <c r="A177" t="s">
        <v>336</v>
      </c>
      <c r="B177" t="s">
        <v>337</v>
      </c>
      <c r="C177" t="s">
        <v>20</v>
      </c>
      <c r="D177" t="s">
        <v>38</v>
      </c>
      <c r="E177" t="s">
        <v>35</v>
      </c>
      <c r="F177">
        <v>4.01</v>
      </c>
      <c r="G177">
        <v>7.74</v>
      </c>
      <c r="H177">
        <v>10.33</v>
      </c>
      <c r="I177">
        <v>10.52</v>
      </c>
      <c r="J177" s="4">
        <v>0.93520000000000003</v>
      </c>
      <c r="K177">
        <v>75000</v>
      </c>
      <c r="L177" s="2">
        <v>45702</v>
      </c>
      <c r="M177" t="str">
        <f t="shared" si="10"/>
        <v>Admis</v>
      </c>
      <c r="N177" t="str">
        <f t="shared" si="11"/>
        <v>Non Eligible</v>
      </c>
      <c r="O177" t="str">
        <f t="shared" si="12"/>
        <v>A surveiller</v>
      </c>
      <c r="P177" t="str">
        <f t="shared" si="13"/>
        <v>Hors Data</v>
      </c>
      <c r="Q177">
        <f t="shared" si="14"/>
        <v>8.1499999999999986</v>
      </c>
      <c r="R177" t="str" cm="1">
        <f t="array" ref="R177">_xlfn.IFS(Q177&gt;=16, "Excellent",Q177&gt;=14, "Très bien", Q177&gt;=12, "Bien", Q177&gt;=10, "Passable", Q177&lt;10, "Insuffisant")</f>
        <v>Insuffisant</v>
      </c>
    </row>
    <row r="178" spans="1:18">
      <c r="A178" t="s">
        <v>338</v>
      </c>
      <c r="B178" t="s">
        <v>146</v>
      </c>
      <c r="C178" t="s">
        <v>25</v>
      </c>
      <c r="D178" t="s">
        <v>41</v>
      </c>
      <c r="E178" t="s">
        <v>48</v>
      </c>
      <c r="F178">
        <v>13.19</v>
      </c>
      <c r="G178">
        <v>14.75</v>
      </c>
      <c r="H178">
        <v>14.36</v>
      </c>
      <c r="I178">
        <v>9</v>
      </c>
      <c r="J178" s="4">
        <v>0.83160000000000001</v>
      </c>
      <c r="K178">
        <v>80000</v>
      </c>
      <c r="L178" s="2">
        <v>46010</v>
      </c>
      <c r="M178" t="str">
        <f t="shared" si="10"/>
        <v>Admis</v>
      </c>
      <c r="N178" t="str">
        <f t="shared" si="11"/>
        <v>Eligible</v>
      </c>
      <c r="O178" t="str">
        <f t="shared" si="12"/>
        <v>RAS</v>
      </c>
      <c r="P178" t="str">
        <f t="shared" si="13"/>
        <v>Hors Data</v>
      </c>
      <c r="Q178">
        <f t="shared" si="14"/>
        <v>12.824999999999999</v>
      </c>
      <c r="R178" t="str" cm="1">
        <f t="array" ref="R178">_xlfn.IFS(Q178&gt;=16, "Excellent",Q178&gt;=14, "Très bien", Q178&gt;=12, "Bien", Q178&gt;=10, "Passable", Q178&lt;10, "Insuffisant")</f>
        <v>Bien</v>
      </c>
    </row>
    <row r="179" spans="1:18">
      <c r="A179" t="s">
        <v>339</v>
      </c>
      <c r="B179" t="s">
        <v>340</v>
      </c>
      <c r="C179" t="s">
        <v>20</v>
      </c>
      <c r="D179" t="s">
        <v>41</v>
      </c>
      <c r="E179" t="s">
        <v>35</v>
      </c>
      <c r="F179">
        <v>15.34</v>
      </c>
      <c r="G179">
        <v>19.03</v>
      </c>
      <c r="H179">
        <v>11.89</v>
      </c>
      <c r="I179">
        <v>13.34</v>
      </c>
      <c r="J179" s="4">
        <v>0.91769999999999996</v>
      </c>
      <c r="K179">
        <v>100000</v>
      </c>
      <c r="L179" s="2">
        <v>46058</v>
      </c>
      <c r="M179" t="str">
        <f t="shared" si="10"/>
        <v>Admis</v>
      </c>
      <c r="N179" t="str">
        <f t="shared" si="11"/>
        <v>Non Eligible</v>
      </c>
      <c r="O179" t="str">
        <f t="shared" si="12"/>
        <v>RAS</v>
      </c>
      <c r="P179" t="str">
        <f t="shared" si="13"/>
        <v>Hors Data</v>
      </c>
      <c r="Q179">
        <f t="shared" si="14"/>
        <v>14.900000000000002</v>
      </c>
      <c r="R179" t="str" cm="1">
        <f t="array" ref="R179">_xlfn.IFS(Q179&gt;=16, "Excellent",Q179&gt;=14, "Très bien", Q179&gt;=12, "Bien", Q179&gt;=10, "Passable", Q179&lt;10, "Insuffisant")</f>
        <v>Très bien</v>
      </c>
    </row>
    <row r="180" spans="1:18">
      <c r="A180" t="s">
        <v>341</v>
      </c>
      <c r="B180" t="s">
        <v>342</v>
      </c>
      <c r="C180" t="s">
        <v>25</v>
      </c>
      <c r="D180" t="s">
        <v>38</v>
      </c>
      <c r="E180" t="s">
        <v>35</v>
      </c>
      <c r="F180">
        <v>16.39</v>
      </c>
      <c r="G180">
        <v>13.75</v>
      </c>
      <c r="H180">
        <v>17.829999999999998</v>
      </c>
      <c r="I180">
        <v>14.96</v>
      </c>
      <c r="J180" s="4">
        <v>0.77470000000000006</v>
      </c>
      <c r="K180">
        <v>50000</v>
      </c>
      <c r="L180" s="2">
        <v>45776</v>
      </c>
      <c r="M180" t="str">
        <f t="shared" si="10"/>
        <v>Admis</v>
      </c>
      <c r="N180" t="str">
        <f t="shared" si="11"/>
        <v>Non Eligible</v>
      </c>
      <c r="O180" t="str">
        <f t="shared" si="12"/>
        <v>RAS</v>
      </c>
      <c r="P180" t="str">
        <f t="shared" si="13"/>
        <v>Hors Data</v>
      </c>
      <c r="Q180">
        <f t="shared" si="14"/>
        <v>15.7325</v>
      </c>
      <c r="R180" t="str" cm="1">
        <f t="array" ref="R180">_xlfn.IFS(Q180&gt;=16, "Excellent",Q180&gt;=14, "Très bien", Q180&gt;=12, "Bien", Q180&gt;=10, "Passable", Q180&lt;10, "Insuffisant")</f>
        <v>Très bien</v>
      </c>
    </row>
    <row r="181" spans="1:18">
      <c r="A181" t="s">
        <v>343</v>
      </c>
      <c r="B181" t="s">
        <v>344</v>
      </c>
      <c r="C181" t="s">
        <v>25</v>
      </c>
      <c r="D181" t="s">
        <v>38</v>
      </c>
      <c r="E181" t="s">
        <v>22</v>
      </c>
      <c r="F181">
        <v>14.34</v>
      </c>
      <c r="G181">
        <v>12.98</v>
      </c>
      <c r="H181">
        <v>14.93</v>
      </c>
      <c r="I181">
        <v>15.56</v>
      </c>
      <c r="J181" s="4">
        <v>0.74880000000000002</v>
      </c>
      <c r="K181">
        <v>100000</v>
      </c>
      <c r="L181" s="2">
        <v>45627</v>
      </c>
      <c r="M181" t="str">
        <f t="shared" si="10"/>
        <v>Admis</v>
      </c>
      <c r="N181" t="str">
        <f t="shared" si="11"/>
        <v>Non Eligible</v>
      </c>
      <c r="O181" t="str">
        <f t="shared" si="12"/>
        <v>RAS</v>
      </c>
      <c r="P181" t="str">
        <f t="shared" si="13"/>
        <v>Data</v>
      </c>
      <c r="Q181">
        <f t="shared" si="14"/>
        <v>14.452500000000001</v>
      </c>
      <c r="R181" t="str" cm="1">
        <f t="array" ref="R181">_xlfn.IFS(Q181&gt;=16, "Excellent",Q181&gt;=14, "Très bien", Q181&gt;=12, "Bien", Q181&gt;=10, "Passable", Q181&lt;10, "Insuffisant")</f>
        <v>Très bien</v>
      </c>
    </row>
    <row r="182" spans="1:18">
      <c r="A182" t="s">
        <v>345</v>
      </c>
      <c r="B182" t="s">
        <v>346</v>
      </c>
      <c r="C182" t="s">
        <v>25</v>
      </c>
      <c r="D182" t="s">
        <v>53</v>
      </c>
      <c r="E182" t="s">
        <v>22</v>
      </c>
      <c r="F182">
        <v>13.67</v>
      </c>
      <c r="G182">
        <v>10.89</v>
      </c>
      <c r="H182">
        <v>11.91</v>
      </c>
      <c r="I182">
        <v>15.05</v>
      </c>
      <c r="J182" s="4">
        <v>0.74060000000000004</v>
      </c>
      <c r="K182">
        <v>90000</v>
      </c>
      <c r="L182" s="2">
        <v>45743</v>
      </c>
      <c r="M182" t="str">
        <f t="shared" si="10"/>
        <v>Admis</v>
      </c>
      <c r="N182" t="str">
        <f t="shared" si="11"/>
        <v>Non Eligible</v>
      </c>
      <c r="O182" t="str">
        <f t="shared" si="12"/>
        <v>RAS</v>
      </c>
      <c r="P182" t="str">
        <f t="shared" si="13"/>
        <v>Data</v>
      </c>
      <c r="Q182">
        <f t="shared" si="14"/>
        <v>12.879999999999999</v>
      </c>
      <c r="R182" t="str" cm="1">
        <f t="array" ref="R182">_xlfn.IFS(Q182&gt;=16, "Excellent",Q182&gt;=14, "Très bien", Q182&gt;=12, "Bien", Q182&gt;=10, "Passable", Q182&lt;10, "Insuffisant")</f>
        <v>Bien</v>
      </c>
    </row>
    <row r="183" spans="1:18">
      <c r="A183" t="s">
        <v>347</v>
      </c>
      <c r="B183" t="s">
        <v>231</v>
      </c>
      <c r="C183" t="s">
        <v>20</v>
      </c>
      <c r="D183" t="s">
        <v>41</v>
      </c>
      <c r="E183" t="s">
        <v>48</v>
      </c>
      <c r="F183">
        <v>16.73</v>
      </c>
      <c r="G183">
        <v>20</v>
      </c>
      <c r="H183">
        <v>14.99</v>
      </c>
      <c r="I183">
        <v>13.33</v>
      </c>
      <c r="J183" s="4">
        <v>0.88170000000000004</v>
      </c>
      <c r="K183">
        <v>70000</v>
      </c>
      <c r="L183" s="2">
        <v>46100</v>
      </c>
      <c r="M183" t="str">
        <f t="shared" si="10"/>
        <v>Admis</v>
      </c>
      <c r="N183" t="str">
        <f t="shared" si="11"/>
        <v>Eligible</v>
      </c>
      <c r="O183" t="str">
        <f t="shared" si="12"/>
        <v>RAS</v>
      </c>
      <c r="P183" t="str">
        <f t="shared" si="13"/>
        <v>Hors Data</v>
      </c>
      <c r="Q183">
        <f t="shared" si="14"/>
        <v>16.262500000000003</v>
      </c>
      <c r="R183" t="str" cm="1">
        <f t="array" ref="R183">_xlfn.IFS(Q183&gt;=16, "Excellent",Q183&gt;=14, "Très bien", Q183&gt;=12, "Bien", Q183&gt;=10, "Passable", Q183&lt;10, "Insuffisant")</f>
        <v>Excellent</v>
      </c>
    </row>
    <row r="184" spans="1:18">
      <c r="A184" t="s">
        <v>348</v>
      </c>
      <c r="B184" t="s">
        <v>235</v>
      </c>
      <c r="C184" t="s">
        <v>20</v>
      </c>
      <c r="D184" t="s">
        <v>26</v>
      </c>
      <c r="E184" t="s">
        <v>27</v>
      </c>
      <c r="F184">
        <v>14.67</v>
      </c>
      <c r="G184">
        <v>19.079999999999998</v>
      </c>
      <c r="H184">
        <v>15.35</v>
      </c>
      <c r="I184">
        <v>17.54</v>
      </c>
      <c r="J184" s="4">
        <v>0.83099999999999996</v>
      </c>
      <c r="K184">
        <v>120000</v>
      </c>
      <c r="L184" s="2">
        <v>46170</v>
      </c>
      <c r="M184" t="str">
        <f t="shared" si="10"/>
        <v>Admis</v>
      </c>
      <c r="N184" t="str">
        <f t="shared" si="11"/>
        <v>Eligible</v>
      </c>
      <c r="O184" t="str">
        <f t="shared" si="12"/>
        <v>RAS</v>
      </c>
      <c r="P184" t="str">
        <f t="shared" si="13"/>
        <v>Hors Data</v>
      </c>
      <c r="Q184">
        <f t="shared" si="14"/>
        <v>16.66</v>
      </c>
      <c r="R184" t="str" cm="1">
        <f t="array" ref="R184">_xlfn.IFS(Q184&gt;=16, "Excellent",Q184&gt;=14, "Très bien", Q184&gt;=12, "Bien", Q184&gt;=10, "Passable", Q184&lt;10, "Insuffisant")</f>
        <v>Excellent</v>
      </c>
    </row>
    <row r="185" spans="1:18">
      <c r="A185" t="s">
        <v>349</v>
      </c>
      <c r="B185" t="s">
        <v>270</v>
      </c>
      <c r="C185" t="s">
        <v>25</v>
      </c>
      <c r="D185" t="s">
        <v>26</v>
      </c>
      <c r="E185" t="s">
        <v>22</v>
      </c>
      <c r="F185">
        <v>18.09</v>
      </c>
      <c r="G185">
        <v>14.12</v>
      </c>
      <c r="H185">
        <v>18.05</v>
      </c>
      <c r="I185">
        <v>16.18</v>
      </c>
      <c r="J185" s="4">
        <v>0.90920000000000001</v>
      </c>
      <c r="K185">
        <v>90000</v>
      </c>
      <c r="L185" s="2">
        <v>46191</v>
      </c>
      <c r="M185" t="str">
        <f t="shared" si="10"/>
        <v>Admis</v>
      </c>
      <c r="N185" t="str">
        <f t="shared" si="11"/>
        <v>Eligible</v>
      </c>
      <c r="O185" t="str">
        <f t="shared" si="12"/>
        <v>RAS</v>
      </c>
      <c r="P185" t="str">
        <f t="shared" si="13"/>
        <v>Data</v>
      </c>
      <c r="Q185">
        <f t="shared" si="14"/>
        <v>16.61</v>
      </c>
      <c r="R185" t="str" cm="1">
        <f t="array" ref="R185">_xlfn.IFS(Q185&gt;=16, "Excellent",Q185&gt;=14, "Très bien", Q185&gt;=12, "Bien", Q185&gt;=10, "Passable", Q185&lt;10, "Insuffisant")</f>
        <v>Excellent</v>
      </c>
    </row>
    <row r="186" spans="1:18">
      <c r="A186" t="s">
        <v>350</v>
      </c>
      <c r="B186" t="s">
        <v>351</v>
      </c>
      <c r="C186" t="s">
        <v>20</v>
      </c>
      <c r="D186" t="s">
        <v>38</v>
      </c>
      <c r="E186" t="s">
        <v>35</v>
      </c>
      <c r="F186">
        <v>15.42</v>
      </c>
      <c r="G186">
        <v>16.68</v>
      </c>
      <c r="H186">
        <v>17.07</v>
      </c>
      <c r="I186">
        <v>15.69</v>
      </c>
      <c r="J186" s="4">
        <v>0.89990000000000003</v>
      </c>
      <c r="K186">
        <v>60000</v>
      </c>
      <c r="L186" s="2">
        <v>45694</v>
      </c>
      <c r="M186" t="str">
        <f t="shared" si="10"/>
        <v>Admis</v>
      </c>
      <c r="N186" t="str">
        <f t="shared" si="11"/>
        <v>Eligible</v>
      </c>
      <c r="O186" t="str">
        <f t="shared" si="12"/>
        <v>RAS</v>
      </c>
      <c r="P186" t="str">
        <f t="shared" si="13"/>
        <v>Hors Data</v>
      </c>
      <c r="Q186">
        <f t="shared" si="14"/>
        <v>16.215</v>
      </c>
      <c r="R186" t="str" cm="1">
        <f t="array" ref="R186">_xlfn.IFS(Q186&gt;=16, "Excellent",Q186&gt;=14, "Très bien", Q186&gt;=12, "Bien", Q186&gt;=10, "Passable", Q186&lt;10, "Insuffisant")</f>
        <v>Excellent</v>
      </c>
    </row>
    <row r="187" spans="1:18">
      <c r="A187" t="s">
        <v>352</v>
      </c>
      <c r="B187" t="s">
        <v>115</v>
      </c>
      <c r="C187" t="s">
        <v>20</v>
      </c>
      <c r="D187" t="s">
        <v>34</v>
      </c>
      <c r="E187" t="s">
        <v>27</v>
      </c>
      <c r="F187">
        <v>15.97</v>
      </c>
      <c r="G187">
        <v>12.87</v>
      </c>
      <c r="H187">
        <v>14.85</v>
      </c>
      <c r="I187">
        <v>13.86</v>
      </c>
      <c r="J187" s="4">
        <v>0.77890000000000004</v>
      </c>
      <c r="K187">
        <v>100000</v>
      </c>
      <c r="L187" s="2">
        <v>45960</v>
      </c>
      <c r="M187" t="str">
        <f t="shared" si="10"/>
        <v>Admis</v>
      </c>
      <c r="N187" t="str">
        <f t="shared" si="11"/>
        <v>Non Eligible</v>
      </c>
      <c r="O187" t="str">
        <f t="shared" si="12"/>
        <v>RAS</v>
      </c>
      <c r="P187" t="str">
        <f t="shared" si="13"/>
        <v>Hors Data</v>
      </c>
      <c r="Q187">
        <f t="shared" si="14"/>
        <v>14.387499999999999</v>
      </c>
      <c r="R187" t="str" cm="1">
        <f t="array" ref="R187">_xlfn.IFS(Q187&gt;=16, "Excellent",Q187&gt;=14, "Très bien", Q187&gt;=12, "Bien", Q187&gt;=10, "Passable", Q187&lt;10, "Insuffisant")</f>
        <v>Très bien</v>
      </c>
    </row>
    <row r="188" spans="1:18">
      <c r="A188" t="s">
        <v>353</v>
      </c>
      <c r="B188" t="s">
        <v>354</v>
      </c>
      <c r="C188" t="s">
        <v>20</v>
      </c>
      <c r="D188" t="s">
        <v>53</v>
      </c>
      <c r="E188" t="s">
        <v>27</v>
      </c>
      <c r="F188">
        <v>6.61</v>
      </c>
      <c r="G188">
        <v>14.29</v>
      </c>
      <c r="H188">
        <v>11.55</v>
      </c>
      <c r="I188">
        <v>12.75</v>
      </c>
      <c r="J188" s="4">
        <v>0.77200000000000002</v>
      </c>
      <c r="K188">
        <v>80000</v>
      </c>
      <c r="L188" s="2">
        <v>45641</v>
      </c>
      <c r="M188" t="str">
        <f t="shared" si="10"/>
        <v>Admis</v>
      </c>
      <c r="N188" t="str">
        <f t="shared" si="11"/>
        <v>Non Eligible</v>
      </c>
      <c r="O188" t="str">
        <f t="shared" si="12"/>
        <v>A surveiller</v>
      </c>
      <c r="P188" t="str">
        <f t="shared" si="13"/>
        <v>Hors Data</v>
      </c>
      <c r="Q188">
        <f t="shared" si="14"/>
        <v>11.3</v>
      </c>
      <c r="R188" t="str" cm="1">
        <f t="array" ref="R188">_xlfn.IFS(Q188&gt;=16, "Excellent",Q188&gt;=14, "Très bien", Q188&gt;=12, "Bien", Q188&gt;=10, "Passable", Q188&lt;10, "Insuffisant")</f>
        <v>Passable</v>
      </c>
    </row>
    <row r="189" spans="1:18">
      <c r="A189" t="s">
        <v>355</v>
      </c>
      <c r="B189" t="s">
        <v>47</v>
      </c>
      <c r="C189" t="s">
        <v>20</v>
      </c>
      <c r="D189" t="s">
        <v>26</v>
      </c>
      <c r="E189" t="s">
        <v>22</v>
      </c>
      <c r="F189">
        <v>18.260000000000002</v>
      </c>
      <c r="G189">
        <v>15.02</v>
      </c>
      <c r="H189">
        <v>20</v>
      </c>
      <c r="I189">
        <v>16.11</v>
      </c>
      <c r="J189" s="4">
        <v>0.83209999999999995</v>
      </c>
      <c r="K189">
        <v>110000</v>
      </c>
      <c r="L189" s="2">
        <v>46033</v>
      </c>
      <c r="M189" t="str">
        <f t="shared" si="10"/>
        <v>Admis</v>
      </c>
      <c r="N189" t="str">
        <f t="shared" si="11"/>
        <v>Eligible</v>
      </c>
      <c r="O189" t="str">
        <f t="shared" si="12"/>
        <v>RAS</v>
      </c>
      <c r="P189" t="str">
        <f t="shared" si="13"/>
        <v>Data</v>
      </c>
      <c r="Q189">
        <f t="shared" si="14"/>
        <v>17.3475</v>
      </c>
      <c r="R189" t="str" cm="1">
        <f t="array" ref="R189">_xlfn.IFS(Q189&gt;=16, "Excellent",Q189&gt;=14, "Très bien", Q189&gt;=12, "Bien", Q189&gt;=10, "Passable", Q189&lt;10, "Insuffisant")</f>
        <v>Excellent</v>
      </c>
    </row>
    <row r="190" spans="1:18">
      <c r="A190" t="s">
        <v>356</v>
      </c>
      <c r="B190" t="s">
        <v>357</v>
      </c>
      <c r="C190" t="s">
        <v>20</v>
      </c>
      <c r="D190" t="s">
        <v>34</v>
      </c>
      <c r="E190" t="s">
        <v>48</v>
      </c>
      <c r="F190">
        <v>17.04</v>
      </c>
      <c r="G190">
        <v>13.64</v>
      </c>
      <c r="H190">
        <v>16.88</v>
      </c>
      <c r="I190">
        <v>14.99</v>
      </c>
      <c r="J190" s="4">
        <v>0.90059999999999996</v>
      </c>
      <c r="K190">
        <v>85000</v>
      </c>
      <c r="L190" s="2">
        <v>45827</v>
      </c>
      <c r="M190" t="str">
        <f t="shared" si="10"/>
        <v>Admis</v>
      </c>
      <c r="N190" t="str">
        <f t="shared" si="11"/>
        <v>Eligible</v>
      </c>
      <c r="O190" t="str">
        <f t="shared" si="12"/>
        <v>RAS</v>
      </c>
      <c r="P190" t="str">
        <f t="shared" si="13"/>
        <v>Hors Data</v>
      </c>
      <c r="Q190">
        <f t="shared" si="14"/>
        <v>15.637500000000001</v>
      </c>
      <c r="R190" t="str" cm="1">
        <f t="array" ref="R190">_xlfn.IFS(Q190&gt;=16, "Excellent",Q190&gt;=14, "Très bien", Q190&gt;=12, "Bien", Q190&gt;=10, "Passable", Q190&lt;10, "Insuffisant")</f>
        <v>Très bien</v>
      </c>
    </row>
    <row r="191" spans="1:18">
      <c r="A191" t="s">
        <v>358</v>
      </c>
      <c r="B191" t="s">
        <v>359</v>
      </c>
      <c r="C191" t="s">
        <v>20</v>
      </c>
      <c r="D191" t="s">
        <v>38</v>
      </c>
      <c r="E191" t="s">
        <v>22</v>
      </c>
      <c r="F191">
        <v>13.57</v>
      </c>
      <c r="G191">
        <v>15.24</v>
      </c>
      <c r="H191">
        <v>12.12</v>
      </c>
      <c r="I191">
        <v>14.64</v>
      </c>
      <c r="J191" s="4">
        <v>0.96360000000000001</v>
      </c>
      <c r="K191">
        <v>130000</v>
      </c>
      <c r="L191" s="2">
        <v>46035</v>
      </c>
      <c r="M191" t="str">
        <f t="shared" si="10"/>
        <v>Admis</v>
      </c>
      <c r="N191" t="str">
        <f t="shared" si="11"/>
        <v>Eligible</v>
      </c>
      <c r="O191" t="str">
        <f t="shared" si="12"/>
        <v>RAS</v>
      </c>
      <c r="P191" t="str">
        <f t="shared" si="13"/>
        <v>Data</v>
      </c>
      <c r="Q191">
        <f t="shared" si="14"/>
        <v>13.8925</v>
      </c>
      <c r="R191" t="str" cm="1">
        <f t="array" ref="R191">_xlfn.IFS(Q191&gt;=16, "Excellent",Q191&gt;=14, "Très bien", Q191&gt;=12, "Bien", Q191&gt;=10, "Passable", Q191&lt;10, "Insuffisant")</f>
        <v>Bien</v>
      </c>
    </row>
    <row r="192" spans="1:18">
      <c r="A192" t="s">
        <v>360</v>
      </c>
      <c r="B192" t="s">
        <v>270</v>
      </c>
      <c r="C192" t="s">
        <v>25</v>
      </c>
      <c r="D192" t="s">
        <v>26</v>
      </c>
      <c r="E192" t="s">
        <v>22</v>
      </c>
      <c r="F192">
        <v>18.850000000000001</v>
      </c>
      <c r="G192">
        <v>17.61</v>
      </c>
      <c r="H192">
        <v>17.22</v>
      </c>
      <c r="I192">
        <v>15.36</v>
      </c>
      <c r="J192" s="4">
        <v>0.6754</v>
      </c>
      <c r="K192">
        <v>130000</v>
      </c>
      <c r="L192" s="2">
        <v>46015</v>
      </c>
      <c r="M192" t="str">
        <f t="shared" si="10"/>
        <v>Admis</v>
      </c>
      <c r="N192" t="str">
        <f t="shared" si="11"/>
        <v>Non Eligible</v>
      </c>
      <c r="O192" t="str">
        <f t="shared" si="12"/>
        <v>RAS</v>
      </c>
      <c r="P192" t="str">
        <f t="shared" si="13"/>
        <v>Data</v>
      </c>
      <c r="Q192">
        <f t="shared" si="14"/>
        <v>17.259999999999998</v>
      </c>
      <c r="R192" t="str" cm="1">
        <f t="array" ref="R192">_xlfn.IFS(Q192&gt;=16, "Excellent",Q192&gt;=14, "Très bien", Q192&gt;=12, "Bien", Q192&gt;=10, "Passable", Q192&lt;10, "Insuffisant")</f>
        <v>Excellent</v>
      </c>
    </row>
    <row r="193" spans="1:18">
      <c r="A193" t="s">
        <v>361</v>
      </c>
      <c r="B193" t="s">
        <v>362</v>
      </c>
      <c r="C193" t="s">
        <v>25</v>
      </c>
      <c r="D193" t="s">
        <v>34</v>
      </c>
      <c r="E193" t="s">
        <v>22</v>
      </c>
      <c r="F193">
        <v>7.87</v>
      </c>
      <c r="G193">
        <v>6.52</v>
      </c>
      <c r="H193">
        <v>6.37</v>
      </c>
      <c r="I193">
        <v>8.7200000000000006</v>
      </c>
      <c r="J193" s="4">
        <v>0.97640000000000005</v>
      </c>
      <c r="K193">
        <v>50000</v>
      </c>
      <c r="L193" s="2">
        <v>46230</v>
      </c>
      <c r="M193" t="str">
        <f t="shared" si="10"/>
        <v>Non admis</v>
      </c>
      <c r="N193" t="str">
        <f t="shared" si="11"/>
        <v>Non Eligible</v>
      </c>
      <c r="O193" t="str">
        <f t="shared" si="12"/>
        <v>A surveiller</v>
      </c>
      <c r="P193" t="str">
        <f t="shared" si="13"/>
        <v>Data</v>
      </c>
      <c r="Q193">
        <f t="shared" si="14"/>
        <v>7.370000000000001</v>
      </c>
      <c r="R193" t="str" cm="1">
        <f t="array" ref="R193">_xlfn.IFS(Q193&gt;=16, "Excellent",Q193&gt;=14, "Très bien", Q193&gt;=12, "Bien", Q193&gt;=10, "Passable", Q193&lt;10, "Insuffisant")</f>
        <v>Insuffisant</v>
      </c>
    </row>
    <row r="194" spans="1:18">
      <c r="A194" t="s">
        <v>363</v>
      </c>
      <c r="B194" t="s">
        <v>127</v>
      </c>
      <c r="C194" t="s">
        <v>25</v>
      </c>
      <c r="D194" t="s">
        <v>21</v>
      </c>
      <c r="E194" t="s">
        <v>48</v>
      </c>
      <c r="F194">
        <v>8.1199999999999992</v>
      </c>
      <c r="G194">
        <v>9.9499999999999993</v>
      </c>
      <c r="H194">
        <v>10.050000000000001</v>
      </c>
      <c r="I194">
        <v>12</v>
      </c>
      <c r="J194" s="4">
        <v>0.91849999999999998</v>
      </c>
      <c r="K194">
        <v>80000</v>
      </c>
      <c r="L194" s="2">
        <v>45878</v>
      </c>
      <c r="M194" t="str">
        <f t="shared" si="10"/>
        <v>Admis</v>
      </c>
      <c r="N194" t="str">
        <f t="shared" si="11"/>
        <v>Non Eligible</v>
      </c>
      <c r="O194" t="str">
        <f t="shared" si="12"/>
        <v>A surveiller</v>
      </c>
      <c r="P194" t="str">
        <f t="shared" si="13"/>
        <v>Hors Data</v>
      </c>
      <c r="Q194">
        <f t="shared" si="14"/>
        <v>10.030000000000001</v>
      </c>
      <c r="R194" t="str" cm="1">
        <f t="array" ref="R194">_xlfn.IFS(Q194&gt;=16, "Excellent",Q194&gt;=14, "Très bien", Q194&gt;=12, "Bien", Q194&gt;=10, "Passable", Q194&lt;10, "Insuffisant")</f>
        <v>Passable</v>
      </c>
    </row>
    <row r="195" spans="1:18">
      <c r="A195" t="s">
        <v>364</v>
      </c>
      <c r="B195" t="s">
        <v>100</v>
      </c>
      <c r="C195" t="s">
        <v>20</v>
      </c>
      <c r="D195" t="s">
        <v>38</v>
      </c>
      <c r="E195" t="s">
        <v>22</v>
      </c>
      <c r="F195">
        <v>11.38</v>
      </c>
      <c r="G195">
        <v>12.33</v>
      </c>
      <c r="H195">
        <v>8.83</v>
      </c>
      <c r="I195">
        <v>10.49</v>
      </c>
      <c r="J195" s="4">
        <v>0.72919999999999996</v>
      </c>
      <c r="K195">
        <v>70000</v>
      </c>
      <c r="L195" s="2">
        <v>45775</v>
      </c>
      <c r="M195" t="str">
        <f t="shared" ref="M195:M258" si="15">IF(H195&gt;=10,"Admis","Non admis")</f>
        <v>Non admis</v>
      </c>
      <c r="N195" t="str">
        <f t="shared" ref="N195:N258" si="16">IF(AND(F195&gt;=12,H195&gt;=12,J195&gt;80%), "Eligible", "Non Eligible")</f>
        <v>Non Eligible</v>
      </c>
      <c r="O195" t="str">
        <f t="shared" ref="O195:O258" si="17">IF(OR(F195&lt;10,H195&lt;10), "A surveiller", "RAS")</f>
        <v>A surveiller</v>
      </c>
      <c r="P195" t="str">
        <f t="shared" ref="P195:P258" si="18">IF(NOT(E195="Data"), "Hors Data", "Data")</f>
        <v>Data</v>
      </c>
      <c r="Q195">
        <f t="shared" ref="Q195:Q258" si="19">AVERAGE(F195:I195)</f>
        <v>10.7575</v>
      </c>
      <c r="R195" t="str" cm="1">
        <f t="array" ref="R195">_xlfn.IFS(Q195&gt;=16, "Excellent",Q195&gt;=14, "Très bien", Q195&gt;=12, "Bien", Q195&gt;=10, "Passable", Q195&lt;10, "Insuffisant")</f>
        <v>Passable</v>
      </c>
    </row>
    <row r="196" spans="1:18">
      <c r="A196" t="s">
        <v>365</v>
      </c>
      <c r="B196" t="s">
        <v>366</v>
      </c>
      <c r="C196" t="s">
        <v>25</v>
      </c>
      <c r="D196" t="s">
        <v>53</v>
      </c>
      <c r="E196" t="s">
        <v>35</v>
      </c>
      <c r="F196">
        <v>10.7</v>
      </c>
      <c r="G196">
        <v>16.510000000000002</v>
      </c>
      <c r="H196">
        <v>13.65</v>
      </c>
      <c r="I196">
        <v>9.1</v>
      </c>
      <c r="J196" s="4">
        <v>0.76680000000000004</v>
      </c>
      <c r="K196">
        <v>80000</v>
      </c>
      <c r="L196" s="2">
        <v>45904</v>
      </c>
      <c r="M196" t="str">
        <f t="shared" si="15"/>
        <v>Admis</v>
      </c>
      <c r="N196" t="str">
        <f t="shared" si="16"/>
        <v>Non Eligible</v>
      </c>
      <c r="O196" t="str">
        <f t="shared" si="17"/>
        <v>RAS</v>
      </c>
      <c r="P196" t="str">
        <f t="shared" si="18"/>
        <v>Hors Data</v>
      </c>
      <c r="Q196">
        <f t="shared" si="19"/>
        <v>12.49</v>
      </c>
      <c r="R196" t="str" cm="1">
        <f t="array" ref="R196">_xlfn.IFS(Q196&gt;=16, "Excellent",Q196&gt;=14, "Très bien", Q196&gt;=12, "Bien", Q196&gt;=10, "Passable", Q196&lt;10, "Insuffisant")</f>
        <v>Bien</v>
      </c>
    </row>
    <row r="197" spans="1:18">
      <c r="A197" t="s">
        <v>367</v>
      </c>
      <c r="B197" t="s">
        <v>331</v>
      </c>
      <c r="C197" t="s">
        <v>20</v>
      </c>
      <c r="D197" t="s">
        <v>41</v>
      </c>
      <c r="E197" t="s">
        <v>22</v>
      </c>
      <c r="F197">
        <v>11.45</v>
      </c>
      <c r="G197">
        <v>14.48</v>
      </c>
      <c r="H197">
        <v>16.18</v>
      </c>
      <c r="I197">
        <v>12.43</v>
      </c>
      <c r="J197" s="4">
        <v>0.74980000000000002</v>
      </c>
      <c r="K197">
        <v>60000</v>
      </c>
      <c r="L197" s="2">
        <v>45649</v>
      </c>
      <c r="M197" t="str">
        <f t="shared" si="15"/>
        <v>Admis</v>
      </c>
      <c r="N197" t="str">
        <f t="shared" si="16"/>
        <v>Non Eligible</v>
      </c>
      <c r="O197" t="str">
        <f t="shared" si="17"/>
        <v>RAS</v>
      </c>
      <c r="P197" t="str">
        <f t="shared" si="18"/>
        <v>Data</v>
      </c>
      <c r="Q197">
        <f t="shared" si="19"/>
        <v>13.635</v>
      </c>
      <c r="R197" t="str" cm="1">
        <f t="array" ref="R197">_xlfn.IFS(Q197&gt;=16, "Excellent",Q197&gt;=14, "Très bien", Q197&gt;=12, "Bien", Q197&gt;=10, "Passable", Q197&lt;10, "Insuffisant")</f>
        <v>Bien</v>
      </c>
    </row>
    <row r="198" spans="1:18">
      <c r="A198" t="s">
        <v>368</v>
      </c>
      <c r="B198" t="s">
        <v>283</v>
      </c>
      <c r="C198" t="s">
        <v>20</v>
      </c>
      <c r="D198" t="s">
        <v>38</v>
      </c>
      <c r="E198" t="s">
        <v>35</v>
      </c>
      <c r="F198">
        <v>11.76</v>
      </c>
      <c r="G198">
        <v>11.45</v>
      </c>
      <c r="H198">
        <v>6.59</v>
      </c>
      <c r="I198">
        <v>9.61</v>
      </c>
      <c r="J198" s="4">
        <v>0.8337</v>
      </c>
      <c r="K198">
        <v>85000</v>
      </c>
      <c r="L198" s="2">
        <v>45614</v>
      </c>
      <c r="M198" t="str">
        <f t="shared" si="15"/>
        <v>Non admis</v>
      </c>
      <c r="N198" t="str">
        <f t="shared" si="16"/>
        <v>Non Eligible</v>
      </c>
      <c r="O198" t="str">
        <f t="shared" si="17"/>
        <v>A surveiller</v>
      </c>
      <c r="P198" t="str">
        <f t="shared" si="18"/>
        <v>Hors Data</v>
      </c>
      <c r="Q198">
        <f t="shared" si="19"/>
        <v>9.8524999999999991</v>
      </c>
      <c r="R198" t="str" cm="1">
        <f t="array" ref="R198">_xlfn.IFS(Q198&gt;=16, "Excellent",Q198&gt;=14, "Très bien", Q198&gt;=12, "Bien", Q198&gt;=10, "Passable", Q198&lt;10, "Insuffisant")</f>
        <v>Insuffisant</v>
      </c>
    </row>
    <row r="199" spans="1:18">
      <c r="A199" t="s">
        <v>369</v>
      </c>
      <c r="B199" t="s">
        <v>370</v>
      </c>
      <c r="C199" t="s">
        <v>20</v>
      </c>
      <c r="D199" t="s">
        <v>38</v>
      </c>
      <c r="E199" t="s">
        <v>48</v>
      </c>
      <c r="F199">
        <v>12.89</v>
      </c>
      <c r="G199">
        <v>10.7</v>
      </c>
      <c r="H199">
        <v>8.4600000000000009</v>
      </c>
      <c r="I199">
        <v>8.1199999999999992</v>
      </c>
      <c r="J199" s="4">
        <v>0.94599999999999995</v>
      </c>
      <c r="K199">
        <v>60000</v>
      </c>
      <c r="L199" s="2">
        <v>45899</v>
      </c>
      <c r="M199" t="str">
        <f t="shared" si="15"/>
        <v>Non admis</v>
      </c>
      <c r="N199" t="str">
        <f t="shared" si="16"/>
        <v>Non Eligible</v>
      </c>
      <c r="O199" t="str">
        <f t="shared" si="17"/>
        <v>A surveiller</v>
      </c>
      <c r="P199" t="str">
        <f t="shared" si="18"/>
        <v>Hors Data</v>
      </c>
      <c r="Q199">
        <f t="shared" si="19"/>
        <v>10.042499999999999</v>
      </c>
      <c r="R199" t="str" cm="1">
        <f t="array" ref="R199">_xlfn.IFS(Q199&gt;=16, "Excellent",Q199&gt;=14, "Très bien", Q199&gt;=12, "Bien", Q199&gt;=10, "Passable", Q199&lt;10, "Insuffisant")</f>
        <v>Passable</v>
      </c>
    </row>
    <row r="200" spans="1:18">
      <c r="A200" t="s">
        <v>371</v>
      </c>
      <c r="B200" t="s">
        <v>372</v>
      </c>
      <c r="C200" t="s">
        <v>20</v>
      </c>
      <c r="D200" t="s">
        <v>26</v>
      </c>
      <c r="E200" t="s">
        <v>35</v>
      </c>
      <c r="F200">
        <v>9.5399999999999991</v>
      </c>
      <c r="G200">
        <v>9.93</v>
      </c>
      <c r="H200">
        <v>10.23</v>
      </c>
      <c r="I200">
        <v>10.199999999999999</v>
      </c>
      <c r="J200" s="4">
        <v>0.93899999999999995</v>
      </c>
      <c r="K200">
        <v>90000</v>
      </c>
      <c r="L200" s="2">
        <v>46113</v>
      </c>
      <c r="M200" t="str">
        <f t="shared" si="15"/>
        <v>Admis</v>
      </c>
      <c r="N200" t="str">
        <f t="shared" si="16"/>
        <v>Non Eligible</v>
      </c>
      <c r="O200" t="str">
        <f t="shared" si="17"/>
        <v>A surveiller</v>
      </c>
      <c r="P200" t="str">
        <f t="shared" si="18"/>
        <v>Hors Data</v>
      </c>
      <c r="Q200">
        <f t="shared" si="19"/>
        <v>9.9749999999999996</v>
      </c>
      <c r="R200" t="str" cm="1">
        <f t="array" ref="R200">_xlfn.IFS(Q200&gt;=16, "Excellent",Q200&gt;=14, "Très bien", Q200&gt;=12, "Bien", Q200&gt;=10, "Passable", Q200&lt;10, "Insuffisant")</f>
        <v>Insuffisant</v>
      </c>
    </row>
    <row r="201" spans="1:18">
      <c r="A201" t="s">
        <v>373</v>
      </c>
      <c r="B201" t="s">
        <v>272</v>
      </c>
      <c r="C201" t="s">
        <v>25</v>
      </c>
      <c r="D201" t="s">
        <v>38</v>
      </c>
      <c r="E201" t="s">
        <v>35</v>
      </c>
      <c r="F201">
        <v>18.77</v>
      </c>
      <c r="G201">
        <v>20</v>
      </c>
      <c r="H201">
        <v>19.62</v>
      </c>
      <c r="I201">
        <v>17.18</v>
      </c>
      <c r="J201" s="4">
        <v>0.61180000000000001</v>
      </c>
      <c r="K201">
        <v>80000</v>
      </c>
      <c r="L201" s="2">
        <v>45909</v>
      </c>
      <c r="M201" t="str">
        <f t="shared" si="15"/>
        <v>Admis</v>
      </c>
      <c r="N201" t="str">
        <f t="shared" si="16"/>
        <v>Non Eligible</v>
      </c>
      <c r="O201" t="str">
        <f t="shared" si="17"/>
        <v>RAS</v>
      </c>
      <c r="P201" t="str">
        <f t="shared" si="18"/>
        <v>Hors Data</v>
      </c>
      <c r="Q201">
        <f t="shared" si="19"/>
        <v>18.892499999999998</v>
      </c>
      <c r="R201" t="str" cm="1">
        <f t="array" ref="R201">_xlfn.IFS(Q201&gt;=16, "Excellent",Q201&gt;=14, "Très bien", Q201&gt;=12, "Bien", Q201&gt;=10, "Passable", Q201&lt;10, "Insuffisant")</f>
        <v>Excellent</v>
      </c>
    </row>
    <row r="202" spans="1:18">
      <c r="A202" t="s">
        <v>374</v>
      </c>
      <c r="B202" t="s">
        <v>194</v>
      </c>
      <c r="C202" t="s">
        <v>20</v>
      </c>
      <c r="D202" t="s">
        <v>21</v>
      </c>
      <c r="E202" t="s">
        <v>48</v>
      </c>
      <c r="F202">
        <v>17.12</v>
      </c>
      <c r="G202">
        <v>19.32</v>
      </c>
      <c r="H202">
        <v>20</v>
      </c>
      <c r="I202">
        <v>19.78</v>
      </c>
      <c r="J202" s="4">
        <v>0.67989999999999995</v>
      </c>
      <c r="K202">
        <v>130000</v>
      </c>
      <c r="L202" s="2">
        <v>46083</v>
      </c>
      <c r="M202" t="str">
        <f t="shared" si="15"/>
        <v>Admis</v>
      </c>
      <c r="N202" t="str">
        <f t="shared" si="16"/>
        <v>Non Eligible</v>
      </c>
      <c r="O202" t="str">
        <f t="shared" si="17"/>
        <v>RAS</v>
      </c>
      <c r="P202" t="str">
        <f t="shared" si="18"/>
        <v>Hors Data</v>
      </c>
      <c r="Q202">
        <f t="shared" si="19"/>
        <v>19.055</v>
      </c>
      <c r="R202" t="str" cm="1">
        <f t="array" ref="R202">_xlfn.IFS(Q202&gt;=16, "Excellent",Q202&gt;=14, "Très bien", Q202&gt;=12, "Bien", Q202&gt;=10, "Passable", Q202&lt;10, "Insuffisant")</f>
        <v>Excellent</v>
      </c>
    </row>
    <row r="203" spans="1:18">
      <c r="A203" t="s">
        <v>375</v>
      </c>
      <c r="B203" t="s">
        <v>376</v>
      </c>
      <c r="C203" t="s">
        <v>25</v>
      </c>
      <c r="D203" t="s">
        <v>26</v>
      </c>
      <c r="E203" t="s">
        <v>48</v>
      </c>
      <c r="F203">
        <v>13.96</v>
      </c>
      <c r="G203">
        <v>9.6199999999999992</v>
      </c>
      <c r="H203">
        <v>14.75</v>
      </c>
      <c r="I203">
        <v>12.61</v>
      </c>
      <c r="J203" s="4">
        <v>0.74199999999999999</v>
      </c>
      <c r="K203">
        <v>120000</v>
      </c>
      <c r="L203" s="2">
        <v>45660</v>
      </c>
      <c r="M203" t="str">
        <f t="shared" si="15"/>
        <v>Admis</v>
      </c>
      <c r="N203" t="str">
        <f t="shared" si="16"/>
        <v>Non Eligible</v>
      </c>
      <c r="O203" t="str">
        <f t="shared" si="17"/>
        <v>RAS</v>
      </c>
      <c r="P203" t="str">
        <f t="shared" si="18"/>
        <v>Hors Data</v>
      </c>
      <c r="Q203">
        <f t="shared" si="19"/>
        <v>12.734999999999999</v>
      </c>
      <c r="R203" t="str" cm="1">
        <f t="array" ref="R203">_xlfn.IFS(Q203&gt;=16, "Excellent",Q203&gt;=14, "Très bien", Q203&gt;=12, "Bien", Q203&gt;=10, "Passable", Q203&lt;10, "Insuffisant")</f>
        <v>Bien</v>
      </c>
    </row>
    <row r="204" spans="1:18">
      <c r="A204" t="s">
        <v>377</v>
      </c>
      <c r="B204" t="s">
        <v>378</v>
      </c>
      <c r="C204" t="s">
        <v>20</v>
      </c>
      <c r="D204" t="s">
        <v>34</v>
      </c>
      <c r="E204" t="s">
        <v>22</v>
      </c>
      <c r="F204">
        <v>10.28</v>
      </c>
      <c r="G204">
        <v>12.16</v>
      </c>
      <c r="H204">
        <v>14.76</v>
      </c>
      <c r="I204">
        <v>8.76</v>
      </c>
      <c r="J204" s="4">
        <v>0.77929999999999999</v>
      </c>
      <c r="K204">
        <v>90000</v>
      </c>
      <c r="L204" s="2">
        <v>45850</v>
      </c>
      <c r="M204" t="str">
        <f t="shared" si="15"/>
        <v>Admis</v>
      </c>
      <c r="N204" t="str">
        <f t="shared" si="16"/>
        <v>Non Eligible</v>
      </c>
      <c r="O204" t="str">
        <f t="shared" si="17"/>
        <v>RAS</v>
      </c>
      <c r="P204" t="str">
        <f t="shared" si="18"/>
        <v>Data</v>
      </c>
      <c r="Q204">
        <f t="shared" si="19"/>
        <v>11.489999999999998</v>
      </c>
      <c r="R204" t="str" cm="1">
        <f t="array" ref="R204">_xlfn.IFS(Q204&gt;=16, "Excellent",Q204&gt;=14, "Très bien", Q204&gt;=12, "Bien", Q204&gt;=10, "Passable", Q204&lt;10, "Insuffisant")</f>
        <v>Passable</v>
      </c>
    </row>
    <row r="205" spans="1:18">
      <c r="A205" t="s">
        <v>379</v>
      </c>
      <c r="B205" t="s">
        <v>380</v>
      </c>
      <c r="C205" t="s">
        <v>25</v>
      </c>
      <c r="D205" t="s">
        <v>34</v>
      </c>
      <c r="E205" t="s">
        <v>27</v>
      </c>
      <c r="F205">
        <v>11.07</v>
      </c>
      <c r="G205">
        <v>10.5</v>
      </c>
      <c r="H205">
        <v>9.9</v>
      </c>
      <c r="I205">
        <v>10.96</v>
      </c>
      <c r="J205" s="4">
        <v>0.89129999999999998</v>
      </c>
      <c r="K205">
        <v>80000</v>
      </c>
      <c r="L205" s="2">
        <v>45965</v>
      </c>
      <c r="M205" t="str">
        <f t="shared" si="15"/>
        <v>Non admis</v>
      </c>
      <c r="N205" t="str">
        <f t="shared" si="16"/>
        <v>Non Eligible</v>
      </c>
      <c r="O205" t="str">
        <f t="shared" si="17"/>
        <v>A surveiller</v>
      </c>
      <c r="P205" t="str">
        <f t="shared" si="18"/>
        <v>Hors Data</v>
      </c>
      <c r="Q205">
        <f t="shared" si="19"/>
        <v>10.6075</v>
      </c>
      <c r="R205" t="str" cm="1">
        <f t="array" ref="R205">_xlfn.IFS(Q205&gt;=16, "Excellent",Q205&gt;=14, "Très bien", Q205&gt;=12, "Bien", Q205&gt;=10, "Passable", Q205&lt;10, "Insuffisant")</f>
        <v>Passable</v>
      </c>
    </row>
    <row r="206" spans="1:18">
      <c r="A206" t="s">
        <v>381</v>
      </c>
      <c r="B206" t="s">
        <v>382</v>
      </c>
      <c r="C206" t="s">
        <v>20</v>
      </c>
      <c r="D206" t="s">
        <v>53</v>
      </c>
      <c r="E206" t="s">
        <v>27</v>
      </c>
      <c r="F206">
        <v>9.8000000000000007</v>
      </c>
      <c r="G206">
        <v>7.43</v>
      </c>
      <c r="H206">
        <v>7.73</v>
      </c>
      <c r="I206">
        <v>7.93</v>
      </c>
      <c r="J206" s="4">
        <v>0.57250000000000001</v>
      </c>
      <c r="K206">
        <v>100000</v>
      </c>
      <c r="L206" s="2">
        <v>45779</v>
      </c>
      <c r="M206" t="str">
        <f t="shared" si="15"/>
        <v>Non admis</v>
      </c>
      <c r="N206" t="str">
        <f t="shared" si="16"/>
        <v>Non Eligible</v>
      </c>
      <c r="O206" t="str">
        <f t="shared" si="17"/>
        <v>A surveiller</v>
      </c>
      <c r="P206" t="str">
        <f t="shared" si="18"/>
        <v>Hors Data</v>
      </c>
      <c r="Q206">
        <f t="shared" si="19"/>
        <v>8.2225000000000001</v>
      </c>
      <c r="R206" t="str" cm="1">
        <f t="array" ref="R206">_xlfn.IFS(Q206&gt;=16, "Excellent",Q206&gt;=14, "Très bien", Q206&gt;=12, "Bien", Q206&gt;=10, "Passable", Q206&lt;10, "Insuffisant")</f>
        <v>Insuffisant</v>
      </c>
    </row>
    <row r="207" spans="1:18">
      <c r="A207" t="s">
        <v>383</v>
      </c>
      <c r="B207" t="s">
        <v>378</v>
      </c>
      <c r="C207" t="s">
        <v>20</v>
      </c>
      <c r="D207" t="s">
        <v>21</v>
      </c>
      <c r="E207" t="s">
        <v>48</v>
      </c>
      <c r="F207">
        <v>12.98</v>
      </c>
      <c r="G207">
        <v>16.829999999999998</v>
      </c>
      <c r="H207">
        <v>10.18</v>
      </c>
      <c r="I207">
        <v>14.21</v>
      </c>
      <c r="J207" s="4">
        <v>0.86299999999999999</v>
      </c>
      <c r="K207">
        <v>100000</v>
      </c>
      <c r="L207" s="2">
        <v>45545</v>
      </c>
      <c r="M207" t="str">
        <f t="shared" si="15"/>
        <v>Admis</v>
      </c>
      <c r="N207" t="str">
        <f t="shared" si="16"/>
        <v>Non Eligible</v>
      </c>
      <c r="O207" t="str">
        <f t="shared" si="17"/>
        <v>RAS</v>
      </c>
      <c r="P207" t="str">
        <f t="shared" si="18"/>
        <v>Hors Data</v>
      </c>
      <c r="Q207">
        <f t="shared" si="19"/>
        <v>13.549999999999999</v>
      </c>
      <c r="R207" t="str" cm="1">
        <f t="array" ref="R207">_xlfn.IFS(Q207&gt;=16, "Excellent",Q207&gt;=14, "Très bien", Q207&gt;=12, "Bien", Q207&gt;=10, "Passable", Q207&lt;10, "Insuffisant")</f>
        <v>Bien</v>
      </c>
    </row>
    <row r="208" spans="1:18">
      <c r="A208" t="s">
        <v>384</v>
      </c>
      <c r="B208" t="s">
        <v>129</v>
      </c>
      <c r="C208" t="s">
        <v>25</v>
      </c>
      <c r="D208" t="s">
        <v>21</v>
      </c>
      <c r="E208" t="s">
        <v>48</v>
      </c>
      <c r="F208">
        <v>12.93</v>
      </c>
      <c r="G208">
        <v>12.16</v>
      </c>
      <c r="H208">
        <v>12.63</v>
      </c>
      <c r="I208">
        <v>9.74</v>
      </c>
      <c r="J208" s="4">
        <v>0.97829999999999995</v>
      </c>
      <c r="K208">
        <v>60000</v>
      </c>
      <c r="L208" s="2">
        <v>45587</v>
      </c>
      <c r="M208" t="str">
        <f t="shared" si="15"/>
        <v>Admis</v>
      </c>
      <c r="N208" t="str">
        <f t="shared" si="16"/>
        <v>Eligible</v>
      </c>
      <c r="O208" t="str">
        <f t="shared" si="17"/>
        <v>RAS</v>
      </c>
      <c r="P208" t="str">
        <f t="shared" si="18"/>
        <v>Hors Data</v>
      </c>
      <c r="Q208">
        <f t="shared" si="19"/>
        <v>11.865</v>
      </c>
      <c r="R208" t="str" cm="1">
        <f t="array" ref="R208">_xlfn.IFS(Q208&gt;=16, "Excellent",Q208&gt;=14, "Très bien", Q208&gt;=12, "Bien", Q208&gt;=10, "Passable", Q208&lt;10, "Insuffisant")</f>
        <v>Passable</v>
      </c>
    </row>
    <row r="209" spans="1:18">
      <c r="A209" t="s">
        <v>385</v>
      </c>
      <c r="B209" t="s">
        <v>386</v>
      </c>
      <c r="C209" t="s">
        <v>25</v>
      </c>
      <c r="D209" t="s">
        <v>34</v>
      </c>
      <c r="E209" t="s">
        <v>48</v>
      </c>
      <c r="F209">
        <v>12.59</v>
      </c>
      <c r="G209">
        <v>16.68</v>
      </c>
      <c r="H209">
        <v>14.54</v>
      </c>
      <c r="I209">
        <v>11.4</v>
      </c>
      <c r="J209" s="4">
        <v>0.98960000000000004</v>
      </c>
      <c r="K209">
        <v>80000</v>
      </c>
      <c r="L209" s="2">
        <v>46185</v>
      </c>
      <c r="M209" t="str">
        <f t="shared" si="15"/>
        <v>Admis</v>
      </c>
      <c r="N209" t="str">
        <f t="shared" si="16"/>
        <v>Eligible</v>
      </c>
      <c r="O209" t="str">
        <f t="shared" si="17"/>
        <v>RAS</v>
      </c>
      <c r="P209" t="str">
        <f t="shared" si="18"/>
        <v>Hors Data</v>
      </c>
      <c r="Q209">
        <f t="shared" si="19"/>
        <v>13.8025</v>
      </c>
      <c r="R209" t="str" cm="1">
        <f t="array" ref="R209">_xlfn.IFS(Q209&gt;=16, "Excellent",Q209&gt;=14, "Très bien", Q209&gt;=12, "Bien", Q209&gt;=10, "Passable", Q209&lt;10, "Insuffisant")</f>
        <v>Bien</v>
      </c>
    </row>
    <row r="210" spans="1:18">
      <c r="A210" t="s">
        <v>387</v>
      </c>
      <c r="B210" t="s">
        <v>388</v>
      </c>
      <c r="C210" t="s">
        <v>20</v>
      </c>
      <c r="D210" t="s">
        <v>53</v>
      </c>
      <c r="E210" t="s">
        <v>35</v>
      </c>
      <c r="F210">
        <v>8.5500000000000007</v>
      </c>
      <c r="G210">
        <v>10</v>
      </c>
      <c r="H210">
        <v>12.05</v>
      </c>
      <c r="I210">
        <v>7.22</v>
      </c>
      <c r="J210" s="4">
        <v>0.90839999999999999</v>
      </c>
      <c r="K210">
        <v>130000</v>
      </c>
      <c r="L210" s="2">
        <v>45959</v>
      </c>
      <c r="M210" t="str">
        <f t="shared" si="15"/>
        <v>Admis</v>
      </c>
      <c r="N210" t="str">
        <f t="shared" si="16"/>
        <v>Non Eligible</v>
      </c>
      <c r="O210" t="str">
        <f t="shared" si="17"/>
        <v>A surveiller</v>
      </c>
      <c r="P210" t="str">
        <f t="shared" si="18"/>
        <v>Hors Data</v>
      </c>
      <c r="Q210">
        <f t="shared" si="19"/>
        <v>9.4550000000000001</v>
      </c>
      <c r="R210" t="str" cm="1">
        <f t="array" ref="R210">_xlfn.IFS(Q210&gt;=16, "Excellent",Q210&gt;=14, "Très bien", Q210&gt;=12, "Bien", Q210&gt;=10, "Passable", Q210&lt;10, "Insuffisant")</f>
        <v>Insuffisant</v>
      </c>
    </row>
    <row r="211" spans="1:18">
      <c r="A211" t="s">
        <v>389</v>
      </c>
      <c r="B211" t="s">
        <v>37</v>
      </c>
      <c r="C211" t="s">
        <v>25</v>
      </c>
      <c r="D211" t="s">
        <v>53</v>
      </c>
      <c r="E211" t="s">
        <v>35</v>
      </c>
      <c r="F211">
        <v>9.2200000000000006</v>
      </c>
      <c r="G211">
        <v>11.95</v>
      </c>
      <c r="H211">
        <v>11.1</v>
      </c>
      <c r="I211">
        <v>10.08</v>
      </c>
      <c r="J211" s="4">
        <v>0.64800000000000002</v>
      </c>
      <c r="K211">
        <v>75000</v>
      </c>
      <c r="L211" s="2">
        <v>45721</v>
      </c>
      <c r="M211" t="str">
        <f t="shared" si="15"/>
        <v>Admis</v>
      </c>
      <c r="N211" t="str">
        <f t="shared" si="16"/>
        <v>Non Eligible</v>
      </c>
      <c r="O211" t="str">
        <f t="shared" si="17"/>
        <v>A surveiller</v>
      </c>
      <c r="P211" t="str">
        <f t="shared" si="18"/>
        <v>Hors Data</v>
      </c>
      <c r="Q211">
        <f t="shared" si="19"/>
        <v>10.5875</v>
      </c>
      <c r="R211" t="str" cm="1">
        <f t="array" ref="R211">_xlfn.IFS(Q211&gt;=16, "Excellent",Q211&gt;=14, "Très bien", Q211&gt;=12, "Bien", Q211&gt;=10, "Passable", Q211&lt;10, "Insuffisant")</f>
        <v>Passable</v>
      </c>
    </row>
    <row r="212" spans="1:18">
      <c r="A212" t="s">
        <v>390</v>
      </c>
      <c r="B212" t="s">
        <v>161</v>
      </c>
      <c r="C212" t="s">
        <v>20</v>
      </c>
      <c r="D212" t="s">
        <v>26</v>
      </c>
      <c r="E212" t="s">
        <v>35</v>
      </c>
      <c r="F212">
        <v>16.149999999999999</v>
      </c>
      <c r="G212">
        <v>12.26</v>
      </c>
      <c r="H212">
        <v>13.8</v>
      </c>
      <c r="I212">
        <v>13.86</v>
      </c>
      <c r="J212" s="4">
        <v>0.79520000000000002</v>
      </c>
      <c r="K212">
        <v>50000</v>
      </c>
      <c r="L212" s="2">
        <v>45717</v>
      </c>
      <c r="M212" t="str">
        <f t="shared" si="15"/>
        <v>Admis</v>
      </c>
      <c r="N212" t="str">
        <f t="shared" si="16"/>
        <v>Non Eligible</v>
      </c>
      <c r="O212" t="str">
        <f t="shared" si="17"/>
        <v>RAS</v>
      </c>
      <c r="P212" t="str">
        <f t="shared" si="18"/>
        <v>Hors Data</v>
      </c>
      <c r="Q212">
        <f t="shared" si="19"/>
        <v>14.017499999999998</v>
      </c>
      <c r="R212" t="str" cm="1">
        <f t="array" ref="R212">_xlfn.IFS(Q212&gt;=16, "Excellent",Q212&gt;=14, "Très bien", Q212&gt;=12, "Bien", Q212&gt;=10, "Passable", Q212&lt;10, "Insuffisant")</f>
        <v>Très bien</v>
      </c>
    </row>
    <row r="213" spans="1:18">
      <c r="A213" t="s">
        <v>391</v>
      </c>
      <c r="B213" t="s">
        <v>392</v>
      </c>
      <c r="C213" t="s">
        <v>25</v>
      </c>
      <c r="D213" t="s">
        <v>26</v>
      </c>
      <c r="E213" t="s">
        <v>22</v>
      </c>
      <c r="F213">
        <v>12.84</v>
      </c>
      <c r="G213">
        <v>14.95</v>
      </c>
      <c r="H213">
        <v>15.1</v>
      </c>
      <c r="I213">
        <v>14.75</v>
      </c>
      <c r="J213" s="4">
        <v>0.76449999999999996</v>
      </c>
      <c r="K213">
        <v>120000</v>
      </c>
      <c r="L213" s="2">
        <v>45563</v>
      </c>
      <c r="M213" t="str">
        <f t="shared" si="15"/>
        <v>Admis</v>
      </c>
      <c r="N213" t="str">
        <f t="shared" si="16"/>
        <v>Non Eligible</v>
      </c>
      <c r="O213" t="str">
        <f t="shared" si="17"/>
        <v>RAS</v>
      </c>
      <c r="P213" t="str">
        <f t="shared" si="18"/>
        <v>Data</v>
      </c>
      <c r="Q213">
        <f t="shared" si="19"/>
        <v>14.41</v>
      </c>
      <c r="R213" t="str" cm="1">
        <f t="array" ref="R213">_xlfn.IFS(Q213&gt;=16, "Excellent",Q213&gt;=14, "Très bien", Q213&gt;=12, "Bien", Q213&gt;=10, "Passable", Q213&lt;10, "Insuffisant")</f>
        <v>Très bien</v>
      </c>
    </row>
    <row r="214" spans="1:18">
      <c r="A214" t="s">
        <v>393</v>
      </c>
      <c r="B214" t="s">
        <v>113</v>
      </c>
      <c r="C214" t="s">
        <v>25</v>
      </c>
      <c r="D214" t="s">
        <v>26</v>
      </c>
      <c r="E214" t="s">
        <v>27</v>
      </c>
      <c r="F214">
        <v>15.44</v>
      </c>
      <c r="G214">
        <v>15.1</v>
      </c>
      <c r="H214">
        <v>16.829999999999998</v>
      </c>
      <c r="I214">
        <v>14.15</v>
      </c>
      <c r="J214" s="4">
        <v>0.84589999999999999</v>
      </c>
      <c r="K214">
        <v>130000</v>
      </c>
      <c r="L214" s="2">
        <v>46197</v>
      </c>
      <c r="M214" t="str">
        <f t="shared" si="15"/>
        <v>Admis</v>
      </c>
      <c r="N214" t="str">
        <f t="shared" si="16"/>
        <v>Eligible</v>
      </c>
      <c r="O214" t="str">
        <f t="shared" si="17"/>
        <v>RAS</v>
      </c>
      <c r="P214" t="str">
        <f t="shared" si="18"/>
        <v>Hors Data</v>
      </c>
      <c r="Q214">
        <f t="shared" si="19"/>
        <v>15.379999999999999</v>
      </c>
      <c r="R214" t="str" cm="1">
        <f t="array" ref="R214">_xlfn.IFS(Q214&gt;=16, "Excellent",Q214&gt;=14, "Très bien", Q214&gt;=12, "Bien", Q214&gt;=10, "Passable", Q214&lt;10, "Insuffisant")</f>
        <v>Très bien</v>
      </c>
    </row>
    <row r="215" spans="1:18">
      <c r="A215" t="s">
        <v>394</v>
      </c>
      <c r="B215" t="s">
        <v>19</v>
      </c>
      <c r="C215" t="s">
        <v>20</v>
      </c>
      <c r="D215" t="s">
        <v>38</v>
      </c>
      <c r="E215" t="s">
        <v>35</v>
      </c>
      <c r="F215">
        <v>9.65</v>
      </c>
      <c r="G215">
        <v>7.19</v>
      </c>
      <c r="H215">
        <v>6.77</v>
      </c>
      <c r="I215">
        <v>8.77</v>
      </c>
      <c r="J215" s="4">
        <v>0.97270000000000001</v>
      </c>
      <c r="K215">
        <v>100000</v>
      </c>
      <c r="L215" s="2">
        <v>45611</v>
      </c>
      <c r="M215" t="str">
        <f t="shared" si="15"/>
        <v>Non admis</v>
      </c>
      <c r="N215" t="str">
        <f t="shared" si="16"/>
        <v>Non Eligible</v>
      </c>
      <c r="O215" t="str">
        <f t="shared" si="17"/>
        <v>A surveiller</v>
      </c>
      <c r="P215" t="str">
        <f t="shared" si="18"/>
        <v>Hors Data</v>
      </c>
      <c r="Q215">
        <f t="shared" si="19"/>
        <v>8.0949999999999989</v>
      </c>
      <c r="R215" t="str" cm="1">
        <f t="array" ref="R215">_xlfn.IFS(Q215&gt;=16, "Excellent",Q215&gt;=14, "Très bien", Q215&gt;=12, "Bien", Q215&gt;=10, "Passable", Q215&lt;10, "Insuffisant")</f>
        <v>Insuffisant</v>
      </c>
    </row>
    <row r="216" spans="1:18">
      <c r="A216" t="s">
        <v>395</v>
      </c>
      <c r="B216" t="s">
        <v>81</v>
      </c>
      <c r="C216" t="s">
        <v>25</v>
      </c>
      <c r="D216" t="s">
        <v>41</v>
      </c>
      <c r="E216" t="s">
        <v>35</v>
      </c>
      <c r="F216">
        <v>13.58</v>
      </c>
      <c r="G216">
        <v>15.11</v>
      </c>
      <c r="H216">
        <v>17.71</v>
      </c>
      <c r="I216">
        <v>15.02</v>
      </c>
      <c r="J216" s="4">
        <v>0.89070000000000005</v>
      </c>
      <c r="K216">
        <v>90000</v>
      </c>
      <c r="L216" s="2">
        <v>46067</v>
      </c>
      <c r="M216" t="str">
        <f t="shared" si="15"/>
        <v>Admis</v>
      </c>
      <c r="N216" t="str">
        <f t="shared" si="16"/>
        <v>Eligible</v>
      </c>
      <c r="O216" t="str">
        <f t="shared" si="17"/>
        <v>RAS</v>
      </c>
      <c r="P216" t="str">
        <f t="shared" si="18"/>
        <v>Hors Data</v>
      </c>
      <c r="Q216">
        <f t="shared" si="19"/>
        <v>15.355</v>
      </c>
      <c r="R216" t="str" cm="1">
        <f t="array" ref="R216">_xlfn.IFS(Q216&gt;=16, "Excellent",Q216&gt;=14, "Très bien", Q216&gt;=12, "Bien", Q216&gt;=10, "Passable", Q216&lt;10, "Insuffisant")</f>
        <v>Très bien</v>
      </c>
    </row>
    <row r="217" spans="1:18">
      <c r="A217" t="s">
        <v>396</v>
      </c>
      <c r="B217" t="s">
        <v>92</v>
      </c>
      <c r="C217" t="s">
        <v>20</v>
      </c>
      <c r="D217" t="s">
        <v>38</v>
      </c>
      <c r="E217" t="s">
        <v>27</v>
      </c>
      <c r="F217">
        <v>9.92</v>
      </c>
      <c r="G217">
        <v>10.95</v>
      </c>
      <c r="H217">
        <v>11.41</v>
      </c>
      <c r="I217">
        <v>16.68</v>
      </c>
      <c r="J217" s="4">
        <v>0.79590000000000005</v>
      </c>
      <c r="K217">
        <v>75000</v>
      </c>
      <c r="L217" s="2">
        <v>45704</v>
      </c>
      <c r="M217" t="str">
        <f t="shared" si="15"/>
        <v>Admis</v>
      </c>
      <c r="N217" t="str">
        <f t="shared" si="16"/>
        <v>Non Eligible</v>
      </c>
      <c r="O217" t="str">
        <f t="shared" si="17"/>
        <v>A surveiller</v>
      </c>
      <c r="P217" t="str">
        <f t="shared" si="18"/>
        <v>Hors Data</v>
      </c>
      <c r="Q217">
        <f t="shared" si="19"/>
        <v>12.24</v>
      </c>
      <c r="R217" t="str" cm="1">
        <f t="array" ref="R217">_xlfn.IFS(Q217&gt;=16, "Excellent",Q217&gt;=14, "Très bien", Q217&gt;=12, "Bien", Q217&gt;=10, "Passable", Q217&lt;10, "Insuffisant")</f>
        <v>Bien</v>
      </c>
    </row>
    <row r="218" spans="1:18">
      <c r="A218" t="s">
        <v>397</v>
      </c>
      <c r="B218" t="s">
        <v>133</v>
      </c>
      <c r="C218" t="s">
        <v>20</v>
      </c>
      <c r="D218" t="s">
        <v>34</v>
      </c>
      <c r="E218" t="s">
        <v>48</v>
      </c>
      <c r="F218">
        <v>18.309999999999999</v>
      </c>
      <c r="G218">
        <v>16.579999999999998</v>
      </c>
      <c r="H218">
        <v>13.14</v>
      </c>
      <c r="I218">
        <v>13.48</v>
      </c>
      <c r="J218" s="4">
        <v>0.55000000000000004</v>
      </c>
      <c r="K218">
        <v>75000</v>
      </c>
      <c r="L218" s="2">
        <v>45770</v>
      </c>
      <c r="M218" t="str">
        <f t="shared" si="15"/>
        <v>Admis</v>
      </c>
      <c r="N218" t="str">
        <f t="shared" si="16"/>
        <v>Non Eligible</v>
      </c>
      <c r="O218" t="str">
        <f t="shared" si="17"/>
        <v>RAS</v>
      </c>
      <c r="P218" t="str">
        <f t="shared" si="18"/>
        <v>Hors Data</v>
      </c>
      <c r="Q218">
        <f t="shared" si="19"/>
        <v>15.377500000000001</v>
      </c>
      <c r="R218" t="str" cm="1">
        <f t="array" ref="R218">_xlfn.IFS(Q218&gt;=16, "Excellent",Q218&gt;=14, "Très bien", Q218&gt;=12, "Bien", Q218&gt;=10, "Passable", Q218&lt;10, "Insuffisant")</f>
        <v>Très bien</v>
      </c>
    </row>
    <row r="219" spans="1:18">
      <c r="A219" t="s">
        <v>398</v>
      </c>
      <c r="B219" t="s">
        <v>274</v>
      </c>
      <c r="C219" t="s">
        <v>20</v>
      </c>
      <c r="D219" t="s">
        <v>53</v>
      </c>
      <c r="E219" t="s">
        <v>48</v>
      </c>
      <c r="F219">
        <v>13.91</v>
      </c>
      <c r="G219">
        <v>14.89</v>
      </c>
      <c r="H219">
        <v>9.08</v>
      </c>
      <c r="I219">
        <v>12.14</v>
      </c>
      <c r="J219" s="4">
        <v>0.92500000000000004</v>
      </c>
      <c r="K219">
        <v>130000</v>
      </c>
      <c r="L219" s="2">
        <v>45727</v>
      </c>
      <c r="M219" t="str">
        <f t="shared" si="15"/>
        <v>Non admis</v>
      </c>
      <c r="N219" t="str">
        <f t="shared" si="16"/>
        <v>Non Eligible</v>
      </c>
      <c r="O219" t="str">
        <f t="shared" si="17"/>
        <v>A surveiller</v>
      </c>
      <c r="P219" t="str">
        <f t="shared" si="18"/>
        <v>Hors Data</v>
      </c>
      <c r="Q219">
        <f t="shared" si="19"/>
        <v>12.505000000000001</v>
      </c>
      <c r="R219" t="str" cm="1">
        <f t="array" ref="R219">_xlfn.IFS(Q219&gt;=16, "Excellent",Q219&gt;=14, "Très bien", Q219&gt;=12, "Bien", Q219&gt;=10, "Passable", Q219&lt;10, "Insuffisant")</f>
        <v>Bien</v>
      </c>
    </row>
    <row r="220" spans="1:18">
      <c r="A220" t="s">
        <v>399</v>
      </c>
      <c r="B220" t="s">
        <v>372</v>
      </c>
      <c r="C220" t="s">
        <v>20</v>
      </c>
      <c r="D220" t="s">
        <v>41</v>
      </c>
      <c r="E220" t="s">
        <v>22</v>
      </c>
      <c r="F220">
        <v>7.43</v>
      </c>
      <c r="G220">
        <v>8.77</v>
      </c>
      <c r="H220">
        <v>9.5500000000000007</v>
      </c>
      <c r="I220">
        <v>16.79</v>
      </c>
      <c r="J220" s="4">
        <v>0.86780000000000002</v>
      </c>
      <c r="K220">
        <v>120000</v>
      </c>
      <c r="L220" s="2">
        <v>46113</v>
      </c>
      <c r="M220" t="str">
        <f t="shared" si="15"/>
        <v>Non admis</v>
      </c>
      <c r="N220" t="str">
        <f t="shared" si="16"/>
        <v>Non Eligible</v>
      </c>
      <c r="O220" t="str">
        <f t="shared" si="17"/>
        <v>A surveiller</v>
      </c>
      <c r="P220" t="str">
        <f t="shared" si="18"/>
        <v>Data</v>
      </c>
      <c r="Q220">
        <f t="shared" si="19"/>
        <v>10.635</v>
      </c>
      <c r="R220" t="str" cm="1">
        <f t="array" ref="R220">_xlfn.IFS(Q220&gt;=16, "Excellent",Q220&gt;=14, "Très bien", Q220&gt;=12, "Bien", Q220&gt;=10, "Passable", Q220&lt;10, "Insuffisant")</f>
        <v>Passable</v>
      </c>
    </row>
    <row r="221" spans="1:18">
      <c r="A221" t="s">
        <v>400</v>
      </c>
      <c r="B221" t="s">
        <v>173</v>
      </c>
      <c r="C221" t="s">
        <v>25</v>
      </c>
      <c r="D221" t="s">
        <v>38</v>
      </c>
      <c r="E221" t="s">
        <v>35</v>
      </c>
      <c r="F221">
        <v>13.29</v>
      </c>
      <c r="G221">
        <v>14.05</v>
      </c>
      <c r="H221">
        <v>16</v>
      </c>
      <c r="I221">
        <v>13.44</v>
      </c>
      <c r="J221" s="4">
        <v>0.7833</v>
      </c>
      <c r="K221">
        <v>85000</v>
      </c>
      <c r="L221" s="2">
        <v>45558</v>
      </c>
      <c r="M221" t="str">
        <f t="shared" si="15"/>
        <v>Admis</v>
      </c>
      <c r="N221" t="str">
        <f t="shared" si="16"/>
        <v>Non Eligible</v>
      </c>
      <c r="O221" t="str">
        <f t="shared" si="17"/>
        <v>RAS</v>
      </c>
      <c r="P221" t="str">
        <f t="shared" si="18"/>
        <v>Hors Data</v>
      </c>
      <c r="Q221">
        <f t="shared" si="19"/>
        <v>14.195</v>
      </c>
      <c r="R221" t="str" cm="1">
        <f t="array" ref="R221">_xlfn.IFS(Q221&gt;=16, "Excellent",Q221&gt;=14, "Très bien", Q221&gt;=12, "Bien", Q221&gt;=10, "Passable", Q221&lt;10, "Insuffisant")</f>
        <v>Très bien</v>
      </c>
    </row>
    <row r="222" spans="1:18">
      <c r="A222" t="s">
        <v>401</v>
      </c>
      <c r="B222" t="s">
        <v>331</v>
      </c>
      <c r="C222" t="s">
        <v>20</v>
      </c>
      <c r="D222" t="s">
        <v>26</v>
      </c>
      <c r="E222" t="s">
        <v>48</v>
      </c>
      <c r="F222">
        <v>14.2</v>
      </c>
      <c r="G222">
        <v>14.52</v>
      </c>
      <c r="H222">
        <v>18.41</v>
      </c>
      <c r="I222">
        <v>11.39</v>
      </c>
      <c r="J222" s="4">
        <v>0.71450000000000002</v>
      </c>
      <c r="K222">
        <v>75000</v>
      </c>
      <c r="L222" s="2">
        <v>45782</v>
      </c>
      <c r="M222" t="str">
        <f t="shared" si="15"/>
        <v>Admis</v>
      </c>
      <c r="N222" t="str">
        <f t="shared" si="16"/>
        <v>Non Eligible</v>
      </c>
      <c r="O222" t="str">
        <f t="shared" si="17"/>
        <v>RAS</v>
      </c>
      <c r="P222" t="str">
        <f t="shared" si="18"/>
        <v>Hors Data</v>
      </c>
      <c r="Q222">
        <f t="shared" si="19"/>
        <v>14.629999999999999</v>
      </c>
      <c r="R222" t="str" cm="1">
        <f t="array" ref="R222">_xlfn.IFS(Q222&gt;=16, "Excellent",Q222&gt;=14, "Très bien", Q222&gt;=12, "Bien", Q222&gt;=10, "Passable", Q222&lt;10, "Insuffisant")</f>
        <v>Très bien</v>
      </c>
    </row>
    <row r="223" spans="1:18">
      <c r="A223" t="s">
        <v>402</v>
      </c>
      <c r="B223" t="s">
        <v>202</v>
      </c>
      <c r="C223" t="s">
        <v>20</v>
      </c>
      <c r="D223" t="s">
        <v>38</v>
      </c>
      <c r="E223" t="s">
        <v>35</v>
      </c>
      <c r="F223">
        <v>20</v>
      </c>
      <c r="G223">
        <v>9.3000000000000007</v>
      </c>
      <c r="H223">
        <v>16.2</v>
      </c>
      <c r="I223">
        <v>16.97</v>
      </c>
      <c r="J223" s="4">
        <v>0.59699999999999998</v>
      </c>
      <c r="K223">
        <v>70000</v>
      </c>
      <c r="L223" s="2">
        <v>45731</v>
      </c>
      <c r="M223" t="str">
        <f t="shared" si="15"/>
        <v>Admis</v>
      </c>
      <c r="N223" t="str">
        <f t="shared" si="16"/>
        <v>Non Eligible</v>
      </c>
      <c r="O223" t="str">
        <f t="shared" si="17"/>
        <v>RAS</v>
      </c>
      <c r="P223" t="str">
        <f t="shared" si="18"/>
        <v>Hors Data</v>
      </c>
      <c r="Q223">
        <f t="shared" si="19"/>
        <v>15.6175</v>
      </c>
      <c r="R223" t="str" cm="1">
        <f t="array" ref="R223">_xlfn.IFS(Q223&gt;=16, "Excellent",Q223&gt;=14, "Très bien", Q223&gt;=12, "Bien", Q223&gt;=10, "Passable", Q223&lt;10, "Insuffisant")</f>
        <v>Très bien</v>
      </c>
    </row>
    <row r="224" spans="1:18">
      <c r="A224" t="s">
        <v>403</v>
      </c>
      <c r="B224" t="s">
        <v>404</v>
      </c>
      <c r="C224" t="s">
        <v>25</v>
      </c>
      <c r="D224" t="s">
        <v>26</v>
      </c>
      <c r="E224" t="s">
        <v>22</v>
      </c>
      <c r="F224">
        <v>13.73</v>
      </c>
      <c r="G224">
        <v>12.44</v>
      </c>
      <c r="H224">
        <v>17.62</v>
      </c>
      <c r="I224">
        <v>11</v>
      </c>
      <c r="J224" s="4">
        <v>0.76500000000000001</v>
      </c>
      <c r="K224">
        <v>50000</v>
      </c>
      <c r="L224" s="2">
        <v>45727</v>
      </c>
      <c r="M224" t="str">
        <f t="shared" si="15"/>
        <v>Admis</v>
      </c>
      <c r="N224" t="str">
        <f t="shared" si="16"/>
        <v>Non Eligible</v>
      </c>
      <c r="O224" t="str">
        <f t="shared" si="17"/>
        <v>RAS</v>
      </c>
      <c r="P224" t="str">
        <f t="shared" si="18"/>
        <v>Data</v>
      </c>
      <c r="Q224">
        <f t="shared" si="19"/>
        <v>13.697500000000002</v>
      </c>
      <c r="R224" t="str" cm="1">
        <f t="array" ref="R224">_xlfn.IFS(Q224&gt;=16, "Excellent",Q224&gt;=14, "Très bien", Q224&gt;=12, "Bien", Q224&gt;=10, "Passable", Q224&lt;10, "Insuffisant")</f>
        <v>Bien</v>
      </c>
    </row>
    <row r="225" spans="1:18">
      <c r="A225" t="s">
        <v>405</v>
      </c>
      <c r="B225" t="s">
        <v>406</v>
      </c>
      <c r="C225" t="s">
        <v>20</v>
      </c>
      <c r="D225" t="s">
        <v>21</v>
      </c>
      <c r="E225" t="s">
        <v>27</v>
      </c>
      <c r="F225">
        <v>16.95</v>
      </c>
      <c r="G225">
        <v>20</v>
      </c>
      <c r="H225">
        <v>17.89</v>
      </c>
      <c r="I225">
        <v>19.690000000000001</v>
      </c>
      <c r="J225" s="4">
        <v>0.86499999999999999</v>
      </c>
      <c r="K225">
        <v>85000</v>
      </c>
      <c r="L225" s="2">
        <v>45671</v>
      </c>
      <c r="M225" t="str">
        <f t="shared" si="15"/>
        <v>Admis</v>
      </c>
      <c r="N225" t="str">
        <f t="shared" si="16"/>
        <v>Eligible</v>
      </c>
      <c r="O225" t="str">
        <f t="shared" si="17"/>
        <v>RAS</v>
      </c>
      <c r="P225" t="str">
        <f t="shared" si="18"/>
        <v>Hors Data</v>
      </c>
      <c r="Q225">
        <f t="shared" si="19"/>
        <v>18.6325</v>
      </c>
      <c r="R225" t="str" cm="1">
        <f t="array" ref="R225">_xlfn.IFS(Q225&gt;=16, "Excellent",Q225&gt;=14, "Très bien", Q225&gt;=12, "Bien", Q225&gt;=10, "Passable", Q225&lt;10, "Insuffisant")</f>
        <v>Excellent</v>
      </c>
    </row>
    <row r="226" spans="1:18">
      <c r="A226" t="s">
        <v>407</v>
      </c>
      <c r="B226" t="s">
        <v>408</v>
      </c>
      <c r="C226" t="s">
        <v>25</v>
      </c>
      <c r="D226" t="s">
        <v>53</v>
      </c>
      <c r="E226" t="s">
        <v>35</v>
      </c>
      <c r="F226">
        <v>19.45</v>
      </c>
      <c r="G226">
        <v>13.02</v>
      </c>
      <c r="H226">
        <v>18.62</v>
      </c>
      <c r="I226">
        <v>15.76</v>
      </c>
      <c r="J226" s="4">
        <v>0.94030000000000002</v>
      </c>
      <c r="K226">
        <v>90000</v>
      </c>
      <c r="L226" s="2">
        <v>46174</v>
      </c>
      <c r="M226" t="str">
        <f t="shared" si="15"/>
        <v>Admis</v>
      </c>
      <c r="N226" t="str">
        <f t="shared" si="16"/>
        <v>Eligible</v>
      </c>
      <c r="O226" t="str">
        <f t="shared" si="17"/>
        <v>RAS</v>
      </c>
      <c r="P226" t="str">
        <f t="shared" si="18"/>
        <v>Hors Data</v>
      </c>
      <c r="Q226">
        <f t="shared" si="19"/>
        <v>16.712500000000002</v>
      </c>
      <c r="R226" t="str" cm="1">
        <f t="array" ref="R226">_xlfn.IFS(Q226&gt;=16, "Excellent",Q226&gt;=14, "Très bien", Q226&gt;=12, "Bien", Q226&gt;=10, "Passable", Q226&lt;10, "Insuffisant")</f>
        <v>Excellent</v>
      </c>
    </row>
    <row r="227" spans="1:18">
      <c r="A227" t="s">
        <v>409</v>
      </c>
      <c r="B227" t="s">
        <v>410</v>
      </c>
      <c r="C227" t="s">
        <v>20</v>
      </c>
      <c r="D227" t="s">
        <v>38</v>
      </c>
      <c r="E227" t="s">
        <v>48</v>
      </c>
      <c r="F227">
        <v>8.73</v>
      </c>
      <c r="G227">
        <v>13.43</v>
      </c>
      <c r="H227">
        <v>11.99</v>
      </c>
      <c r="I227">
        <v>11.71</v>
      </c>
      <c r="J227" s="4">
        <v>0.67549999999999999</v>
      </c>
      <c r="K227">
        <v>100000</v>
      </c>
      <c r="L227" s="2">
        <v>45801</v>
      </c>
      <c r="M227" t="str">
        <f t="shared" si="15"/>
        <v>Admis</v>
      </c>
      <c r="N227" t="str">
        <f t="shared" si="16"/>
        <v>Non Eligible</v>
      </c>
      <c r="O227" t="str">
        <f t="shared" si="17"/>
        <v>A surveiller</v>
      </c>
      <c r="P227" t="str">
        <f t="shared" si="18"/>
        <v>Hors Data</v>
      </c>
      <c r="Q227">
        <f t="shared" si="19"/>
        <v>11.465</v>
      </c>
      <c r="R227" t="str" cm="1">
        <f t="array" ref="R227">_xlfn.IFS(Q227&gt;=16, "Excellent",Q227&gt;=14, "Très bien", Q227&gt;=12, "Bien", Q227&gt;=10, "Passable", Q227&lt;10, "Insuffisant")</f>
        <v>Passable</v>
      </c>
    </row>
    <row r="228" spans="1:18">
      <c r="A228" t="s">
        <v>411</v>
      </c>
      <c r="B228" t="s">
        <v>412</v>
      </c>
      <c r="C228" t="s">
        <v>25</v>
      </c>
      <c r="D228" t="s">
        <v>26</v>
      </c>
      <c r="E228" t="s">
        <v>35</v>
      </c>
      <c r="F228">
        <v>15.81</v>
      </c>
      <c r="G228">
        <v>19.489999999999998</v>
      </c>
      <c r="H228">
        <v>14.67</v>
      </c>
      <c r="I228">
        <v>19.04</v>
      </c>
      <c r="J228" s="4">
        <v>0.9395</v>
      </c>
      <c r="K228">
        <v>110000</v>
      </c>
      <c r="L228" s="2">
        <v>45828</v>
      </c>
      <c r="M228" t="str">
        <f t="shared" si="15"/>
        <v>Admis</v>
      </c>
      <c r="N228" t="str">
        <f t="shared" si="16"/>
        <v>Eligible</v>
      </c>
      <c r="O228" t="str">
        <f t="shared" si="17"/>
        <v>RAS</v>
      </c>
      <c r="P228" t="str">
        <f t="shared" si="18"/>
        <v>Hors Data</v>
      </c>
      <c r="Q228">
        <f t="shared" si="19"/>
        <v>17.252499999999998</v>
      </c>
      <c r="R228" t="str" cm="1">
        <f t="array" ref="R228">_xlfn.IFS(Q228&gt;=16, "Excellent",Q228&gt;=14, "Très bien", Q228&gt;=12, "Bien", Q228&gt;=10, "Passable", Q228&lt;10, "Insuffisant")</f>
        <v>Excellent</v>
      </c>
    </row>
    <row r="229" spans="1:18">
      <c r="A229" t="s">
        <v>413</v>
      </c>
      <c r="B229" t="s">
        <v>229</v>
      </c>
      <c r="C229" t="s">
        <v>25</v>
      </c>
      <c r="D229" t="s">
        <v>38</v>
      </c>
      <c r="E229" t="s">
        <v>48</v>
      </c>
      <c r="F229">
        <v>20</v>
      </c>
      <c r="G229">
        <v>17.64</v>
      </c>
      <c r="H229">
        <v>17.62</v>
      </c>
      <c r="I229">
        <v>20</v>
      </c>
      <c r="J229" s="4">
        <v>0.79869999999999997</v>
      </c>
      <c r="K229">
        <v>80000</v>
      </c>
      <c r="L229" s="2">
        <v>45805</v>
      </c>
      <c r="M229" t="str">
        <f t="shared" si="15"/>
        <v>Admis</v>
      </c>
      <c r="N229" t="str">
        <f t="shared" si="16"/>
        <v>Non Eligible</v>
      </c>
      <c r="O229" t="str">
        <f t="shared" si="17"/>
        <v>RAS</v>
      </c>
      <c r="P229" t="str">
        <f t="shared" si="18"/>
        <v>Hors Data</v>
      </c>
      <c r="Q229">
        <f t="shared" si="19"/>
        <v>18.815000000000001</v>
      </c>
      <c r="R229" t="str" cm="1">
        <f t="array" ref="R229">_xlfn.IFS(Q229&gt;=16, "Excellent",Q229&gt;=14, "Très bien", Q229&gt;=12, "Bien", Q229&gt;=10, "Passable", Q229&lt;10, "Insuffisant")</f>
        <v>Excellent</v>
      </c>
    </row>
    <row r="230" spans="1:18">
      <c r="A230" t="s">
        <v>414</v>
      </c>
      <c r="B230" t="s">
        <v>415</v>
      </c>
      <c r="C230" t="s">
        <v>25</v>
      </c>
      <c r="D230" t="s">
        <v>38</v>
      </c>
      <c r="E230" t="s">
        <v>27</v>
      </c>
      <c r="F230">
        <v>18.73</v>
      </c>
      <c r="G230">
        <v>19.39</v>
      </c>
      <c r="H230">
        <v>14.66</v>
      </c>
      <c r="I230">
        <v>20</v>
      </c>
      <c r="J230" s="4">
        <v>0.64900000000000002</v>
      </c>
      <c r="K230">
        <v>60000</v>
      </c>
      <c r="L230" s="2">
        <v>46222</v>
      </c>
      <c r="M230" t="str">
        <f t="shared" si="15"/>
        <v>Admis</v>
      </c>
      <c r="N230" t="str">
        <f t="shared" si="16"/>
        <v>Non Eligible</v>
      </c>
      <c r="O230" t="str">
        <f t="shared" si="17"/>
        <v>RAS</v>
      </c>
      <c r="P230" t="str">
        <f t="shared" si="18"/>
        <v>Hors Data</v>
      </c>
      <c r="Q230">
        <f t="shared" si="19"/>
        <v>18.195</v>
      </c>
      <c r="R230" t="str" cm="1">
        <f t="array" ref="R230">_xlfn.IFS(Q230&gt;=16, "Excellent",Q230&gt;=14, "Très bien", Q230&gt;=12, "Bien", Q230&gt;=10, "Passable", Q230&lt;10, "Insuffisant")</f>
        <v>Excellent</v>
      </c>
    </row>
    <row r="231" spans="1:18">
      <c r="A231" t="s">
        <v>416</v>
      </c>
      <c r="B231" t="s">
        <v>417</v>
      </c>
      <c r="C231" t="s">
        <v>20</v>
      </c>
      <c r="D231" t="s">
        <v>34</v>
      </c>
      <c r="E231" t="s">
        <v>27</v>
      </c>
      <c r="F231">
        <v>6.25</v>
      </c>
      <c r="G231">
        <v>7.59</v>
      </c>
      <c r="H231">
        <v>13.09</v>
      </c>
      <c r="I231">
        <v>10.92</v>
      </c>
      <c r="J231" s="4">
        <v>0.79449999999999998</v>
      </c>
      <c r="K231">
        <v>120000</v>
      </c>
      <c r="L231" s="2">
        <v>45773</v>
      </c>
      <c r="M231" t="str">
        <f t="shared" si="15"/>
        <v>Admis</v>
      </c>
      <c r="N231" t="str">
        <f t="shared" si="16"/>
        <v>Non Eligible</v>
      </c>
      <c r="O231" t="str">
        <f t="shared" si="17"/>
        <v>A surveiller</v>
      </c>
      <c r="P231" t="str">
        <f t="shared" si="18"/>
        <v>Hors Data</v>
      </c>
      <c r="Q231">
        <f t="shared" si="19"/>
        <v>9.4625000000000004</v>
      </c>
      <c r="R231" t="str" cm="1">
        <f t="array" ref="R231">_xlfn.IFS(Q231&gt;=16, "Excellent",Q231&gt;=14, "Très bien", Q231&gt;=12, "Bien", Q231&gt;=10, "Passable", Q231&lt;10, "Insuffisant")</f>
        <v>Insuffisant</v>
      </c>
    </row>
    <row r="232" spans="1:18">
      <c r="A232" t="s">
        <v>418</v>
      </c>
      <c r="B232" t="s">
        <v>40</v>
      </c>
      <c r="C232" t="s">
        <v>20</v>
      </c>
      <c r="D232" t="s">
        <v>38</v>
      </c>
      <c r="E232" t="s">
        <v>22</v>
      </c>
      <c r="F232">
        <v>10.029999999999999</v>
      </c>
      <c r="G232">
        <v>14.89</v>
      </c>
      <c r="H232">
        <v>9.69</v>
      </c>
      <c r="I232">
        <v>9.83</v>
      </c>
      <c r="J232" s="4">
        <v>0.94510000000000005</v>
      </c>
      <c r="K232">
        <v>110000</v>
      </c>
      <c r="L232" s="2">
        <v>45775</v>
      </c>
      <c r="M232" t="str">
        <f t="shared" si="15"/>
        <v>Non admis</v>
      </c>
      <c r="N232" t="str">
        <f t="shared" si="16"/>
        <v>Non Eligible</v>
      </c>
      <c r="O232" t="str">
        <f t="shared" si="17"/>
        <v>A surveiller</v>
      </c>
      <c r="P232" t="str">
        <f t="shared" si="18"/>
        <v>Data</v>
      </c>
      <c r="Q232">
        <f t="shared" si="19"/>
        <v>11.11</v>
      </c>
      <c r="R232" t="str" cm="1">
        <f t="array" ref="R232">_xlfn.IFS(Q232&gt;=16, "Excellent",Q232&gt;=14, "Très bien", Q232&gt;=12, "Bien", Q232&gt;=10, "Passable", Q232&lt;10, "Insuffisant")</f>
        <v>Passable</v>
      </c>
    </row>
    <row r="233" spans="1:18">
      <c r="A233" t="s">
        <v>419</v>
      </c>
      <c r="B233" t="s">
        <v>420</v>
      </c>
      <c r="C233" t="s">
        <v>25</v>
      </c>
      <c r="D233" t="s">
        <v>53</v>
      </c>
      <c r="E233" t="s">
        <v>48</v>
      </c>
      <c r="F233">
        <v>20</v>
      </c>
      <c r="G233">
        <v>17.87</v>
      </c>
      <c r="H233">
        <v>16.09</v>
      </c>
      <c r="I233">
        <v>18.899999999999999</v>
      </c>
      <c r="J233" s="4">
        <v>0.75680000000000003</v>
      </c>
      <c r="K233">
        <v>85000</v>
      </c>
      <c r="L233" s="2">
        <v>45765</v>
      </c>
      <c r="M233" t="str">
        <f t="shared" si="15"/>
        <v>Admis</v>
      </c>
      <c r="N233" t="str">
        <f t="shared" si="16"/>
        <v>Non Eligible</v>
      </c>
      <c r="O233" t="str">
        <f t="shared" si="17"/>
        <v>RAS</v>
      </c>
      <c r="P233" t="str">
        <f t="shared" si="18"/>
        <v>Hors Data</v>
      </c>
      <c r="Q233">
        <f t="shared" si="19"/>
        <v>18.215000000000003</v>
      </c>
      <c r="R233" t="str" cm="1">
        <f t="array" ref="R233">_xlfn.IFS(Q233&gt;=16, "Excellent",Q233&gt;=14, "Très bien", Q233&gt;=12, "Bien", Q233&gt;=10, "Passable", Q233&lt;10, "Insuffisant")</f>
        <v>Excellent</v>
      </c>
    </row>
    <row r="234" spans="1:18">
      <c r="A234" t="s">
        <v>421</v>
      </c>
      <c r="B234" t="s">
        <v>135</v>
      </c>
      <c r="C234" t="s">
        <v>20</v>
      </c>
      <c r="D234" t="s">
        <v>34</v>
      </c>
      <c r="E234" t="s">
        <v>27</v>
      </c>
      <c r="F234">
        <v>11.36</v>
      </c>
      <c r="G234">
        <v>11.04</v>
      </c>
      <c r="H234">
        <v>8.14</v>
      </c>
      <c r="I234">
        <v>13.1</v>
      </c>
      <c r="J234" s="4">
        <v>0.55000000000000004</v>
      </c>
      <c r="K234">
        <v>50000</v>
      </c>
      <c r="L234" s="2">
        <v>45764</v>
      </c>
      <c r="M234" t="str">
        <f t="shared" si="15"/>
        <v>Non admis</v>
      </c>
      <c r="N234" t="str">
        <f t="shared" si="16"/>
        <v>Non Eligible</v>
      </c>
      <c r="O234" t="str">
        <f t="shared" si="17"/>
        <v>A surveiller</v>
      </c>
      <c r="P234" t="str">
        <f t="shared" si="18"/>
        <v>Hors Data</v>
      </c>
      <c r="Q234">
        <f t="shared" si="19"/>
        <v>10.91</v>
      </c>
      <c r="R234" t="str" cm="1">
        <f t="array" ref="R234">_xlfn.IFS(Q234&gt;=16, "Excellent",Q234&gt;=14, "Très bien", Q234&gt;=12, "Bien", Q234&gt;=10, "Passable", Q234&lt;10, "Insuffisant")</f>
        <v>Passable</v>
      </c>
    </row>
    <row r="235" spans="1:18">
      <c r="A235" t="s">
        <v>422</v>
      </c>
      <c r="B235" t="s">
        <v>423</v>
      </c>
      <c r="C235" t="s">
        <v>25</v>
      </c>
      <c r="D235" t="s">
        <v>26</v>
      </c>
      <c r="E235" t="s">
        <v>48</v>
      </c>
      <c r="F235">
        <v>7.95</v>
      </c>
      <c r="G235">
        <v>13.18</v>
      </c>
      <c r="H235">
        <v>9.5500000000000007</v>
      </c>
      <c r="I235">
        <v>9.99</v>
      </c>
      <c r="J235" s="4">
        <v>0.90759999999999996</v>
      </c>
      <c r="K235">
        <v>85000</v>
      </c>
      <c r="L235" s="2">
        <v>45598</v>
      </c>
      <c r="M235" t="str">
        <f t="shared" si="15"/>
        <v>Non admis</v>
      </c>
      <c r="N235" t="str">
        <f t="shared" si="16"/>
        <v>Non Eligible</v>
      </c>
      <c r="O235" t="str">
        <f t="shared" si="17"/>
        <v>A surveiller</v>
      </c>
      <c r="P235" t="str">
        <f t="shared" si="18"/>
        <v>Hors Data</v>
      </c>
      <c r="Q235">
        <f t="shared" si="19"/>
        <v>10.1675</v>
      </c>
      <c r="R235" t="str" cm="1">
        <f t="array" ref="R235">_xlfn.IFS(Q235&gt;=16, "Excellent",Q235&gt;=14, "Très bien", Q235&gt;=12, "Bien", Q235&gt;=10, "Passable", Q235&lt;10, "Insuffisant")</f>
        <v>Passable</v>
      </c>
    </row>
    <row r="236" spans="1:18">
      <c r="A236" t="s">
        <v>424</v>
      </c>
      <c r="B236" t="s">
        <v>425</v>
      </c>
      <c r="C236" t="s">
        <v>20</v>
      </c>
      <c r="D236" t="s">
        <v>26</v>
      </c>
      <c r="E236" t="s">
        <v>22</v>
      </c>
      <c r="F236">
        <v>10.63</v>
      </c>
      <c r="G236">
        <v>13.99</v>
      </c>
      <c r="H236">
        <v>16.22</v>
      </c>
      <c r="I236">
        <v>16</v>
      </c>
      <c r="J236" s="4">
        <v>0.59889999999999999</v>
      </c>
      <c r="K236">
        <v>90000</v>
      </c>
      <c r="L236" s="2">
        <v>45958</v>
      </c>
      <c r="M236" t="str">
        <f t="shared" si="15"/>
        <v>Admis</v>
      </c>
      <c r="N236" t="str">
        <f t="shared" si="16"/>
        <v>Non Eligible</v>
      </c>
      <c r="O236" t="str">
        <f t="shared" si="17"/>
        <v>RAS</v>
      </c>
      <c r="P236" t="str">
        <f t="shared" si="18"/>
        <v>Data</v>
      </c>
      <c r="Q236">
        <f t="shared" si="19"/>
        <v>14.21</v>
      </c>
      <c r="R236" t="str" cm="1">
        <f t="array" ref="R236">_xlfn.IFS(Q236&gt;=16, "Excellent",Q236&gt;=14, "Très bien", Q236&gt;=12, "Bien", Q236&gt;=10, "Passable", Q236&lt;10, "Insuffisant")</f>
        <v>Très bien</v>
      </c>
    </row>
    <row r="237" spans="1:18">
      <c r="A237" t="s">
        <v>426</v>
      </c>
      <c r="B237" t="s">
        <v>301</v>
      </c>
      <c r="C237" t="s">
        <v>25</v>
      </c>
      <c r="D237" t="s">
        <v>41</v>
      </c>
      <c r="E237" t="s">
        <v>22</v>
      </c>
      <c r="F237">
        <v>13.45</v>
      </c>
      <c r="G237">
        <v>13.15</v>
      </c>
      <c r="H237">
        <v>19.48</v>
      </c>
      <c r="I237">
        <v>16.45</v>
      </c>
      <c r="J237" s="4">
        <v>0.69740000000000002</v>
      </c>
      <c r="K237">
        <v>120000</v>
      </c>
      <c r="L237" s="2">
        <v>45553</v>
      </c>
      <c r="M237" t="str">
        <f t="shared" si="15"/>
        <v>Admis</v>
      </c>
      <c r="N237" t="str">
        <f t="shared" si="16"/>
        <v>Non Eligible</v>
      </c>
      <c r="O237" t="str">
        <f t="shared" si="17"/>
        <v>RAS</v>
      </c>
      <c r="P237" t="str">
        <f t="shared" si="18"/>
        <v>Data</v>
      </c>
      <c r="Q237">
        <f t="shared" si="19"/>
        <v>15.6325</v>
      </c>
      <c r="R237" t="str" cm="1">
        <f t="array" ref="R237">_xlfn.IFS(Q237&gt;=16, "Excellent",Q237&gt;=14, "Très bien", Q237&gt;=12, "Bien", Q237&gt;=10, "Passable", Q237&lt;10, "Insuffisant")</f>
        <v>Très bien</v>
      </c>
    </row>
    <row r="238" spans="1:18">
      <c r="A238" t="s">
        <v>427</v>
      </c>
      <c r="B238" t="s">
        <v>428</v>
      </c>
      <c r="C238" t="s">
        <v>25</v>
      </c>
      <c r="D238" t="s">
        <v>53</v>
      </c>
      <c r="E238" t="s">
        <v>22</v>
      </c>
      <c r="F238">
        <v>14.01</v>
      </c>
      <c r="G238">
        <v>12.19</v>
      </c>
      <c r="H238">
        <v>9.76</v>
      </c>
      <c r="I238">
        <v>13.58</v>
      </c>
      <c r="J238" s="4">
        <v>0.77359999999999995</v>
      </c>
      <c r="K238">
        <v>85000</v>
      </c>
      <c r="L238" s="2">
        <v>45694</v>
      </c>
      <c r="M238" t="str">
        <f t="shared" si="15"/>
        <v>Non admis</v>
      </c>
      <c r="N238" t="str">
        <f t="shared" si="16"/>
        <v>Non Eligible</v>
      </c>
      <c r="O238" t="str">
        <f t="shared" si="17"/>
        <v>A surveiller</v>
      </c>
      <c r="P238" t="str">
        <f t="shared" si="18"/>
        <v>Data</v>
      </c>
      <c r="Q238">
        <f t="shared" si="19"/>
        <v>12.385</v>
      </c>
      <c r="R238" t="str" cm="1">
        <f t="array" ref="R238">_xlfn.IFS(Q238&gt;=16, "Excellent",Q238&gt;=14, "Très bien", Q238&gt;=12, "Bien", Q238&gt;=10, "Passable", Q238&lt;10, "Insuffisant")</f>
        <v>Bien</v>
      </c>
    </row>
    <row r="239" spans="1:18">
      <c r="A239" t="s">
        <v>429</v>
      </c>
      <c r="B239" t="s">
        <v>354</v>
      </c>
      <c r="C239" t="s">
        <v>20</v>
      </c>
      <c r="D239" t="s">
        <v>21</v>
      </c>
      <c r="E239" t="s">
        <v>22</v>
      </c>
      <c r="F239">
        <v>14.62</v>
      </c>
      <c r="G239">
        <v>13.17</v>
      </c>
      <c r="H239">
        <v>11.1</v>
      </c>
      <c r="I239">
        <v>12.13</v>
      </c>
      <c r="J239" s="4">
        <v>0.91810000000000003</v>
      </c>
      <c r="K239">
        <v>85000</v>
      </c>
      <c r="L239" s="2">
        <v>45677</v>
      </c>
      <c r="M239" t="str">
        <f t="shared" si="15"/>
        <v>Admis</v>
      </c>
      <c r="N239" t="str">
        <f t="shared" si="16"/>
        <v>Non Eligible</v>
      </c>
      <c r="O239" t="str">
        <f t="shared" si="17"/>
        <v>RAS</v>
      </c>
      <c r="P239" t="str">
        <f t="shared" si="18"/>
        <v>Data</v>
      </c>
      <c r="Q239">
        <f t="shared" si="19"/>
        <v>12.755000000000001</v>
      </c>
      <c r="R239" t="str" cm="1">
        <f t="array" ref="R239">_xlfn.IFS(Q239&gt;=16, "Excellent",Q239&gt;=14, "Très bien", Q239&gt;=12, "Bien", Q239&gt;=10, "Passable", Q239&lt;10, "Insuffisant")</f>
        <v>Bien</v>
      </c>
    </row>
    <row r="240" spans="1:18">
      <c r="A240" t="s">
        <v>430</v>
      </c>
      <c r="B240" t="s">
        <v>431</v>
      </c>
      <c r="C240" t="s">
        <v>20</v>
      </c>
      <c r="D240" t="s">
        <v>38</v>
      </c>
      <c r="E240" t="s">
        <v>27</v>
      </c>
      <c r="F240">
        <v>13.93</v>
      </c>
      <c r="G240">
        <v>10.64</v>
      </c>
      <c r="H240">
        <v>9.5399999999999991</v>
      </c>
      <c r="I240">
        <v>11.81</v>
      </c>
      <c r="J240" s="4">
        <v>0.8478</v>
      </c>
      <c r="K240">
        <v>80000</v>
      </c>
      <c r="L240" s="2">
        <v>45740</v>
      </c>
      <c r="M240" t="str">
        <f t="shared" si="15"/>
        <v>Non admis</v>
      </c>
      <c r="N240" t="str">
        <f t="shared" si="16"/>
        <v>Non Eligible</v>
      </c>
      <c r="O240" t="str">
        <f t="shared" si="17"/>
        <v>A surveiller</v>
      </c>
      <c r="P240" t="str">
        <f t="shared" si="18"/>
        <v>Hors Data</v>
      </c>
      <c r="Q240">
        <f t="shared" si="19"/>
        <v>11.48</v>
      </c>
      <c r="R240" t="str" cm="1">
        <f t="array" ref="R240">_xlfn.IFS(Q240&gt;=16, "Excellent",Q240&gt;=14, "Très bien", Q240&gt;=12, "Bien", Q240&gt;=10, "Passable", Q240&lt;10, "Insuffisant")</f>
        <v>Passable</v>
      </c>
    </row>
    <row r="241" spans="1:18">
      <c r="A241" t="s">
        <v>432</v>
      </c>
      <c r="B241" t="s">
        <v>433</v>
      </c>
      <c r="C241" t="s">
        <v>25</v>
      </c>
      <c r="D241" t="s">
        <v>41</v>
      </c>
      <c r="E241" t="s">
        <v>27</v>
      </c>
      <c r="F241">
        <v>12.51</v>
      </c>
      <c r="G241">
        <v>7.25</v>
      </c>
      <c r="H241">
        <v>13.88</v>
      </c>
      <c r="I241">
        <v>8.65</v>
      </c>
      <c r="J241" s="4">
        <v>0.93389999999999995</v>
      </c>
      <c r="K241">
        <v>80000</v>
      </c>
      <c r="L241" s="2">
        <v>46065</v>
      </c>
      <c r="M241" t="str">
        <f t="shared" si="15"/>
        <v>Admis</v>
      </c>
      <c r="N241" t="str">
        <f t="shared" si="16"/>
        <v>Eligible</v>
      </c>
      <c r="O241" t="str">
        <f t="shared" si="17"/>
        <v>RAS</v>
      </c>
      <c r="P241" t="str">
        <f t="shared" si="18"/>
        <v>Hors Data</v>
      </c>
      <c r="Q241">
        <f t="shared" si="19"/>
        <v>10.5725</v>
      </c>
      <c r="R241" t="str" cm="1">
        <f t="array" ref="R241">_xlfn.IFS(Q241&gt;=16, "Excellent",Q241&gt;=14, "Très bien", Q241&gt;=12, "Bien", Q241&gt;=10, "Passable", Q241&lt;10, "Insuffisant")</f>
        <v>Passable</v>
      </c>
    </row>
    <row r="242" spans="1:18">
      <c r="A242" t="s">
        <v>434</v>
      </c>
      <c r="B242" t="s">
        <v>285</v>
      </c>
      <c r="C242" t="s">
        <v>20</v>
      </c>
      <c r="D242" t="s">
        <v>34</v>
      </c>
      <c r="E242" t="s">
        <v>48</v>
      </c>
      <c r="F242">
        <v>8.11</v>
      </c>
      <c r="G242">
        <v>11.32</v>
      </c>
      <c r="H242">
        <v>11.87</v>
      </c>
      <c r="I242">
        <v>10.74</v>
      </c>
      <c r="J242" s="4">
        <v>0.80379999999999996</v>
      </c>
      <c r="K242">
        <v>50000</v>
      </c>
      <c r="L242" s="2">
        <v>45955</v>
      </c>
      <c r="M242" t="str">
        <f t="shared" si="15"/>
        <v>Admis</v>
      </c>
      <c r="N242" t="str">
        <f t="shared" si="16"/>
        <v>Non Eligible</v>
      </c>
      <c r="O242" t="str">
        <f t="shared" si="17"/>
        <v>A surveiller</v>
      </c>
      <c r="P242" t="str">
        <f t="shared" si="18"/>
        <v>Hors Data</v>
      </c>
      <c r="Q242">
        <f t="shared" si="19"/>
        <v>10.51</v>
      </c>
      <c r="R242" t="str" cm="1">
        <f t="array" ref="R242">_xlfn.IFS(Q242&gt;=16, "Excellent",Q242&gt;=14, "Très bien", Q242&gt;=12, "Bien", Q242&gt;=10, "Passable", Q242&lt;10, "Insuffisant")</f>
        <v>Passable</v>
      </c>
    </row>
    <row r="243" spans="1:18">
      <c r="A243" t="s">
        <v>435</v>
      </c>
      <c r="B243" t="s">
        <v>436</v>
      </c>
      <c r="C243" t="s">
        <v>25</v>
      </c>
      <c r="D243" t="s">
        <v>53</v>
      </c>
      <c r="E243" t="s">
        <v>48</v>
      </c>
      <c r="F243">
        <v>16.97</v>
      </c>
      <c r="G243">
        <v>17.03</v>
      </c>
      <c r="H243">
        <v>18.690000000000001</v>
      </c>
      <c r="I243">
        <v>20</v>
      </c>
      <c r="J243" s="4">
        <v>0.72509999999999997</v>
      </c>
      <c r="K243">
        <v>60000</v>
      </c>
      <c r="L243" s="2">
        <v>46229</v>
      </c>
      <c r="M243" t="str">
        <f t="shared" si="15"/>
        <v>Admis</v>
      </c>
      <c r="N243" t="str">
        <f t="shared" si="16"/>
        <v>Non Eligible</v>
      </c>
      <c r="O243" t="str">
        <f t="shared" si="17"/>
        <v>RAS</v>
      </c>
      <c r="P243" t="str">
        <f t="shared" si="18"/>
        <v>Hors Data</v>
      </c>
      <c r="Q243">
        <f t="shared" si="19"/>
        <v>18.172499999999999</v>
      </c>
      <c r="R243" t="str" cm="1">
        <f t="array" ref="R243">_xlfn.IFS(Q243&gt;=16, "Excellent",Q243&gt;=14, "Très bien", Q243&gt;=12, "Bien", Q243&gt;=10, "Passable", Q243&lt;10, "Insuffisant")</f>
        <v>Excellent</v>
      </c>
    </row>
    <row r="244" spans="1:18">
      <c r="A244" t="s">
        <v>437</v>
      </c>
      <c r="B244" t="s">
        <v>139</v>
      </c>
      <c r="C244" t="s">
        <v>20</v>
      </c>
      <c r="D244" t="s">
        <v>26</v>
      </c>
      <c r="E244" t="s">
        <v>27</v>
      </c>
      <c r="F244">
        <v>15.51</v>
      </c>
      <c r="G244">
        <v>18.29</v>
      </c>
      <c r="H244">
        <v>14.69</v>
      </c>
      <c r="I244">
        <v>13.32</v>
      </c>
      <c r="J244" s="4">
        <v>0.87749999999999995</v>
      </c>
      <c r="K244">
        <v>110000</v>
      </c>
      <c r="L244" s="2">
        <v>45781</v>
      </c>
      <c r="M244" t="str">
        <f t="shared" si="15"/>
        <v>Admis</v>
      </c>
      <c r="N244" t="str">
        <f t="shared" si="16"/>
        <v>Eligible</v>
      </c>
      <c r="O244" t="str">
        <f t="shared" si="17"/>
        <v>RAS</v>
      </c>
      <c r="P244" t="str">
        <f t="shared" si="18"/>
        <v>Hors Data</v>
      </c>
      <c r="Q244">
        <f t="shared" si="19"/>
        <v>15.452499999999999</v>
      </c>
      <c r="R244" t="str" cm="1">
        <f t="array" ref="R244">_xlfn.IFS(Q244&gt;=16, "Excellent",Q244&gt;=14, "Très bien", Q244&gt;=12, "Bien", Q244&gt;=10, "Passable", Q244&lt;10, "Insuffisant")</f>
        <v>Très bien</v>
      </c>
    </row>
    <row r="245" spans="1:18">
      <c r="A245" t="s">
        <v>438</v>
      </c>
      <c r="B245" t="s">
        <v>317</v>
      </c>
      <c r="C245" t="s">
        <v>25</v>
      </c>
      <c r="D245" t="s">
        <v>53</v>
      </c>
      <c r="E245" t="s">
        <v>35</v>
      </c>
      <c r="F245">
        <v>13.02</v>
      </c>
      <c r="G245">
        <v>16.77</v>
      </c>
      <c r="H245">
        <v>15.13</v>
      </c>
      <c r="I245">
        <v>16.63</v>
      </c>
      <c r="J245" s="4">
        <v>0.79690000000000005</v>
      </c>
      <c r="K245">
        <v>75000</v>
      </c>
      <c r="L245" s="2">
        <v>46185</v>
      </c>
      <c r="M245" t="str">
        <f t="shared" si="15"/>
        <v>Admis</v>
      </c>
      <c r="N245" t="str">
        <f t="shared" si="16"/>
        <v>Non Eligible</v>
      </c>
      <c r="O245" t="str">
        <f t="shared" si="17"/>
        <v>RAS</v>
      </c>
      <c r="P245" t="str">
        <f t="shared" si="18"/>
        <v>Hors Data</v>
      </c>
      <c r="Q245">
        <f t="shared" si="19"/>
        <v>15.387499999999999</v>
      </c>
      <c r="R245" t="str" cm="1">
        <f t="array" ref="R245">_xlfn.IFS(Q245&gt;=16, "Excellent",Q245&gt;=14, "Très bien", Q245&gt;=12, "Bien", Q245&gt;=10, "Passable", Q245&lt;10, "Insuffisant")</f>
        <v>Très bien</v>
      </c>
    </row>
    <row r="246" spans="1:18">
      <c r="A246" t="s">
        <v>439</v>
      </c>
      <c r="B246" t="s">
        <v>111</v>
      </c>
      <c r="C246" t="s">
        <v>25</v>
      </c>
      <c r="D246" t="s">
        <v>38</v>
      </c>
      <c r="E246" t="s">
        <v>35</v>
      </c>
      <c r="F246">
        <v>11.63</v>
      </c>
      <c r="G246">
        <v>10.54</v>
      </c>
      <c r="H246">
        <v>15.88</v>
      </c>
      <c r="I246">
        <v>12.08</v>
      </c>
      <c r="J246" s="4">
        <v>0.76190000000000002</v>
      </c>
      <c r="K246">
        <v>120000</v>
      </c>
      <c r="L246" s="2">
        <v>45567</v>
      </c>
      <c r="M246" t="str">
        <f t="shared" si="15"/>
        <v>Admis</v>
      </c>
      <c r="N246" t="str">
        <f t="shared" si="16"/>
        <v>Non Eligible</v>
      </c>
      <c r="O246" t="str">
        <f t="shared" si="17"/>
        <v>RAS</v>
      </c>
      <c r="P246" t="str">
        <f t="shared" si="18"/>
        <v>Hors Data</v>
      </c>
      <c r="Q246">
        <f t="shared" si="19"/>
        <v>12.532500000000001</v>
      </c>
      <c r="R246" t="str" cm="1">
        <f t="array" ref="R246">_xlfn.IFS(Q246&gt;=16, "Excellent",Q246&gt;=14, "Très bien", Q246&gt;=12, "Bien", Q246&gt;=10, "Passable", Q246&lt;10, "Insuffisant")</f>
        <v>Bien</v>
      </c>
    </row>
    <row r="247" spans="1:18">
      <c r="A247" t="s">
        <v>440</v>
      </c>
      <c r="B247" t="s">
        <v>139</v>
      </c>
      <c r="C247" t="s">
        <v>20</v>
      </c>
      <c r="D247" t="s">
        <v>26</v>
      </c>
      <c r="E247" t="s">
        <v>48</v>
      </c>
      <c r="F247">
        <v>13.65</v>
      </c>
      <c r="G247">
        <v>11.84</v>
      </c>
      <c r="H247">
        <v>14.38</v>
      </c>
      <c r="I247">
        <v>14.58</v>
      </c>
      <c r="J247" s="4">
        <v>0.95069999999999999</v>
      </c>
      <c r="K247">
        <v>80000</v>
      </c>
      <c r="L247" s="2">
        <v>45888</v>
      </c>
      <c r="M247" t="str">
        <f t="shared" si="15"/>
        <v>Admis</v>
      </c>
      <c r="N247" t="str">
        <f t="shared" si="16"/>
        <v>Eligible</v>
      </c>
      <c r="O247" t="str">
        <f t="shared" si="17"/>
        <v>RAS</v>
      </c>
      <c r="P247" t="str">
        <f t="shared" si="18"/>
        <v>Hors Data</v>
      </c>
      <c r="Q247">
        <f t="shared" si="19"/>
        <v>13.612500000000001</v>
      </c>
      <c r="R247" t="str" cm="1">
        <f t="array" ref="R247">_xlfn.IFS(Q247&gt;=16, "Excellent",Q247&gt;=14, "Très bien", Q247&gt;=12, "Bien", Q247&gt;=10, "Passable", Q247&lt;10, "Insuffisant")</f>
        <v>Bien</v>
      </c>
    </row>
    <row r="248" spans="1:18">
      <c r="A248" t="s">
        <v>441</v>
      </c>
      <c r="B248" t="s">
        <v>442</v>
      </c>
      <c r="C248" t="s">
        <v>25</v>
      </c>
      <c r="D248" t="s">
        <v>34</v>
      </c>
      <c r="E248" t="s">
        <v>35</v>
      </c>
      <c r="F248">
        <v>9</v>
      </c>
      <c r="G248">
        <v>7.75</v>
      </c>
      <c r="H248">
        <v>13.18</v>
      </c>
      <c r="I248">
        <v>12.86</v>
      </c>
      <c r="J248" s="4">
        <v>0.84540000000000004</v>
      </c>
      <c r="K248">
        <v>130000</v>
      </c>
      <c r="L248" s="2">
        <v>46095</v>
      </c>
      <c r="M248" t="str">
        <f t="shared" si="15"/>
        <v>Admis</v>
      </c>
      <c r="N248" t="str">
        <f t="shared" si="16"/>
        <v>Non Eligible</v>
      </c>
      <c r="O248" t="str">
        <f t="shared" si="17"/>
        <v>A surveiller</v>
      </c>
      <c r="P248" t="str">
        <f t="shared" si="18"/>
        <v>Hors Data</v>
      </c>
      <c r="Q248">
        <f t="shared" si="19"/>
        <v>10.6975</v>
      </c>
      <c r="R248" t="str" cm="1">
        <f t="array" ref="R248">_xlfn.IFS(Q248&gt;=16, "Excellent",Q248&gt;=14, "Très bien", Q248&gt;=12, "Bien", Q248&gt;=10, "Passable", Q248&lt;10, "Insuffisant")</f>
        <v>Passable</v>
      </c>
    </row>
    <row r="249" spans="1:18">
      <c r="A249" t="s">
        <v>443</v>
      </c>
      <c r="B249" t="s">
        <v>444</v>
      </c>
      <c r="C249" t="s">
        <v>20</v>
      </c>
      <c r="D249" t="s">
        <v>26</v>
      </c>
      <c r="E249" t="s">
        <v>22</v>
      </c>
      <c r="F249">
        <v>3.82</v>
      </c>
      <c r="G249">
        <v>4.0599999999999996</v>
      </c>
      <c r="H249">
        <v>0.41</v>
      </c>
      <c r="I249">
        <v>6.34</v>
      </c>
      <c r="J249" s="4">
        <v>0.92369999999999997</v>
      </c>
      <c r="K249">
        <v>60000</v>
      </c>
      <c r="L249" s="2">
        <v>45908</v>
      </c>
      <c r="M249" t="str">
        <f t="shared" si="15"/>
        <v>Non admis</v>
      </c>
      <c r="N249" t="str">
        <f t="shared" si="16"/>
        <v>Non Eligible</v>
      </c>
      <c r="O249" t="str">
        <f t="shared" si="17"/>
        <v>A surveiller</v>
      </c>
      <c r="P249" t="str">
        <f t="shared" si="18"/>
        <v>Data</v>
      </c>
      <c r="Q249">
        <f t="shared" si="19"/>
        <v>3.6574999999999998</v>
      </c>
      <c r="R249" t="str" cm="1">
        <f t="array" ref="R249">_xlfn.IFS(Q249&gt;=16, "Excellent",Q249&gt;=14, "Très bien", Q249&gt;=12, "Bien", Q249&gt;=10, "Passable", Q249&lt;10, "Insuffisant")</f>
        <v>Insuffisant</v>
      </c>
    </row>
    <row r="250" spans="1:18">
      <c r="A250" t="s">
        <v>445</v>
      </c>
      <c r="B250" t="s">
        <v>301</v>
      </c>
      <c r="C250" t="s">
        <v>25</v>
      </c>
      <c r="D250" t="s">
        <v>34</v>
      </c>
      <c r="E250" t="s">
        <v>48</v>
      </c>
      <c r="F250">
        <v>9.43</v>
      </c>
      <c r="G250">
        <v>12.28</v>
      </c>
      <c r="H250">
        <v>9.69</v>
      </c>
      <c r="I250">
        <v>6.53</v>
      </c>
      <c r="J250" s="4">
        <v>0.87739999999999996</v>
      </c>
      <c r="K250">
        <v>70000</v>
      </c>
      <c r="L250" s="2">
        <v>46189</v>
      </c>
      <c r="M250" t="str">
        <f t="shared" si="15"/>
        <v>Non admis</v>
      </c>
      <c r="N250" t="str">
        <f t="shared" si="16"/>
        <v>Non Eligible</v>
      </c>
      <c r="O250" t="str">
        <f t="shared" si="17"/>
        <v>A surveiller</v>
      </c>
      <c r="P250" t="str">
        <f t="shared" si="18"/>
        <v>Hors Data</v>
      </c>
      <c r="Q250">
        <f t="shared" si="19"/>
        <v>9.4824999999999999</v>
      </c>
      <c r="R250" t="str" cm="1">
        <f t="array" ref="R250">_xlfn.IFS(Q250&gt;=16, "Excellent",Q250&gt;=14, "Très bien", Q250&gt;=12, "Bien", Q250&gt;=10, "Passable", Q250&lt;10, "Insuffisant")</f>
        <v>Insuffisant</v>
      </c>
    </row>
    <row r="251" spans="1:18">
      <c r="A251" t="s">
        <v>446</v>
      </c>
      <c r="B251" t="s">
        <v>231</v>
      </c>
      <c r="C251" t="s">
        <v>20</v>
      </c>
      <c r="D251" t="s">
        <v>41</v>
      </c>
      <c r="E251" t="s">
        <v>27</v>
      </c>
      <c r="F251">
        <v>9.5399999999999991</v>
      </c>
      <c r="G251">
        <v>13.74</v>
      </c>
      <c r="H251">
        <v>13.21</v>
      </c>
      <c r="I251">
        <v>12.27</v>
      </c>
      <c r="J251" s="4">
        <v>0.94869999999999999</v>
      </c>
      <c r="K251">
        <v>90000</v>
      </c>
      <c r="L251" s="2">
        <v>45756</v>
      </c>
      <c r="M251" t="str">
        <f t="shared" si="15"/>
        <v>Admis</v>
      </c>
      <c r="N251" t="str">
        <f t="shared" si="16"/>
        <v>Non Eligible</v>
      </c>
      <c r="O251" t="str">
        <f t="shared" si="17"/>
        <v>A surveiller</v>
      </c>
      <c r="P251" t="str">
        <f t="shared" si="18"/>
        <v>Hors Data</v>
      </c>
      <c r="Q251">
        <f t="shared" si="19"/>
        <v>12.190000000000001</v>
      </c>
      <c r="R251" t="str" cm="1">
        <f t="array" ref="R251">_xlfn.IFS(Q251&gt;=16, "Excellent",Q251&gt;=14, "Très bien", Q251&gt;=12, "Bien", Q251&gt;=10, "Passable", Q251&lt;10, "Insuffisant")</f>
        <v>Bien</v>
      </c>
    </row>
    <row r="252" spans="1:18">
      <c r="A252" t="s">
        <v>447</v>
      </c>
      <c r="B252" t="s">
        <v>431</v>
      </c>
      <c r="C252" t="s">
        <v>20</v>
      </c>
      <c r="D252" t="s">
        <v>34</v>
      </c>
      <c r="E252" t="s">
        <v>22</v>
      </c>
      <c r="F252">
        <v>9.5399999999999991</v>
      </c>
      <c r="G252">
        <v>9.1999999999999993</v>
      </c>
      <c r="H252">
        <v>10.32</v>
      </c>
      <c r="I252">
        <v>6.79</v>
      </c>
      <c r="J252" s="4">
        <v>0.83479999999999999</v>
      </c>
      <c r="K252">
        <v>110000</v>
      </c>
      <c r="L252" s="2">
        <v>45559</v>
      </c>
      <c r="M252" t="str">
        <f t="shared" si="15"/>
        <v>Admis</v>
      </c>
      <c r="N252" t="str">
        <f t="shared" si="16"/>
        <v>Non Eligible</v>
      </c>
      <c r="O252" t="str">
        <f t="shared" si="17"/>
        <v>A surveiller</v>
      </c>
      <c r="P252" t="str">
        <f t="shared" si="18"/>
        <v>Data</v>
      </c>
      <c r="Q252">
        <f t="shared" si="19"/>
        <v>8.9625000000000004</v>
      </c>
      <c r="R252" t="str" cm="1">
        <f t="array" ref="R252">_xlfn.IFS(Q252&gt;=16, "Excellent",Q252&gt;=14, "Très bien", Q252&gt;=12, "Bien", Q252&gt;=10, "Passable", Q252&lt;10, "Insuffisant")</f>
        <v>Insuffisant</v>
      </c>
    </row>
    <row r="253" spans="1:18">
      <c r="A253" t="s">
        <v>448</v>
      </c>
      <c r="B253" t="s">
        <v>449</v>
      </c>
      <c r="C253" t="s">
        <v>20</v>
      </c>
      <c r="D253" t="s">
        <v>53</v>
      </c>
      <c r="E253" t="s">
        <v>22</v>
      </c>
      <c r="F253">
        <v>11.49</v>
      </c>
      <c r="G253">
        <v>10.35</v>
      </c>
      <c r="H253">
        <v>6.29</v>
      </c>
      <c r="I253">
        <v>9.8800000000000008</v>
      </c>
      <c r="J253" s="4">
        <v>0.91059999999999997</v>
      </c>
      <c r="K253">
        <v>60000</v>
      </c>
      <c r="L253" s="2">
        <v>46077</v>
      </c>
      <c r="M253" t="str">
        <f t="shared" si="15"/>
        <v>Non admis</v>
      </c>
      <c r="N253" t="str">
        <f t="shared" si="16"/>
        <v>Non Eligible</v>
      </c>
      <c r="O253" t="str">
        <f t="shared" si="17"/>
        <v>A surveiller</v>
      </c>
      <c r="P253" t="str">
        <f t="shared" si="18"/>
        <v>Data</v>
      </c>
      <c r="Q253">
        <f t="shared" si="19"/>
        <v>9.5024999999999995</v>
      </c>
      <c r="R253" t="str" cm="1">
        <f t="array" ref="R253">_xlfn.IFS(Q253&gt;=16, "Excellent",Q253&gt;=14, "Très bien", Q253&gt;=12, "Bien", Q253&gt;=10, "Passable", Q253&lt;10, "Insuffisant")</f>
        <v>Insuffisant</v>
      </c>
    </row>
    <row r="254" spans="1:18">
      <c r="A254" t="s">
        <v>450</v>
      </c>
      <c r="B254" t="s">
        <v>451</v>
      </c>
      <c r="C254" t="s">
        <v>20</v>
      </c>
      <c r="D254" t="s">
        <v>53</v>
      </c>
      <c r="E254" t="s">
        <v>35</v>
      </c>
      <c r="F254">
        <v>17.37</v>
      </c>
      <c r="G254">
        <v>16.66</v>
      </c>
      <c r="H254">
        <v>16.72</v>
      </c>
      <c r="I254">
        <v>16.36</v>
      </c>
      <c r="J254" s="4">
        <v>0.94679999999999997</v>
      </c>
      <c r="K254">
        <v>85000</v>
      </c>
      <c r="L254" s="2">
        <v>45583</v>
      </c>
      <c r="M254" t="str">
        <f t="shared" si="15"/>
        <v>Admis</v>
      </c>
      <c r="N254" t="str">
        <f t="shared" si="16"/>
        <v>Eligible</v>
      </c>
      <c r="O254" t="str">
        <f t="shared" si="17"/>
        <v>RAS</v>
      </c>
      <c r="P254" t="str">
        <f t="shared" si="18"/>
        <v>Hors Data</v>
      </c>
      <c r="Q254">
        <f t="shared" si="19"/>
        <v>16.7775</v>
      </c>
      <c r="R254" t="str" cm="1">
        <f t="array" ref="R254">_xlfn.IFS(Q254&gt;=16, "Excellent",Q254&gt;=14, "Très bien", Q254&gt;=12, "Bien", Q254&gt;=10, "Passable", Q254&lt;10, "Insuffisant")</f>
        <v>Excellent</v>
      </c>
    </row>
    <row r="255" spans="1:18">
      <c r="A255" t="s">
        <v>452</v>
      </c>
      <c r="B255" t="s">
        <v>453</v>
      </c>
      <c r="C255" t="s">
        <v>20</v>
      </c>
      <c r="D255" t="s">
        <v>26</v>
      </c>
      <c r="E255" t="s">
        <v>27</v>
      </c>
      <c r="F255">
        <v>11.73</v>
      </c>
      <c r="G255">
        <v>11.67</v>
      </c>
      <c r="H255">
        <v>10.93</v>
      </c>
      <c r="I255">
        <v>12.2</v>
      </c>
      <c r="J255" s="4">
        <v>0.68320000000000003</v>
      </c>
      <c r="K255">
        <v>70000</v>
      </c>
      <c r="L255" s="2">
        <v>46071</v>
      </c>
      <c r="M255" t="str">
        <f t="shared" si="15"/>
        <v>Admis</v>
      </c>
      <c r="N255" t="str">
        <f t="shared" si="16"/>
        <v>Non Eligible</v>
      </c>
      <c r="O255" t="str">
        <f t="shared" si="17"/>
        <v>RAS</v>
      </c>
      <c r="P255" t="str">
        <f t="shared" si="18"/>
        <v>Hors Data</v>
      </c>
      <c r="Q255">
        <f t="shared" si="19"/>
        <v>11.6325</v>
      </c>
      <c r="R255" t="str" cm="1">
        <f t="array" ref="R255">_xlfn.IFS(Q255&gt;=16, "Excellent",Q255&gt;=14, "Très bien", Q255&gt;=12, "Bien", Q255&gt;=10, "Passable", Q255&lt;10, "Insuffisant")</f>
        <v>Passable</v>
      </c>
    </row>
    <row r="256" spans="1:18">
      <c r="A256" t="s">
        <v>454</v>
      </c>
      <c r="B256" t="s">
        <v>455</v>
      </c>
      <c r="C256" t="s">
        <v>25</v>
      </c>
      <c r="D256" t="s">
        <v>53</v>
      </c>
      <c r="E256" t="s">
        <v>48</v>
      </c>
      <c r="F256">
        <v>14.76</v>
      </c>
      <c r="G256">
        <v>20</v>
      </c>
      <c r="H256">
        <v>20</v>
      </c>
      <c r="I256">
        <v>20</v>
      </c>
      <c r="J256" s="4">
        <v>0.96360000000000001</v>
      </c>
      <c r="K256">
        <v>110000</v>
      </c>
      <c r="L256" s="2">
        <v>46049</v>
      </c>
      <c r="M256" t="str">
        <f t="shared" si="15"/>
        <v>Admis</v>
      </c>
      <c r="N256" t="str">
        <f t="shared" si="16"/>
        <v>Eligible</v>
      </c>
      <c r="O256" t="str">
        <f t="shared" si="17"/>
        <v>RAS</v>
      </c>
      <c r="P256" t="str">
        <f t="shared" si="18"/>
        <v>Hors Data</v>
      </c>
      <c r="Q256">
        <f t="shared" si="19"/>
        <v>18.689999999999998</v>
      </c>
      <c r="R256" t="str" cm="1">
        <f t="array" ref="R256">_xlfn.IFS(Q256&gt;=16, "Excellent",Q256&gt;=14, "Très bien", Q256&gt;=12, "Bien", Q256&gt;=10, "Passable", Q256&lt;10, "Insuffisant")</f>
        <v>Excellent</v>
      </c>
    </row>
    <row r="257" spans="1:18">
      <c r="A257" t="s">
        <v>456</v>
      </c>
      <c r="B257" t="s">
        <v>451</v>
      </c>
      <c r="C257" t="s">
        <v>20</v>
      </c>
      <c r="D257" t="s">
        <v>21</v>
      </c>
      <c r="E257" t="s">
        <v>48</v>
      </c>
      <c r="F257">
        <v>13.53</v>
      </c>
      <c r="G257">
        <v>14.64</v>
      </c>
      <c r="H257">
        <v>15.39</v>
      </c>
      <c r="I257">
        <v>17.600000000000001</v>
      </c>
      <c r="J257" s="4">
        <v>0.63129999999999997</v>
      </c>
      <c r="K257">
        <v>90000</v>
      </c>
      <c r="L257" s="2">
        <v>46126</v>
      </c>
      <c r="M257" t="str">
        <f t="shared" si="15"/>
        <v>Admis</v>
      </c>
      <c r="N257" t="str">
        <f t="shared" si="16"/>
        <v>Non Eligible</v>
      </c>
      <c r="O257" t="str">
        <f t="shared" si="17"/>
        <v>RAS</v>
      </c>
      <c r="P257" t="str">
        <f t="shared" si="18"/>
        <v>Hors Data</v>
      </c>
      <c r="Q257">
        <f t="shared" si="19"/>
        <v>15.290000000000001</v>
      </c>
      <c r="R257" t="str" cm="1">
        <f t="array" ref="R257">_xlfn.IFS(Q257&gt;=16, "Excellent",Q257&gt;=14, "Très bien", Q257&gt;=12, "Bien", Q257&gt;=10, "Passable", Q257&lt;10, "Insuffisant")</f>
        <v>Très bien</v>
      </c>
    </row>
    <row r="258" spans="1:18">
      <c r="A258" t="s">
        <v>457</v>
      </c>
      <c r="B258" t="s">
        <v>458</v>
      </c>
      <c r="C258" t="s">
        <v>25</v>
      </c>
      <c r="D258" t="s">
        <v>53</v>
      </c>
      <c r="E258" t="s">
        <v>48</v>
      </c>
      <c r="F258">
        <v>16.59</v>
      </c>
      <c r="G258">
        <v>20</v>
      </c>
      <c r="H258">
        <v>14.2</v>
      </c>
      <c r="I258">
        <v>16.57</v>
      </c>
      <c r="J258" s="4">
        <v>0.92749999999999999</v>
      </c>
      <c r="K258">
        <v>100000</v>
      </c>
      <c r="L258" s="2">
        <v>45871</v>
      </c>
      <c r="M258" t="str">
        <f t="shared" si="15"/>
        <v>Admis</v>
      </c>
      <c r="N258" t="str">
        <f t="shared" si="16"/>
        <v>Eligible</v>
      </c>
      <c r="O258" t="str">
        <f t="shared" si="17"/>
        <v>RAS</v>
      </c>
      <c r="P258" t="str">
        <f t="shared" si="18"/>
        <v>Hors Data</v>
      </c>
      <c r="Q258">
        <f t="shared" si="19"/>
        <v>16.840000000000003</v>
      </c>
      <c r="R258" t="str" cm="1">
        <f t="array" ref="R258">_xlfn.IFS(Q258&gt;=16, "Excellent",Q258&gt;=14, "Très bien", Q258&gt;=12, "Bien", Q258&gt;=10, "Passable", Q258&lt;10, "Insuffisant")</f>
        <v>Excellent</v>
      </c>
    </row>
    <row r="259" spans="1:18">
      <c r="A259" t="s">
        <v>459</v>
      </c>
      <c r="B259" t="s">
        <v>460</v>
      </c>
      <c r="C259" t="s">
        <v>20</v>
      </c>
      <c r="D259" t="s">
        <v>38</v>
      </c>
      <c r="E259" t="s">
        <v>35</v>
      </c>
      <c r="F259">
        <v>11.72</v>
      </c>
      <c r="G259">
        <v>14.44</v>
      </c>
      <c r="H259">
        <v>11.25</v>
      </c>
      <c r="I259">
        <v>10.64</v>
      </c>
      <c r="J259" s="4">
        <v>0.79310000000000003</v>
      </c>
      <c r="K259">
        <v>70000</v>
      </c>
      <c r="L259" s="2">
        <v>46162</v>
      </c>
      <c r="M259" t="str">
        <f t="shared" ref="M259:M322" si="20">IF(H259&gt;=10,"Admis","Non admis")</f>
        <v>Admis</v>
      </c>
      <c r="N259" t="str">
        <f t="shared" ref="N259:N322" si="21">IF(AND(F259&gt;=12,H259&gt;=12,J259&gt;80%), "Eligible", "Non Eligible")</f>
        <v>Non Eligible</v>
      </c>
      <c r="O259" t="str">
        <f t="shared" ref="O259:O322" si="22">IF(OR(F259&lt;10,H259&lt;10), "A surveiller", "RAS")</f>
        <v>RAS</v>
      </c>
      <c r="P259" t="str">
        <f t="shared" ref="P259:P322" si="23">IF(NOT(E259="Data"), "Hors Data", "Data")</f>
        <v>Hors Data</v>
      </c>
      <c r="Q259">
        <f t="shared" ref="Q259:Q322" si="24">AVERAGE(F259:I259)</f>
        <v>12.012499999999999</v>
      </c>
      <c r="R259" t="str" cm="1">
        <f t="array" ref="R259">_xlfn.IFS(Q259&gt;=16, "Excellent",Q259&gt;=14, "Très bien", Q259&gt;=12, "Bien", Q259&gt;=10, "Passable", Q259&lt;10, "Insuffisant")</f>
        <v>Bien</v>
      </c>
    </row>
    <row r="260" spans="1:18">
      <c r="A260" t="s">
        <v>461</v>
      </c>
      <c r="B260" t="s">
        <v>285</v>
      </c>
      <c r="C260" t="s">
        <v>20</v>
      </c>
      <c r="D260" t="s">
        <v>34</v>
      </c>
      <c r="E260" t="s">
        <v>48</v>
      </c>
      <c r="F260">
        <v>10.35</v>
      </c>
      <c r="G260">
        <v>11.54</v>
      </c>
      <c r="H260">
        <v>9.43</v>
      </c>
      <c r="I260">
        <v>16.23</v>
      </c>
      <c r="J260" s="4">
        <v>0.97809999999999997</v>
      </c>
      <c r="K260">
        <v>75000</v>
      </c>
      <c r="L260" s="2">
        <v>45654</v>
      </c>
      <c r="M260" t="str">
        <f t="shared" si="20"/>
        <v>Non admis</v>
      </c>
      <c r="N260" t="str">
        <f t="shared" si="21"/>
        <v>Non Eligible</v>
      </c>
      <c r="O260" t="str">
        <f t="shared" si="22"/>
        <v>A surveiller</v>
      </c>
      <c r="P260" t="str">
        <f t="shared" si="23"/>
        <v>Hors Data</v>
      </c>
      <c r="Q260">
        <f t="shared" si="24"/>
        <v>11.887499999999999</v>
      </c>
      <c r="R260" t="str" cm="1">
        <f t="array" ref="R260">_xlfn.IFS(Q260&gt;=16, "Excellent",Q260&gt;=14, "Très bien", Q260&gt;=12, "Bien", Q260&gt;=10, "Passable", Q260&lt;10, "Insuffisant")</f>
        <v>Passable</v>
      </c>
    </row>
    <row r="261" spans="1:18">
      <c r="A261" t="s">
        <v>462</v>
      </c>
      <c r="B261" t="s">
        <v>310</v>
      </c>
      <c r="C261" t="s">
        <v>25</v>
      </c>
      <c r="D261" t="s">
        <v>38</v>
      </c>
      <c r="E261" t="s">
        <v>22</v>
      </c>
      <c r="F261">
        <v>13.81</v>
      </c>
      <c r="G261">
        <v>14.48</v>
      </c>
      <c r="H261">
        <v>13.35</v>
      </c>
      <c r="I261">
        <v>15.6</v>
      </c>
      <c r="J261" s="4">
        <v>0.82909999999999995</v>
      </c>
      <c r="K261">
        <v>100000</v>
      </c>
      <c r="L261" s="2">
        <v>45840</v>
      </c>
      <c r="M261" t="str">
        <f t="shared" si="20"/>
        <v>Admis</v>
      </c>
      <c r="N261" t="str">
        <f t="shared" si="21"/>
        <v>Eligible</v>
      </c>
      <c r="O261" t="str">
        <f t="shared" si="22"/>
        <v>RAS</v>
      </c>
      <c r="P261" t="str">
        <f t="shared" si="23"/>
        <v>Data</v>
      </c>
      <c r="Q261">
        <f t="shared" si="24"/>
        <v>14.31</v>
      </c>
      <c r="R261" t="str" cm="1">
        <f t="array" ref="R261">_xlfn.IFS(Q261&gt;=16, "Excellent",Q261&gt;=14, "Très bien", Q261&gt;=12, "Bien", Q261&gt;=10, "Passable", Q261&lt;10, "Insuffisant")</f>
        <v>Très bien</v>
      </c>
    </row>
    <row r="262" spans="1:18">
      <c r="A262" t="s">
        <v>463</v>
      </c>
      <c r="B262" t="s">
        <v>464</v>
      </c>
      <c r="C262" t="s">
        <v>25</v>
      </c>
      <c r="D262" t="s">
        <v>21</v>
      </c>
      <c r="E262" t="s">
        <v>22</v>
      </c>
      <c r="F262">
        <v>14.54</v>
      </c>
      <c r="G262">
        <v>10.81</v>
      </c>
      <c r="H262">
        <v>12.17</v>
      </c>
      <c r="I262">
        <v>11.37</v>
      </c>
      <c r="J262" s="4">
        <v>0.83850000000000002</v>
      </c>
      <c r="K262">
        <v>75000</v>
      </c>
      <c r="L262" s="2">
        <v>45621</v>
      </c>
      <c r="M262" t="str">
        <f t="shared" si="20"/>
        <v>Admis</v>
      </c>
      <c r="N262" t="str">
        <f t="shared" si="21"/>
        <v>Eligible</v>
      </c>
      <c r="O262" t="str">
        <f t="shared" si="22"/>
        <v>RAS</v>
      </c>
      <c r="P262" t="str">
        <f t="shared" si="23"/>
        <v>Data</v>
      </c>
      <c r="Q262">
        <f t="shared" si="24"/>
        <v>12.2225</v>
      </c>
      <c r="R262" t="str" cm="1">
        <f t="array" ref="R262">_xlfn.IFS(Q262&gt;=16, "Excellent",Q262&gt;=14, "Très bien", Q262&gt;=12, "Bien", Q262&gt;=10, "Passable", Q262&lt;10, "Insuffisant")</f>
        <v>Bien</v>
      </c>
    </row>
    <row r="263" spans="1:18">
      <c r="A263" t="s">
        <v>465</v>
      </c>
      <c r="B263" t="s">
        <v>410</v>
      </c>
      <c r="C263" t="s">
        <v>20</v>
      </c>
      <c r="D263" t="s">
        <v>41</v>
      </c>
      <c r="E263" t="s">
        <v>27</v>
      </c>
      <c r="F263">
        <v>15.24</v>
      </c>
      <c r="G263">
        <v>15.29</v>
      </c>
      <c r="H263">
        <v>17.13</v>
      </c>
      <c r="I263">
        <v>15.71</v>
      </c>
      <c r="J263" s="4">
        <v>0.92810000000000004</v>
      </c>
      <c r="K263">
        <v>100000</v>
      </c>
      <c r="L263" s="2">
        <v>46072</v>
      </c>
      <c r="M263" t="str">
        <f t="shared" si="20"/>
        <v>Admis</v>
      </c>
      <c r="N263" t="str">
        <f t="shared" si="21"/>
        <v>Eligible</v>
      </c>
      <c r="O263" t="str">
        <f t="shared" si="22"/>
        <v>RAS</v>
      </c>
      <c r="P263" t="str">
        <f t="shared" si="23"/>
        <v>Hors Data</v>
      </c>
      <c r="Q263">
        <f t="shared" si="24"/>
        <v>15.842499999999999</v>
      </c>
      <c r="R263" t="str" cm="1">
        <f t="array" ref="R263">_xlfn.IFS(Q263&gt;=16, "Excellent",Q263&gt;=14, "Très bien", Q263&gt;=12, "Bien", Q263&gt;=10, "Passable", Q263&lt;10, "Insuffisant")</f>
        <v>Très bien</v>
      </c>
    </row>
    <row r="264" spans="1:18">
      <c r="A264" t="s">
        <v>466</v>
      </c>
      <c r="B264" t="s">
        <v>467</v>
      </c>
      <c r="C264" t="s">
        <v>20</v>
      </c>
      <c r="D264" t="s">
        <v>53</v>
      </c>
      <c r="E264" t="s">
        <v>48</v>
      </c>
      <c r="F264">
        <v>11.97</v>
      </c>
      <c r="G264">
        <v>15.35</v>
      </c>
      <c r="H264">
        <v>11.01</v>
      </c>
      <c r="I264">
        <v>14.01</v>
      </c>
      <c r="J264" s="4">
        <v>0.82140000000000002</v>
      </c>
      <c r="K264">
        <v>60000</v>
      </c>
      <c r="L264" s="2">
        <v>46035</v>
      </c>
      <c r="M264" t="str">
        <f t="shared" si="20"/>
        <v>Admis</v>
      </c>
      <c r="N264" t="str">
        <f t="shared" si="21"/>
        <v>Non Eligible</v>
      </c>
      <c r="O264" t="str">
        <f t="shared" si="22"/>
        <v>RAS</v>
      </c>
      <c r="P264" t="str">
        <f t="shared" si="23"/>
        <v>Hors Data</v>
      </c>
      <c r="Q264">
        <f t="shared" si="24"/>
        <v>13.084999999999999</v>
      </c>
      <c r="R264" t="str" cm="1">
        <f t="array" ref="R264">_xlfn.IFS(Q264&gt;=16, "Excellent",Q264&gt;=14, "Très bien", Q264&gt;=12, "Bien", Q264&gt;=10, "Passable", Q264&lt;10, "Insuffisant")</f>
        <v>Bien</v>
      </c>
    </row>
    <row r="265" spans="1:18">
      <c r="A265" t="s">
        <v>468</v>
      </c>
      <c r="B265" t="s">
        <v>469</v>
      </c>
      <c r="C265" t="s">
        <v>25</v>
      </c>
      <c r="D265" t="s">
        <v>53</v>
      </c>
      <c r="E265" t="s">
        <v>22</v>
      </c>
      <c r="F265">
        <v>17.14</v>
      </c>
      <c r="G265">
        <v>18.95</v>
      </c>
      <c r="H265">
        <v>11.32</v>
      </c>
      <c r="I265">
        <v>12.42</v>
      </c>
      <c r="J265" s="4">
        <v>0.93889999999999996</v>
      </c>
      <c r="K265">
        <v>75000</v>
      </c>
      <c r="L265" s="2">
        <v>46100</v>
      </c>
      <c r="M265" t="str">
        <f t="shared" si="20"/>
        <v>Admis</v>
      </c>
      <c r="N265" t="str">
        <f t="shared" si="21"/>
        <v>Non Eligible</v>
      </c>
      <c r="O265" t="str">
        <f t="shared" si="22"/>
        <v>RAS</v>
      </c>
      <c r="P265" t="str">
        <f t="shared" si="23"/>
        <v>Data</v>
      </c>
      <c r="Q265">
        <f t="shared" si="24"/>
        <v>14.957500000000001</v>
      </c>
      <c r="R265" t="str" cm="1">
        <f t="array" ref="R265">_xlfn.IFS(Q265&gt;=16, "Excellent",Q265&gt;=14, "Très bien", Q265&gt;=12, "Bien", Q265&gt;=10, "Passable", Q265&lt;10, "Insuffisant")</f>
        <v>Très bien</v>
      </c>
    </row>
    <row r="266" spans="1:18">
      <c r="A266" t="s">
        <v>470</v>
      </c>
      <c r="B266" t="s">
        <v>471</v>
      </c>
      <c r="C266" t="s">
        <v>25</v>
      </c>
      <c r="D266" t="s">
        <v>38</v>
      </c>
      <c r="E266" t="s">
        <v>35</v>
      </c>
      <c r="F266">
        <v>10.29</v>
      </c>
      <c r="G266">
        <v>8.39</v>
      </c>
      <c r="H266">
        <v>12.78</v>
      </c>
      <c r="I266">
        <v>10.71</v>
      </c>
      <c r="J266" s="4">
        <v>0.98360000000000003</v>
      </c>
      <c r="K266">
        <v>60000</v>
      </c>
      <c r="L266" s="2">
        <v>46071</v>
      </c>
      <c r="M266" t="str">
        <f t="shared" si="20"/>
        <v>Admis</v>
      </c>
      <c r="N266" t="str">
        <f t="shared" si="21"/>
        <v>Non Eligible</v>
      </c>
      <c r="O266" t="str">
        <f t="shared" si="22"/>
        <v>RAS</v>
      </c>
      <c r="P266" t="str">
        <f t="shared" si="23"/>
        <v>Hors Data</v>
      </c>
      <c r="Q266">
        <f t="shared" si="24"/>
        <v>10.5425</v>
      </c>
      <c r="R266" t="str" cm="1">
        <f t="array" ref="R266">_xlfn.IFS(Q266&gt;=16, "Excellent",Q266&gt;=14, "Très bien", Q266&gt;=12, "Bien", Q266&gt;=10, "Passable", Q266&lt;10, "Insuffisant")</f>
        <v>Passable</v>
      </c>
    </row>
    <row r="267" spans="1:18">
      <c r="A267" t="s">
        <v>472</v>
      </c>
      <c r="B267" t="s">
        <v>98</v>
      </c>
      <c r="C267" t="s">
        <v>25</v>
      </c>
      <c r="D267" t="s">
        <v>26</v>
      </c>
      <c r="E267" t="s">
        <v>22</v>
      </c>
      <c r="F267">
        <v>11.03</v>
      </c>
      <c r="G267">
        <v>11.09</v>
      </c>
      <c r="H267">
        <v>7.19</v>
      </c>
      <c r="I267">
        <v>11.41</v>
      </c>
      <c r="J267" s="4">
        <v>0.98909999999999998</v>
      </c>
      <c r="K267">
        <v>50000</v>
      </c>
      <c r="L267" s="2">
        <v>45751</v>
      </c>
      <c r="M267" t="str">
        <f t="shared" si="20"/>
        <v>Non admis</v>
      </c>
      <c r="N267" t="str">
        <f t="shared" si="21"/>
        <v>Non Eligible</v>
      </c>
      <c r="O267" t="str">
        <f t="shared" si="22"/>
        <v>A surveiller</v>
      </c>
      <c r="P267" t="str">
        <f t="shared" si="23"/>
        <v>Data</v>
      </c>
      <c r="Q267">
        <f t="shared" si="24"/>
        <v>10.18</v>
      </c>
      <c r="R267" t="str" cm="1">
        <f t="array" ref="R267">_xlfn.IFS(Q267&gt;=16, "Excellent",Q267&gt;=14, "Très bien", Q267&gt;=12, "Bien", Q267&gt;=10, "Passable", Q267&lt;10, "Insuffisant")</f>
        <v>Passable</v>
      </c>
    </row>
    <row r="268" spans="1:18">
      <c r="A268" t="s">
        <v>473</v>
      </c>
      <c r="B268" t="s">
        <v>474</v>
      </c>
      <c r="C268" t="s">
        <v>20</v>
      </c>
      <c r="D268" t="s">
        <v>21</v>
      </c>
      <c r="E268" t="s">
        <v>48</v>
      </c>
      <c r="F268">
        <v>14.62</v>
      </c>
      <c r="G268">
        <v>15.5</v>
      </c>
      <c r="H268">
        <v>14.45</v>
      </c>
      <c r="I268">
        <v>12.28</v>
      </c>
      <c r="J268" s="4">
        <v>0.9153</v>
      </c>
      <c r="K268">
        <v>70000</v>
      </c>
      <c r="L268" s="2">
        <v>45583</v>
      </c>
      <c r="M268" t="str">
        <f t="shared" si="20"/>
        <v>Admis</v>
      </c>
      <c r="N268" t="str">
        <f t="shared" si="21"/>
        <v>Eligible</v>
      </c>
      <c r="O268" t="str">
        <f t="shared" si="22"/>
        <v>RAS</v>
      </c>
      <c r="P268" t="str">
        <f t="shared" si="23"/>
        <v>Hors Data</v>
      </c>
      <c r="Q268">
        <f t="shared" si="24"/>
        <v>14.212499999999999</v>
      </c>
      <c r="R268" t="str" cm="1">
        <f t="array" ref="R268">_xlfn.IFS(Q268&gt;=16, "Excellent",Q268&gt;=14, "Très bien", Q268&gt;=12, "Bien", Q268&gt;=10, "Passable", Q268&lt;10, "Insuffisant")</f>
        <v>Très bien</v>
      </c>
    </row>
    <row r="269" spans="1:18">
      <c r="A269" t="s">
        <v>475</v>
      </c>
      <c r="B269" t="s">
        <v>88</v>
      </c>
      <c r="C269" t="s">
        <v>20</v>
      </c>
      <c r="D269" t="s">
        <v>34</v>
      </c>
      <c r="E269" t="s">
        <v>27</v>
      </c>
      <c r="F269">
        <v>13.61</v>
      </c>
      <c r="G269">
        <v>14.81</v>
      </c>
      <c r="H269">
        <v>14.76</v>
      </c>
      <c r="I269">
        <v>15.88</v>
      </c>
      <c r="J269" s="4">
        <v>0.67179999999999995</v>
      </c>
      <c r="K269">
        <v>85000</v>
      </c>
      <c r="L269" s="2">
        <v>46186</v>
      </c>
      <c r="M269" t="str">
        <f t="shared" si="20"/>
        <v>Admis</v>
      </c>
      <c r="N269" t="str">
        <f t="shared" si="21"/>
        <v>Non Eligible</v>
      </c>
      <c r="O269" t="str">
        <f t="shared" si="22"/>
        <v>RAS</v>
      </c>
      <c r="P269" t="str">
        <f t="shared" si="23"/>
        <v>Hors Data</v>
      </c>
      <c r="Q269">
        <f t="shared" si="24"/>
        <v>14.765000000000001</v>
      </c>
      <c r="R269" t="str" cm="1">
        <f t="array" ref="R269">_xlfn.IFS(Q269&gt;=16, "Excellent",Q269&gt;=14, "Très bien", Q269&gt;=12, "Bien", Q269&gt;=10, "Passable", Q269&lt;10, "Insuffisant")</f>
        <v>Très bien</v>
      </c>
    </row>
    <row r="270" spans="1:18">
      <c r="A270" t="s">
        <v>476</v>
      </c>
      <c r="B270" t="s">
        <v>477</v>
      </c>
      <c r="C270" t="s">
        <v>25</v>
      </c>
      <c r="D270" t="s">
        <v>53</v>
      </c>
      <c r="E270" t="s">
        <v>35</v>
      </c>
      <c r="F270">
        <v>9.68</v>
      </c>
      <c r="G270">
        <v>11.92</v>
      </c>
      <c r="H270">
        <v>15.25</v>
      </c>
      <c r="I270">
        <v>9.19</v>
      </c>
      <c r="J270" s="4">
        <v>0.81479999999999997</v>
      </c>
      <c r="K270">
        <v>60000</v>
      </c>
      <c r="L270" s="2">
        <v>45880</v>
      </c>
      <c r="M270" t="str">
        <f t="shared" si="20"/>
        <v>Admis</v>
      </c>
      <c r="N270" t="str">
        <f t="shared" si="21"/>
        <v>Non Eligible</v>
      </c>
      <c r="O270" t="str">
        <f t="shared" si="22"/>
        <v>A surveiller</v>
      </c>
      <c r="P270" t="str">
        <f t="shared" si="23"/>
        <v>Hors Data</v>
      </c>
      <c r="Q270">
        <f t="shared" si="24"/>
        <v>11.51</v>
      </c>
      <c r="R270" t="str" cm="1">
        <f t="array" ref="R270">_xlfn.IFS(Q270&gt;=16, "Excellent",Q270&gt;=14, "Très bien", Q270&gt;=12, "Bien", Q270&gt;=10, "Passable", Q270&lt;10, "Insuffisant")</f>
        <v>Passable</v>
      </c>
    </row>
    <row r="271" spans="1:18">
      <c r="A271" t="s">
        <v>478</v>
      </c>
      <c r="B271" t="s">
        <v>479</v>
      </c>
      <c r="C271" t="s">
        <v>25</v>
      </c>
      <c r="D271" t="s">
        <v>26</v>
      </c>
      <c r="E271" t="s">
        <v>35</v>
      </c>
      <c r="F271">
        <v>18.239999999999998</v>
      </c>
      <c r="G271">
        <v>11.68</v>
      </c>
      <c r="H271">
        <v>13.27</v>
      </c>
      <c r="I271">
        <v>12.21</v>
      </c>
      <c r="J271" s="4">
        <v>0.55000000000000004</v>
      </c>
      <c r="K271">
        <v>60000</v>
      </c>
      <c r="L271" s="2">
        <v>45602</v>
      </c>
      <c r="M271" t="str">
        <f t="shared" si="20"/>
        <v>Admis</v>
      </c>
      <c r="N271" t="str">
        <f t="shared" si="21"/>
        <v>Non Eligible</v>
      </c>
      <c r="O271" t="str">
        <f t="shared" si="22"/>
        <v>RAS</v>
      </c>
      <c r="P271" t="str">
        <f t="shared" si="23"/>
        <v>Hors Data</v>
      </c>
      <c r="Q271">
        <f t="shared" si="24"/>
        <v>13.85</v>
      </c>
      <c r="R271" t="str" cm="1">
        <f t="array" ref="R271">_xlfn.IFS(Q271&gt;=16, "Excellent",Q271&gt;=14, "Très bien", Q271&gt;=12, "Bien", Q271&gt;=10, "Passable", Q271&lt;10, "Insuffisant")</f>
        <v>Bien</v>
      </c>
    </row>
    <row r="272" spans="1:18">
      <c r="A272" t="s">
        <v>480</v>
      </c>
      <c r="B272" t="s">
        <v>88</v>
      </c>
      <c r="C272" t="s">
        <v>20</v>
      </c>
      <c r="D272" t="s">
        <v>53</v>
      </c>
      <c r="E272" t="s">
        <v>22</v>
      </c>
      <c r="F272">
        <v>17.3</v>
      </c>
      <c r="G272">
        <v>15.73</v>
      </c>
      <c r="H272">
        <v>14.92</v>
      </c>
      <c r="I272">
        <v>13.83</v>
      </c>
      <c r="J272" s="4">
        <v>0.83330000000000004</v>
      </c>
      <c r="K272">
        <v>120000</v>
      </c>
      <c r="L272" s="2">
        <v>46184</v>
      </c>
      <c r="M272" t="str">
        <f t="shared" si="20"/>
        <v>Admis</v>
      </c>
      <c r="N272" t="str">
        <f t="shared" si="21"/>
        <v>Eligible</v>
      </c>
      <c r="O272" t="str">
        <f t="shared" si="22"/>
        <v>RAS</v>
      </c>
      <c r="P272" t="str">
        <f t="shared" si="23"/>
        <v>Data</v>
      </c>
      <c r="Q272">
        <f t="shared" si="24"/>
        <v>15.445</v>
      </c>
      <c r="R272" t="str" cm="1">
        <f t="array" ref="R272">_xlfn.IFS(Q272&gt;=16, "Excellent",Q272&gt;=14, "Très bien", Q272&gt;=12, "Bien", Q272&gt;=10, "Passable", Q272&lt;10, "Insuffisant")</f>
        <v>Très bien</v>
      </c>
    </row>
    <row r="273" spans="1:18">
      <c r="A273" t="s">
        <v>481</v>
      </c>
      <c r="B273" t="s">
        <v>482</v>
      </c>
      <c r="C273" t="s">
        <v>20</v>
      </c>
      <c r="D273" t="s">
        <v>26</v>
      </c>
      <c r="E273" t="s">
        <v>35</v>
      </c>
      <c r="F273">
        <v>17.04</v>
      </c>
      <c r="G273">
        <v>16.760000000000002</v>
      </c>
      <c r="H273">
        <v>17.309999999999999</v>
      </c>
      <c r="I273">
        <v>12.77</v>
      </c>
      <c r="J273" s="4">
        <v>0.84279999999999999</v>
      </c>
      <c r="K273">
        <v>85000</v>
      </c>
      <c r="L273" s="2">
        <v>46231</v>
      </c>
      <c r="M273" t="str">
        <f t="shared" si="20"/>
        <v>Admis</v>
      </c>
      <c r="N273" t="str">
        <f t="shared" si="21"/>
        <v>Eligible</v>
      </c>
      <c r="O273" t="str">
        <f t="shared" si="22"/>
        <v>RAS</v>
      </c>
      <c r="P273" t="str">
        <f t="shared" si="23"/>
        <v>Hors Data</v>
      </c>
      <c r="Q273">
        <f t="shared" si="24"/>
        <v>15.969999999999999</v>
      </c>
      <c r="R273" t="str" cm="1">
        <f t="array" ref="R273">_xlfn.IFS(Q273&gt;=16, "Excellent",Q273&gt;=14, "Très bien", Q273&gt;=12, "Bien", Q273&gt;=10, "Passable", Q273&lt;10, "Insuffisant")</f>
        <v>Très bien</v>
      </c>
    </row>
    <row r="274" spans="1:18">
      <c r="A274" t="s">
        <v>483</v>
      </c>
      <c r="B274" t="s">
        <v>135</v>
      </c>
      <c r="C274" t="s">
        <v>20</v>
      </c>
      <c r="D274" t="s">
        <v>53</v>
      </c>
      <c r="E274" t="s">
        <v>35</v>
      </c>
      <c r="F274">
        <v>19.11</v>
      </c>
      <c r="G274">
        <v>18.97</v>
      </c>
      <c r="H274">
        <v>15.13</v>
      </c>
      <c r="I274">
        <v>19.98</v>
      </c>
      <c r="J274" s="4">
        <v>0.55000000000000004</v>
      </c>
      <c r="K274">
        <v>100000</v>
      </c>
      <c r="L274" s="2">
        <v>45847</v>
      </c>
      <c r="M274" t="str">
        <f t="shared" si="20"/>
        <v>Admis</v>
      </c>
      <c r="N274" t="str">
        <f t="shared" si="21"/>
        <v>Non Eligible</v>
      </c>
      <c r="O274" t="str">
        <f t="shared" si="22"/>
        <v>RAS</v>
      </c>
      <c r="P274" t="str">
        <f t="shared" si="23"/>
        <v>Hors Data</v>
      </c>
      <c r="Q274">
        <f t="shared" si="24"/>
        <v>18.297499999999999</v>
      </c>
      <c r="R274" t="str" cm="1">
        <f t="array" ref="R274">_xlfn.IFS(Q274&gt;=16, "Excellent",Q274&gt;=14, "Très bien", Q274&gt;=12, "Bien", Q274&gt;=10, "Passable", Q274&lt;10, "Insuffisant")</f>
        <v>Excellent</v>
      </c>
    </row>
    <row r="275" spans="1:18">
      <c r="A275" t="s">
        <v>484</v>
      </c>
      <c r="B275" t="s">
        <v>485</v>
      </c>
      <c r="C275" t="s">
        <v>25</v>
      </c>
      <c r="D275" t="s">
        <v>41</v>
      </c>
      <c r="E275" t="s">
        <v>22</v>
      </c>
      <c r="F275">
        <v>14.87</v>
      </c>
      <c r="G275">
        <v>18.73</v>
      </c>
      <c r="H275">
        <v>16.79</v>
      </c>
      <c r="I275">
        <v>14.84</v>
      </c>
      <c r="J275" s="4">
        <v>0.62019999999999997</v>
      </c>
      <c r="K275">
        <v>100000</v>
      </c>
      <c r="L275" s="2">
        <v>46075</v>
      </c>
      <c r="M275" t="str">
        <f t="shared" si="20"/>
        <v>Admis</v>
      </c>
      <c r="N275" t="str">
        <f t="shared" si="21"/>
        <v>Non Eligible</v>
      </c>
      <c r="O275" t="str">
        <f t="shared" si="22"/>
        <v>RAS</v>
      </c>
      <c r="P275" t="str">
        <f t="shared" si="23"/>
        <v>Data</v>
      </c>
      <c r="Q275">
        <f t="shared" si="24"/>
        <v>16.307500000000001</v>
      </c>
      <c r="R275" t="str" cm="1">
        <f t="array" ref="R275">_xlfn.IFS(Q275&gt;=16, "Excellent",Q275&gt;=14, "Très bien", Q275&gt;=12, "Bien", Q275&gt;=10, "Passable", Q275&lt;10, "Insuffisant")</f>
        <v>Excellent</v>
      </c>
    </row>
    <row r="276" spans="1:18">
      <c r="A276" t="s">
        <v>486</v>
      </c>
      <c r="B276" t="s">
        <v>155</v>
      </c>
      <c r="C276" t="s">
        <v>20</v>
      </c>
      <c r="D276" t="s">
        <v>38</v>
      </c>
      <c r="E276" t="s">
        <v>35</v>
      </c>
      <c r="F276">
        <v>13.51</v>
      </c>
      <c r="G276">
        <v>14.2</v>
      </c>
      <c r="H276">
        <v>9.89</v>
      </c>
      <c r="I276">
        <v>9.06</v>
      </c>
      <c r="J276" s="4">
        <v>0.88829999999999998</v>
      </c>
      <c r="K276">
        <v>60000</v>
      </c>
      <c r="L276" s="2">
        <v>45561</v>
      </c>
      <c r="M276" t="str">
        <f t="shared" si="20"/>
        <v>Non admis</v>
      </c>
      <c r="N276" t="str">
        <f t="shared" si="21"/>
        <v>Non Eligible</v>
      </c>
      <c r="O276" t="str">
        <f t="shared" si="22"/>
        <v>A surveiller</v>
      </c>
      <c r="P276" t="str">
        <f t="shared" si="23"/>
        <v>Hors Data</v>
      </c>
      <c r="Q276">
        <f t="shared" si="24"/>
        <v>11.665000000000001</v>
      </c>
      <c r="R276" t="str" cm="1">
        <f t="array" ref="R276">_xlfn.IFS(Q276&gt;=16, "Excellent",Q276&gt;=14, "Très bien", Q276&gt;=12, "Bien", Q276&gt;=10, "Passable", Q276&lt;10, "Insuffisant")</f>
        <v>Passable</v>
      </c>
    </row>
    <row r="277" spans="1:18">
      <c r="A277" t="s">
        <v>487</v>
      </c>
      <c r="B277" t="s">
        <v>453</v>
      </c>
      <c r="C277" t="s">
        <v>20</v>
      </c>
      <c r="D277" t="s">
        <v>38</v>
      </c>
      <c r="E277" t="s">
        <v>27</v>
      </c>
      <c r="F277">
        <v>16.36</v>
      </c>
      <c r="G277">
        <v>20</v>
      </c>
      <c r="H277">
        <v>18.11</v>
      </c>
      <c r="I277">
        <v>20</v>
      </c>
      <c r="J277" s="4">
        <v>0.60209999999999997</v>
      </c>
      <c r="K277">
        <v>90000</v>
      </c>
      <c r="L277" s="2">
        <v>45601</v>
      </c>
      <c r="M277" t="str">
        <f t="shared" si="20"/>
        <v>Admis</v>
      </c>
      <c r="N277" t="str">
        <f t="shared" si="21"/>
        <v>Non Eligible</v>
      </c>
      <c r="O277" t="str">
        <f t="shared" si="22"/>
        <v>RAS</v>
      </c>
      <c r="P277" t="str">
        <f t="shared" si="23"/>
        <v>Hors Data</v>
      </c>
      <c r="Q277">
        <f t="shared" si="24"/>
        <v>18.6175</v>
      </c>
      <c r="R277" t="str" cm="1">
        <f t="array" ref="R277">_xlfn.IFS(Q277&gt;=16, "Excellent",Q277&gt;=14, "Très bien", Q277&gt;=12, "Bien", Q277&gt;=10, "Passable", Q277&lt;10, "Insuffisant")</f>
        <v>Excellent</v>
      </c>
    </row>
    <row r="278" spans="1:18">
      <c r="A278" t="s">
        <v>488</v>
      </c>
      <c r="B278" t="s">
        <v>382</v>
      </c>
      <c r="C278" t="s">
        <v>20</v>
      </c>
      <c r="D278" t="s">
        <v>21</v>
      </c>
      <c r="E278" t="s">
        <v>27</v>
      </c>
      <c r="F278">
        <v>12.64</v>
      </c>
      <c r="G278">
        <v>12.57</v>
      </c>
      <c r="H278">
        <v>14.08</v>
      </c>
      <c r="I278">
        <v>10.66</v>
      </c>
      <c r="J278" s="4">
        <v>0.83730000000000004</v>
      </c>
      <c r="K278">
        <v>120000</v>
      </c>
      <c r="L278" s="2">
        <v>45729</v>
      </c>
      <c r="M278" t="str">
        <f t="shared" si="20"/>
        <v>Admis</v>
      </c>
      <c r="N278" t="str">
        <f t="shared" si="21"/>
        <v>Eligible</v>
      </c>
      <c r="O278" t="str">
        <f t="shared" si="22"/>
        <v>RAS</v>
      </c>
      <c r="P278" t="str">
        <f t="shared" si="23"/>
        <v>Hors Data</v>
      </c>
      <c r="Q278">
        <f t="shared" si="24"/>
        <v>12.487500000000001</v>
      </c>
      <c r="R278" t="str" cm="1">
        <f t="array" ref="R278">_xlfn.IFS(Q278&gt;=16, "Excellent",Q278&gt;=14, "Très bien", Q278&gt;=12, "Bien", Q278&gt;=10, "Passable", Q278&lt;10, "Insuffisant")</f>
        <v>Bien</v>
      </c>
    </row>
    <row r="279" spans="1:18">
      <c r="A279" t="s">
        <v>489</v>
      </c>
      <c r="B279" t="s">
        <v>490</v>
      </c>
      <c r="C279" t="s">
        <v>25</v>
      </c>
      <c r="D279" t="s">
        <v>53</v>
      </c>
      <c r="E279" t="s">
        <v>35</v>
      </c>
      <c r="F279">
        <v>12.82</v>
      </c>
      <c r="G279">
        <v>14.25</v>
      </c>
      <c r="H279">
        <v>17.84</v>
      </c>
      <c r="I279">
        <v>15.91</v>
      </c>
      <c r="J279" s="4">
        <v>0.85229999999999995</v>
      </c>
      <c r="K279">
        <v>80000</v>
      </c>
      <c r="L279" s="2">
        <v>45995</v>
      </c>
      <c r="M279" t="str">
        <f t="shared" si="20"/>
        <v>Admis</v>
      </c>
      <c r="N279" t="str">
        <f t="shared" si="21"/>
        <v>Eligible</v>
      </c>
      <c r="O279" t="str">
        <f t="shared" si="22"/>
        <v>RAS</v>
      </c>
      <c r="P279" t="str">
        <f t="shared" si="23"/>
        <v>Hors Data</v>
      </c>
      <c r="Q279">
        <f t="shared" si="24"/>
        <v>15.204999999999998</v>
      </c>
      <c r="R279" t="str" cm="1">
        <f t="array" ref="R279">_xlfn.IFS(Q279&gt;=16, "Excellent",Q279&gt;=14, "Très bien", Q279&gt;=12, "Bien", Q279&gt;=10, "Passable", Q279&lt;10, "Insuffisant")</f>
        <v>Très bien</v>
      </c>
    </row>
    <row r="280" spans="1:18">
      <c r="A280" t="s">
        <v>491</v>
      </c>
      <c r="B280" t="s">
        <v>492</v>
      </c>
      <c r="C280" t="s">
        <v>20</v>
      </c>
      <c r="D280" t="s">
        <v>53</v>
      </c>
      <c r="E280" t="s">
        <v>27</v>
      </c>
      <c r="F280">
        <v>9.1999999999999993</v>
      </c>
      <c r="G280">
        <v>12.77</v>
      </c>
      <c r="H280">
        <v>12.24</v>
      </c>
      <c r="I280">
        <v>11.36</v>
      </c>
      <c r="J280" s="4">
        <v>0.82589999999999997</v>
      </c>
      <c r="K280">
        <v>120000</v>
      </c>
      <c r="L280" s="2">
        <v>45629</v>
      </c>
      <c r="M280" t="str">
        <f t="shared" si="20"/>
        <v>Admis</v>
      </c>
      <c r="N280" t="str">
        <f t="shared" si="21"/>
        <v>Non Eligible</v>
      </c>
      <c r="O280" t="str">
        <f t="shared" si="22"/>
        <v>A surveiller</v>
      </c>
      <c r="P280" t="str">
        <f t="shared" si="23"/>
        <v>Hors Data</v>
      </c>
      <c r="Q280">
        <f t="shared" si="24"/>
        <v>11.3925</v>
      </c>
      <c r="R280" t="str" cm="1">
        <f t="array" ref="R280">_xlfn.IFS(Q280&gt;=16, "Excellent",Q280&gt;=14, "Très bien", Q280&gt;=12, "Bien", Q280&gt;=10, "Passable", Q280&lt;10, "Insuffisant")</f>
        <v>Passable</v>
      </c>
    </row>
    <row r="281" spans="1:18">
      <c r="A281" t="s">
        <v>493</v>
      </c>
      <c r="B281" t="s">
        <v>494</v>
      </c>
      <c r="C281" t="s">
        <v>20</v>
      </c>
      <c r="D281" t="s">
        <v>34</v>
      </c>
      <c r="E281" t="s">
        <v>22</v>
      </c>
      <c r="F281">
        <v>13.05</v>
      </c>
      <c r="G281">
        <v>12.26</v>
      </c>
      <c r="H281">
        <v>12.85</v>
      </c>
      <c r="I281">
        <v>14.08</v>
      </c>
      <c r="J281" s="4">
        <v>0.88490000000000002</v>
      </c>
      <c r="K281">
        <v>130000</v>
      </c>
      <c r="L281" s="2">
        <v>45559</v>
      </c>
      <c r="M281" t="str">
        <f t="shared" si="20"/>
        <v>Admis</v>
      </c>
      <c r="N281" t="str">
        <f t="shared" si="21"/>
        <v>Eligible</v>
      </c>
      <c r="O281" t="str">
        <f t="shared" si="22"/>
        <v>RAS</v>
      </c>
      <c r="P281" t="str">
        <f t="shared" si="23"/>
        <v>Data</v>
      </c>
      <c r="Q281">
        <f t="shared" si="24"/>
        <v>13.06</v>
      </c>
      <c r="R281" t="str" cm="1">
        <f t="array" ref="R281">_xlfn.IFS(Q281&gt;=16, "Excellent",Q281&gt;=14, "Très bien", Q281&gt;=12, "Bien", Q281&gt;=10, "Passable", Q281&lt;10, "Insuffisant")</f>
        <v>Bien</v>
      </c>
    </row>
    <row r="282" spans="1:18">
      <c r="A282" t="s">
        <v>495</v>
      </c>
      <c r="B282" t="s">
        <v>496</v>
      </c>
      <c r="C282" t="s">
        <v>20</v>
      </c>
      <c r="D282" t="s">
        <v>38</v>
      </c>
      <c r="E282" t="s">
        <v>27</v>
      </c>
      <c r="F282">
        <v>6.66</v>
      </c>
      <c r="G282">
        <v>9.39</v>
      </c>
      <c r="H282">
        <v>11.92</v>
      </c>
      <c r="I282">
        <v>10.199999999999999</v>
      </c>
      <c r="J282" s="4">
        <v>0.95240000000000002</v>
      </c>
      <c r="K282">
        <v>90000</v>
      </c>
      <c r="L282" s="2">
        <v>46004</v>
      </c>
      <c r="M282" t="str">
        <f t="shared" si="20"/>
        <v>Admis</v>
      </c>
      <c r="N282" t="str">
        <f t="shared" si="21"/>
        <v>Non Eligible</v>
      </c>
      <c r="O282" t="str">
        <f t="shared" si="22"/>
        <v>A surveiller</v>
      </c>
      <c r="P282" t="str">
        <f t="shared" si="23"/>
        <v>Hors Data</v>
      </c>
      <c r="Q282">
        <f t="shared" si="24"/>
        <v>9.5425000000000004</v>
      </c>
      <c r="R282" t="str" cm="1">
        <f t="array" ref="R282">_xlfn.IFS(Q282&gt;=16, "Excellent",Q282&gt;=14, "Très bien", Q282&gt;=12, "Bien", Q282&gt;=10, "Passable", Q282&lt;10, "Insuffisant")</f>
        <v>Insuffisant</v>
      </c>
    </row>
    <row r="283" spans="1:18">
      <c r="A283" t="s">
        <v>497</v>
      </c>
      <c r="B283" t="s">
        <v>453</v>
      </c>
      <c r="C283" t="s">
        <v>20</v>
      </c>
      <c r="D283" t="s">
        <v>21</v>
      </c>
      <c r="E283" t="s">
        <v>35</v>
      </c>
      <c r="F283">
        <v>8.64</v>
      </c>
      <c r="G283">
        <v>12.37</v>
      </c>
      <c r="H283">
        <v>11.39</v>
      </c>
      <c r="I283">
        <v>14.55</v>
      </c>
      <c r="J283" s="4">
        <v>0.74180000000000001</v>
      </c>
      <c r="K283">
        <v>60000</v>
      </c>
      <c r="L283" s="2">
        <v>46075</v>
      </c>
      <c r="M283" t="str">
        <f t="shared" si="20"/>
        <v>Admis</v>
      </c>
      <c r="N283" t="str">
        <f t="shared" si="21"/>
        <v>Non Eligible</v>
      </c>
      <c r="O283" t="str">
        <f t="shared" si="22"/>
        <v>A surveiller</v>
      </c>
      <c r="P283" t="str">
        <f t="shared" si="23"/>
        <v>Hors Data</v>
      </c>
      <c r="Q283">
        <f t="shared" si="24"/>
        <v>11.737500000000001</v>
      </c>
      <c r="R283" t="str" cm="1">
        <f t="array" ref="R283">_xlfn.IFS(Q283&gt;=16, "Excellent",Q283&gt;=14, "Très bien", Q283&gt;=12, "Bien", Q283&gt;=10, "Passable", Q283&lt;10, "Insuffisant")</f>
        <v>Passable</v>
      </c>
    </row>
    <row r="284" spans="1:18">
      <c r="A284" t="s">
        <v>498</v>
      </c>
      <c r="B284" t="s">
        <v>146</v>
      </c>
      <c r="C284" t="s">
        <v>25</v>
      </c>
      <c r="D284" t="s">
        <v>26</v>
      </c>
      <c r="E284" t="s">
        <v>48</v>
      </c>
      <c r="F284">
        <v>10.32</v>
      </c>
      <c r="G284">
        <v>7.48</v>
      </c>
      <c r="H284">
        <v>9.65</v>
      </c>
      <c r="I284">
        <v>10.220000000000001</v>
      </c>
      <c r="J284" s="4">
        <v>0.95789999999999997</v>
      </c>
      <c r="K284">
        <v>90000</v>
      </c>
      <c r="L284" s="2">
        <v>46053</v>
      </c>
      <c r="M284" t="str">
        <f t="shared" si="20"/>
        <v>Non admis</v>
      </c>
      <c r="N284" t="str">
        <f t="shared" si="21"/>
        <v>Non Eligible</v>
      </c>
      <c r="O284" t="str">
        <f t="shared" si="22"/>
        <v>A surveiller</v>
      </c>
      <c r="P284" t="str">
        <f t="shared" si="23"/>
        <v>Hors Data</v>
      </c>
      <c r="Q284">
        <f t="shared" si="24"/>
        <v>9.4175000000000004</v>
      </c>
      <c r="R284" t="str" cm="1">
        <f t="array" ref="R284">_xlfn.IFS(Q284&gt;=16, "Excellent",Q284&gt;=14, "Très bien", Q284&gt;=12, "Bien", Q284&gt;=10, "Passable", Q284&lt;10, "Insuffisant")</f>
        <v>Insuffisant</v>
      </c>
    </row>
    <row r="285" spans="1:18">
      <c r="A285" t="s">
        <v>499</v>
      </c>
      <c r="B285" t="s">
        <v>500</v>
      </c>
      <c r="C285" t="s">
        <v>20</v>
      </c>
      <c r="D285" t="s">
        <v>53</v>
      </c>
      <c r="E285" t="s">
        <v>22</v>
      </c>
      <c r="F285">
        <v>20</v>
      </c>
      <c r="G285">
        <v>13.99</v>
      </c>
      <c r="H285">
        <v>15.98</v>
      </c>
      <c r="I285">
        <v>16.27</v>
      </c>
      <c r="J285" s="4">
        <v>0.71940000000000004</v>
      </c>
      <c r="K285">
        <v>120000</v>
      </c>
      <c r="L285" s="2">
        <v>46095</v>
      </c>
      <c r="M285" t="str">
        <f t="shared" si="20"/>
        <v>Admis</v>
      </c>
      <c r="N285" t="str">
        <f t="shared" si="21"/>
        <v>Non Eligible</v>
      </c>
      <c r="O285" t="str">
        <f t="shared" si="22"/>
        <v>RAS</v>
      </c>
      <c r="P285" t="str">
        <f t="shared" si="23"/>
        <v>Data</v>
      </c>
      <c r="Q285">
        <f t="shared" si="24"/>
        <v>16.559999999999999</v>
      </c>
      <c r="R285" t="str" cm="1">
        <f t="array" ref="R285">_xlfn.IFS(Q285&gt;=16, "Excellent",Q285&gt;=14, "Très bien", Q285&gt;=12, "Bien", Q285&gt;=10, "Passable", Q285&lt;10, "Insuffisant")</f>
        <v>Excellent</v>
      </c>
    </row>
    <row r="286" spans="1:18">
      <c r="A286" t="s">
        <v>501</v>
      </c>
      <c r="B286" t="s">
        <v>288</v>
      </c>
      <c r="C286" t="s">
        <v>20</v>
      </c>
      <c r="D286" t="s">
        <v>21</v>
      </c>
      <c r="E286" t="s">
        <v>27</v>
      </c>
      <c r="F286">
        <v>20</v>
      </c>
      <c r="G286">
        <v>14.51</v>
      </c>
      <c r="H286">
        <v>17.809999999999999</v>
      </c>
      <c r="I286">
        <v>16.489999999999998</v>
      </c>
      <c r="J286" s="4">
        <v>0.91659999999999997</v>
      </c>
      <c r="K286">
        <v>90000</v>
      </c>
      <c r="L286" s="2">
        <v>46097</v>
      </c>
      <c r="M286" t="str">
        <f t="shared" si="20"/>
        <v>Admis</v>
      </c>
      <c r="N286" t="str">
        <f t="shared" si="21"/>
        <v>Eligible</v>
      </c>
      <c r="O286" t="str">
        <f t="shared" si="22"/>
        <v>RAS</v>
      </c>
      <c r="P286" t="str">
        <f t="shared" si="23"/>
        <v>Hors Data</v>
      </c>
      <c r="Q286">
        <f t="shared" si="24"/>
        <v>17.202499999999997</v>
      </c>
      <c r="R286" t="str" cm="1">
        <f t="array" ref="R286">_xlfn.IFS(Q286&gt;=16, "Excellent",Q286&gt;=14, "Très bien", Q286&gt;=12, "Bien", Q286&gt;=10, "Passable", Q286&lt;10, "Insuffisant")</f>
        <v>Excellent</v>
      </c>
    </row>
    <row r="287" spans="1:18">
      <c r="A287" t="s">
        <v>502</v>
      </c>
      <c r="B287" t="s">
        <v>433</v>
      </c>
      <c r="C287" t="s">
        <v>25</v>
      </c>
      <c r="D287" t="s">
        <v>38</v>
      </c>
      <c r="E287" t="s">
        <v>35</v>
      </c>
      <c r="F287">
        <v>10.7</v>
      </c>
      <c r="G287">
        <v>11.15</v>
      </c>
      <c r="H287">
        <v>7.88</v>
      </c>
      <c r="I287">
        <v>9.3800000000000008</v>
      </c>
      <c r="J287" s="4">
        <v>0.83550000000000002</v>
      </c>
      <c r="K287">
        <v>110000</v>
      </c>
      <c r="L287" s="2">
        <v>45957</v>
      </c>
      <c r="M287" t="str">
        <f t="shared" si="20"/>
        <v>Non admis</v>
      </c>
      <c r="N287" t="str">
        <f t="shared" si="21"/>
        <v>Non Eligible</v>
      </c>
      <c r="O287" t="str">
        <f t="shared" si="22"/>
        <v>A surveiller</v>
      </c>
      <c r="P287" t="str">
        <f t="shared" si="23"/>
        <v>Hors Data</v>
      </c>
      <c r="Q287">
        <f t="shared" si="24"/>
        <v>9.7774999999999999</v>
      </c>
      <c r="R287" t="str" cm="1">
        <f t="array" ref="R287">_xlfn.IFS(Q287&gt;=16, "Excellent",Q287&gt;=14, "Très bien", Q287&gt;=12, "Bien", Q287&gt;=10, "Passable", Q287&lt;10, "Insuffisant")</f>
        <v>Insuffisant</v>
      </c>
    </row>
    <row r="288" spans="1:18">
      <c r="A288" t="s">
        <v>503</v>
      </c>
      <c r="B288" t="s">
        <v>370</v>
      </c>
      <c r="C288" t="s">
        <v>20</v>
      </c>
      <c r="D288" t="s">
        <v>21</v>
      </c>
      <c r="E288" t="s">
        <v>27</v>
      </c>
      <c r="F288">
        <v>14.36</v>
      </c>
      <c r="G288">
        <v>11.51</v>
      </c>
      <c r="H288">
        <v>17.649999999999999</v>
      </c>
      <c r="I288">
        <v>17.079999999999998</v>
      </c>
      <c r="J288" s="4">
        <v>0.67620000000000002</v>
      </c>
      <c r="K288">
        <v>85000</v>
      </c>
      <c r="L288" s="2">
        <v>45899</v>
      </c>
      <c r="M288" t="str">
        <f t="shared" si="20"/>
        <v>Admis</v>
      </c>
      <c r="N288" t="str">
        <f t="shared" si="21"/>
        <v>Non Eligible</v>
      </c>
      <c r="O288" t="str">
        <f t="shared" si="22"/>
        <v>RAS</v>
      </c>
      <c r="P288" t="str">
        <f t="shared" si="23"/>
        <v>Hors Data</v>
      </c>
      <c r="Q288">
        <f t="shared" si="24"/>
        <v>15.149999999999999</v>
      </c>
      <c r="R288" t="str" cm="1">
        <f t="array" ref="R288">_xlfn.IFS(Q288&gt;=16, "Excellent",Q288&gt;=14, "Très bien", Q288&gt;=12, "Bien", Q288&gt;=10, "Passable", Q288&lt;10, "Insuffisant")</f>
        <v>Très bien</v>
      </c>
    </row>
    <row r="289" spans="1:18">
      <c r="A289" t="s">
        <v>504</v>
      </c>
      <c r="B289" t="s">
        <v>55</v>
      </c>
      <c r="C289" t="s">
        <v>25</v>
      </c>
      <c r="D289" t="s">
        <v>38</v>
      </c>
      <c r="E289" t="s">
        <v>22</v>
      </c>
      <c r="F289">
        <v>13.42</v>
      </c>
      <c r="G289">
        <v>9.67</v>
      </c>
      <c r="H289">
        <v>9.9700000000000006</v>
      </c>
      <c r="I289">
        <v>13.05</v>
      </c>
      <c r="J289" s="4">
        <v>0.59109999999999996</v>
      </c>
      <c r="K289">
        <v>80000</v>
      </c>
      <c r="L289" s="2">
        <v>46135</v>
      </c>
      <c r="M289" t="str">
        <f t="shared" si="20"/>
        <v>Non admis</v>
      </c>
      <c r="N289" t="str">
        <f t="shared" si="21"/>
        <v>Non Eligible</v>
      </c>
      <c r="O289" t="str">
        <f t="shared" si="22"/>
        <v>A surveiller</v>
      </c>
      <c r="P289" t="str">
        <f t="shared" si="23"/>
        <v>Data</v>
      </c>
      <c r="Q289">
        <f t="shared" si="24"/>
        <v>11.5275</v>
      </c>
      <c r="R289" t="str" cm="1">
        <f t="array" ref="R289">_xlfn.IFS(Q289&gt;=16, "Excellent",Q289&gt;=14, "Très bien", Q289&gt;=12, "Bien", Q289&gt;=10, "Passable", Q289&lt;10, "Insuffisant")</f>
        <v>Passable</v>
      </c>
    </row>
    <row r="290" spans="1:18">
      <c r="A290" t="s">
        <v>505</v>
      </c>
      <c r="B290" t="s">
        <v>506</v>
      </c>
      <c r="C290" t="s">
        <v>25</v>
      </c>
      <c r="D290" t="s">
        <v>53</v>
      </c>
      <c r="E290" t="s">
        <v>48</v>
      </c>
      <c r="F290">
        <v>14.21</v>
      </c>
      <c r="G290">
        <v>11.27</v>
      </c>
      <c r="H290">
        <v>14.2</v>
      </c>
      <c r="I290">
        <v>10.11</v>
      </c>
      <c r="J290" s="4">
        <v>0.91249999999999998</v>
      </c>
      <c r="K290">
        <v>130000</v>
      </c>
      <c r="L290" s="2">
        <v>45779</v>
      </c>
      <c r="M290" t="str">
        <f t="shared" si="20"/>
        <v>Admis</v>
      </c>
      <c r="N290" t="str">
        <f t="shared" si="21"/>
        <v>Eligible</v>
      </c>
      <c r="O290" t="str">
        <f t="shared" si="22"/>
        <v>RAS</v>
      </c>
      <c r="P290" t="str">
        <f t="shared" si="23"/>
        <v>Hors Data</v>
      </c>
      <c r="Q290">
        <f t="shared" si="24"/>
        <v>12.4475</v>
      </c>
      <c r="R290" t="str" cm="1">
        <f t="array" ref="R290">_xlfn.IFS(Q290&gt;=16, "Excellent",Q290&gt;=14, "Très bien", Q290&gt;=12, "Bien", Q290&gt;=10, "Passable", Q290&lt;10, "Insuffisant")</f>
        <v>Bien</v>
      </c>
    </row>
    <row r="291" spans="1:18">
      <c r="A291" t="s">
        <v>507</v>
      </c>
      <c r="B291" t="s">
        <v>161</v>
      </c>
      <c r="C291" t="s">
        <v>20</v>
      </c>
      <c r="D291" t="s">
        <v>53</v>
      </c>
      <c r="E291" t="s">
        <v>22</v>
      </c>
      <c r="F291">
        <v>14.91</v>
      </c>
      <c r="G291">
        <v>13.13</v>
      </c>
      <c r="H291">
        <v>14.5</v>
      </c>
      <c r="I291">
        <v>15.66</v>
      </c>
      <c r="J291" s="4">
        <v>0.84230000000000005</v>
      </c>
      <c r="K291">
        <v>60000</v>
      </c>
      <c r="L291" s="2">
        <v>45604</v>
      </c>
      <c r="M291" t="str">
        <f t="shared" si="20"/>
        <v>Admis</v>
      </c>
      <c r="N291" t="str">
        <f t="shared" si="21"/>
        <v>Eligible</v>
      </c>
      <c r="O291" t="str">
        <f t="shared" si="22"/>
        <v>RAS</v>
      </c>
      <c r="P291" t="str">
        <f t="shared" si="23"/>
        <v>Data</v>
      </c>
      <c r="Q291">
        <f t="shared" si="24"/>
        <v>14.55</v>
      </c>
      <c r="R291" t="str" cm="1">
        <f t="array" ref="R291">_xlfn.IFS(Q291&gt;=16, "Excellent",Q291&gt;=14, "Très bien", Q291&gt;=12, "Bien", Q291&gt;=10, "Passable", Q291&lt;10, "Insuffisant")</f>
        <v>Très bien</v>
      </c>
    </row>
    <row r="292" spans="1:18">
      <c r="A292" t="s">
        <v>508</v>
      </c>
      <c r="B292" t="s">
        <v>509</v>
      </c>
      <c r="C292" t="s">
        <v>25</v>
      </c>
      <c r="D292" t="s">
        <v>41</v>
      </c>
      <c r="E292" t="s">
        <v>27</v>
      </c>
      <c r="F292">
        <v>13.47</v>
      </c>
      <c r="G292">
        <v>14.63</v>
      </c>
      <c r="H292">
        <v>12.22</v>
      </c>
      <c r="I292">
        <v>12.63</v>
      </c>
      <c r="J292" s="4">
        <v>0.83460000000000001</v>
      </c>
      <c r="K292">
        <v>80000</v>
      </c>
      <c r="L292" s="2">
        <v>46062</v>
      </c>
      <c r="M292" t="str">
        <f t="shared" si="20"/>
        <v>Admis</v>
      </c>
      <c r="N292" t="str">
        <f t="shared" si="21"/>
        <v>Eligible</v>
      </c>
      <c r="O292" t="str">
        <f t="shared" si="22"/>
        <v>RAS</v>
      </c>
      <c r="P292" t="str">
        <f t="shared" si="23"/>
        <v>Hors Data</v>
      </c>
      <c r="Q292">
        <f t="shared" si="24"/>
        <v>13.237500000000001</v>
      </c>
      <c r="R292" t="str" cm="1">
        <f t="array" ref="R292">_xlfn.IFS(Q292&gt;=16, "Excellent",Q292&gt;=14, "Très bien", Q292&gt;=12, "Bien", Q292&gt;=10, "Passable", Q292&lt;10, "Insuffisant")</f>
        <v>Bien</v>
      </c>
    </row>
    <row r="293" spans="1:18">
      <c r="A293" t="s">
        <v>510</v>
      </c>
      <c r="B293" t="s">
        <v>511</v>
      </c>
      <c r="C293" t="s">
        <v>20</v>
      </c>
      <c r="D293" t="s">
        <v>53</v>
      </c>
      <c r="E293" t="s">
        <v>35</v>
      </c>
      <c r="F293">
        <v>19.03</v>
      </c>
      <c r="G293">
        <v>20</v>
      </c>
      <c r="H293">
        <v>20</v>
      </c>
      <c r="I293">
        <v>15.79</v>
      </c>
      <c r="J293" s="4">
        <v>0.88360000000000005</v>
      </c>
      <c r="K293">
        <v>60000</v>
      </c>
      <c r="L293" s="2">
        <v>45729</v>
      </c>
      <c r="M293" t="str">
        <f t="shared" si="20"/>
        <v>Admis</v>
      </c>
      <c r="N293" t="str">
        <f t="shared" si="21"/>
        <v>Eligible</v>
      </c>
      <c r="O293" t="str">
        <f t="shared" si="22"/>
        <v>RAS</v>
      </c>
      <c r="P293" t="str">
        <f t="shared" si="23"/>
        <v>Hors Data</v>
      </c>
      <c r="Q293">
        <f t="shared" si="24"/>
        <v>18.704999999999998</v>
      </c>
      <c r="R293" t="str" cm="1">
        <f t="array" ref="R293">_xlfn.IFS(Q293&gt;=16, "Excellent",Q293&gt;=14, "Très bien", Q293&gt;=12, "Bien", Q293&gt;=10, "Passable", Q293&lt;10, "Insuffisant")</f>
        <v>Excellent</v>
      </c>
    </row>
    <row r="294" spans="1:18">
      <c r="A294" t="s">
        <v>512</v>
      </c>
      <c r="B294" t="s">
        <v>113</v>
      </c>
      <c r="C294" t="s">
        <v>25</v>
      </c>
      <c r="D294" t="s">
        <v>26</v>
      </c>
      <c r="E294" t="s">
        <v>48</v>
      </c>
      <c r="F294">
        <v>13.37</v>
      </c>
      <c r="G294">
        <v>11.34</v>
      </c>
      <c r="H294">
        <v>14.54</v>
      </c>
      <c r="I294">
        <v>12.44</v>
      </c>
      <c r="J294" s="4">
        <v>0.89810000000000001</v>
      </c>
      <c r="K294">
        <v>100000</v>
      </c>
      <c r="L294" s="2">
        <v>46221</v>
      </c>
      <c r="M294" t="str">
        <f t="shared" si="20"/>
        <v>Admis</v>
      </c>
      <c r="N294" t="str">
        <f t="shared" si="21"/>
        <v>Eligible</v>
      </c>
      <c r="O294" t="str">
        <f t="shared" si="22"/>
        <v>RAS</v>
      </c>
      <c r="P294" t="str">
        <f t="shared" si="23"/>
        <v>Hors Data</v>
      </c>
      <c r="Q294">
        <f t="shared" si="24"/>
        <v>12.922499999999999</v>
      </c>
      <c r="R294" t="str" cm="1">
        <f t="array" ref="R294">_xlfn.IFS(Q294&gt;=16, "Excellent",Q294&gt;=14, "Très bien", Q294&gt;=12, "Bien", Q294&gt;=10, "Passable", Q294&lt;10, "Insuffisant")</f>
        <v>Bien</v>
      </c>
    </row>
    <row r="295" spans="1:18">
      <c r="A295" t="s">
        <v>513</v>
      </c>
      <c r="B295" t="s">
        <v>514</v>
      </c>
      <c r="C295" t="s">
        <v>20</v>
      </c>
      <c r="D295" t="s">
        <v>41</v>
      </c>
      <c r="E295" t="s">
        <v>27</v>
      </c>
      <c r="F295">
        <v>16.010000000000002</v>
      </c>
      <c r="G295">
        <v>15.74</v>
      </c>
      <c r="H295">
        <v>16.96</v>
      </c>
      <c r="I295">
        <v>15.28</v>
      </c>
      <c r="J295" s="4">
        <v>0.92490000000000006</v>
      </c>
      <c r="K295">
        <v>130000</v>
      </c>
      <c r="L295" s="2">
        <v>45825</v>
      </c>
      <c r="M295" t="str">
        <f t="shared" si="20"/>
        <v>Admis</v>
      </c>
      <c r="N295" t="str">
        <f t="shared" si="21"/>
        <v>Eligible</v>
      </c>
      <c r="O295" t="str">
        <f t="shared" si="22"/>
        <v>RAS</v>
      </c>
      <c r="P295" t="str">
        <f t="shared" si="23"/>
        <v>Hors Data</v>
      </c>
      <c r="Q295">
        <f t="shared" si="24"/>
        <v>15.9975</v>
      </c>
      <c r="R295" t="str" cm="1">
        <f t="array" ref="R295">_xlfn.IFS(Q295&gt;=16, "Excellent",Q295&gt;=14, "Très bien", Q295&gt;=12, "Bien", Q295&gt;=10, "Passable", Q295&lt;10, "Insuffisant")</f>
        <v>Très bien</v>
      </c>
    </row>
    <row r="296" spans="1:18">
      <c r="A296" t="s">
        <v>515</v>
      </c>
      <c r="B296" t="s">
        <v>516</v>
      </c>
      <c r="C296" t="s">
        <v>25</v>
      </c>
      <c r="D296" t="s">
        <v>21</v>
      </c>
      <c r="E296" t="s">
        <v>48</v>
      </c>
      <c r="F296">
        <v>13.51</v>
      </c>
      <c r="G296">
        <v>15.36</v>
      </c>
      <c r="H296">
        <v>15.65</v>
      </c>
      <c r="I296">
        <v>11.58</v>
      </c>
      <c r="J296" s="4">
        <v>0.87549999999999994</v>
      </c>
      <c r="K296">
        <v>130000</v>
      </c>
      <c r="L296" s="2">
        <v>46132</v>
      </c>
      <c r="M296" t="str">
        <f t="shared" si="20"/>
        <v>Admis</v>
      </c>
      <c r="N296" t="str">
        <f t="shared" si="21"/>
        <v>Eligible</v>
      </c>
      <c r="O296" t="str">
        <f t="shared" si="22"/>
        <v>RAS</v>
      </c>
      <c r="P296" t="str">
        <f t="shared" si="23"/>
        <v>Hors Data</v>
      </c>
      <c r="Q296">
        <f t="shared" si="24"/>
        <v>14.024999999999999</v>
      </c>
      <c r="R296" t="str" cm="1">
        <f t="array" ref="R296">_xlfn.IFS(Q296&gt;=16, "Excellent",Q296&gt;=14, "Très bien", Q296&gt;=12, "Bien", Q296&gt;=10, "Passable", Q296&lt;10, "Insuffisant")</f>
        <v>Très bien</v>
      </c>
    </row>
    <row r="297" spans="1:18">
      <c r="A297" t="s">
        <v>517</v>
      </c>
      <c r="B297" t="s">
        <v>518</v>
      </c>
      <c r="C297" t="s">
        <v>25</v>
      </c>
      <c r="D297" t="s">
        <v>38</v>
      </c>
      <c r="E297" t="s">
        <v>22</v>
      </c>
      <c r="F297">
        <v>18.760000000000002</v>
      </c>
      <c r="G297">
        <v>14.56</v>
      </c>
      <c r="H297">
        <v>15.29</v>
      </c>
      <c r="I297">
        <v>12.37</v>
      </c>
      <c r="J297" s="4">
        <v>0.94489999999999996</v>
      </c>
      <c r="K297">
        <v>70000</v>
      </c>
      <c r="L297" s="2">
        <v>45565</v>
      </c>
      <c r="M297" t="str">
        <f t="shared" si="20"/>
        <v>Admis</v>
      </c>
      <c r="N297" t="str">
        <f t="shared" si="21"/>
        <v>Eligible</v>
      </c>
      <c r="O297" t="str">
        <f t="shared" si="22"/>
        <v>RAS</v>
      </c>
      <c r="P297" t="str">
        <f t="shared" si="23"/>
        <v>Data</v>
      </c>
      <c r="Q297">
        <f t="shared" si="24"/>
        <v>15.244999999999999</v>
      </c>
      <c r="R297" t="str" cm="1">
        <f t="array" ref="R297">_xlfn.IFS(Q297&gt;=16, "Excellent",Q297&gt;=14, "Très bien", Q297&gt;=12, "Bien", Q297&gt;=10, "Passable", Q297&lt;10, "Insuffisant")</f>
        <v>Très bien</v>
      </c>
    </row>
    <row r="298" spans="1:18">
      <c r="A298" t="s">
        <v>519</v>
      </c>
      <c r="B298" t="s">
        <v>191</v>
      </c>
      <c r="C298" t="s">
        <v>25</v>
      </c>
      <c r="D298" t="s">
        <v>26</v>
      </c>
      <c r="E298" t="s">
        <v>22</v>
      </c>
      <c r="F298">
        <v>14.91</v>
      </c>
      <c r="G298">
        <v>10.93</v>
      </c>
      <c r="H298">
        <v>12.43</v>
      </c>
      <c r="I298">
        <v>8.7100000000000009</v>
      </c>
      <c r="J298" s="4">
        <v>0.71930000000000005</v>
      </c>
      <c r="K298">
        <v>110000</v>
      </c>
      <c r="L298" s="2">
        <v>45997</v>
      </c>
      <c r="M298" t="str">
        <f t="shared" si="20"/>
        <v>Admis</v>
      </c>
      <c r="N298" t="str">
        <f t="shared" si="21"/>
        <v>Non Eligible</v>
      </c>
      <c r="O298" t="str">
        <f t="shared" si="22"/>
        <v>RAS</v>
      </c>
      <c r="P298" t="str">
        <f t="shared" si="23"/>
        <v>Data</v>
      </c>
      <c r="Q298">
        <f t="shared" si="24"/>
        <v>11.744999999999999</v>
      </c>
      <c r="R298" t="str" cm="1">
        <f t="array" ref="R298">_xlfn.IFS(Q298&gt;=16, "Excellent",Q298&gt;=14, "Très bien", Q298&gt;=12, "Bien", Q298&gt;=10, "Passable", Q298&lt;10, "Insuffisant")</f>
        <v>Passable</v>
      </c>
    </row>
    <row r="299" spans="1:18">
      <c r="A299" t="s">
        <v>520</v>
      </c>
      <c r="B299" t="s">
        <v>521</v>
      </c>
      <c r="C299" t="s">
        <v>20</v>
      </c>
      <c r="D299" t="s">
        <v>41</v>
      </c>
      <c r="E299" t="s">
        <v>22</v>
      </c>
      <c r="F299">
        <v>14.41</v>
      </c>
      <c r="G299">
        <v>16.39</v>
      </c>
      <c r="H299">
        <v>12.11</v>
      </c>
      <c r="I299">
        <v>12.44</v>
      </c>
      <c r="J299" s="4">
        <v>0.78539999999999999</v>
      </c>
      <c r="K299">
        <v>120000</v>
      </c>
      <c r="L299" s="2">
        <v>45849</v>
      </c>
      <c r="M299" t="str">
        <f t="shared" si="20"/>
        <v>Admis</v>
      </c>
      <c r="N299" t="str">
        <f t="shared" si="21"/>
        <v>Non Eligible</v>
      </c>
      <c r="O299" t="str">
        <f t="shared" si="22"/>
        <v>RAS</v>
      </c>
      <c r="P299" t="str">
        <f t="shared" si="23"/>
        <v>Data</v>
      </c>
      <c r="Q299">
        <f t="shared" si="24"/>
        <v>13.837499999999999</v>
      </c>
      <c r="R299" t="str" cm="1">
        <f t="array" ref="R299">_xlfn.IFS(Q299&gt;=16, "Excellent",Q299&gt;=14, "Très bien", Q299&gt;=12, "Bien", Q299&gt;=10, "Passable", Q299&lt;10, "Insuffisant")</f>
        <v>Bien</v>
      </c>
    </row>
    <row r="300" spans="1:18">
      <c r="A300" t="s">
        <v>522</v>
      </c>
      <c r="B300" t="s">
        <v>460</v>
      </c>
      <c r="C300" t="s">
        <v>20</v>
      </c>
      <c r="D300" t="s">
        <v>53</v>
      </c>
      <c r="E300" t="s">
        <v>27</v>
      </c>
      <c r="F300">
        <v>16.96</v>
      </c>
      <c r="G300">
        <v>15.52</v>
      </c>
      <c r="H300">
        <v>15.37</v>
      </c>
      <c r="I300">
        <v>12.89</v>
      </c>
      <c r="J300" s="4">
        <v>0.75690000000000002</v>
      </c>
      <c r="K300">
        <v>120000</v>
      </c>
      <c r="L300" s="2">
        <v>45859</v>
      </c>
      <c r="M300" t="str">
        <f t="shared" si="20"/>
        <v>Admis</v>
      </c>
      <c r="N300" t="str">
        <f t="shared" si="21"/>
        <v>Non Eligible</v>
      </c>
      <c r="O300" t="str">
        <f t="shared" si="22"/>
        <v>RAS</v>
      </c>
      <c r="P300" t="str">
        <f t="shared" si="23"/>
        <v>Hors Data</v>
      </c>
      <c r="Q300">
        <f t="shared" si="24"/>
        <v>15.185</v>
      </c>
      <c r="R300" t="str" cm="1">
        <f t="array" ref="R300">_xlfn.IFS(Q300&gt;=16, "Excellent",Q300&gt;=14, "Très bien", Q300&gt;=12, "Bien", Q300&gt;=10, "Passable", Q300&lt;10, "Insuffisant")</f>
        <v>Très bien</v>
      </c>
    </row>
    <row r="301" spans="1:18">
      <c r="A301" t="s">
        <v>523</v>
      </c>
      <c r="B301" t="s">
        <v>83</v>
      </c>
      <c r="C301" t="s">
        <v>20</v>
      </c>
      <c r="D301" t="s">
        <v>41</v>
      </c>
      <c r="E301" t="s">
        <v>27</v>
      </c>
      <c r="F301">
        <v>10.31</v>
      </c>
      <c r="G301">
        <v>12.88</v>
      </c>
      <c r="H301">
        <v>9.83</v>
      </c>
      <c r="I301">
        <v>9.1300000000000008</v>
      </c>
      <c r="J301" s="4">
        <v>0.69230000000000003</v>
      </c>
      <c r="K301">
        <v>85000</v>
      </c>
      <c r="L301" s="2">
        <v>45721</v>
      </c>
      <c r="M301" t="str">
        <f t="shared" si="20"/>
        <v>Non admis</v>
      </c>
      <c r="N301" t="str">
        <f t="shared" si="21"/>
        <v>Non Eligible</v>
      </c>
      <c r="O301" t="str">
        <f t="shared" si="22"/>
        <v>A surveiller</v>
      </c>
      <c r="P301" t="str">
        <f t="shared" si="23"/>
        <v>Hors Data</v>
      </c>
      <c r="Q301">
        <f t="shared" si="24"/>
        <v>10.537500000000001</v>
      </c>
      <c r="R301" t="str" cm="1">
        <f t="array" ref="R301">_xlfn.IFS(Q301&gt;=16, "Excellent",Q301&gt;=14, "Très bien", Q301&gt;=12, "Bien", Q301&gt;=10, "Passable", Q301&lt;10, "Insuffisant")</f>
        <v>Passable</v>
      </c>
    </row>
    <row r="302" spans="1:18">
      <c r="A302" t="s">
        <v>524</v>
      </c>
      <c r="B302" t="s">
        <v>274</v>
      </c>
      <c r="C302" t="s">
        <v>20</v>
      </c>
      <c r="D302" t="s">
        <v>41</v>
      </c>
      <c r="E302" t="s">
        <v>35</v>
      </c>
      <c r="F302">
        <v>18.920000000000002</v>
      </c>
      <c r="G302">
        <v>17.79</v>
      </c>
      <c r="H302">
        <v>18.82</v>
      </c>
      <c r="I302">
        <v>16.690000000000001</v>
      </c>
      <c r="J302" s="4">
        <v>0.97560000000000002</v>
      </c>
      <c r="K302">
        <v>60000</v>
      </c>
      <c r="L302" s="2">
        <v>46215</v>
      </c>
      <c r="M302" t="str">
        <f t="shared" si="20"/>
        <v>Admis</v>
      </c>
      <c r="N302" t="str">
        <f t="shared" si="21"/>
        <v>Eligible</v>
      </c>
      <c r="O302" t="str">
        <f t="shared" si="22"/>
        <v>RAS</v>
      </c>
      <c r="P302" t="str">
        <f t="shared" si="23"/>
        <v>Hors Data</v>
      </c>
      <c r="Q302">
        <f t="shared" si="24"/>
        <v>18.055</v>
      </c>
      <c r="R302" t="str" cm="1">
        <f t="array" ref="R302">_xlfn.IFS(Q302&gt;=16, "Excellent",Q302&gt;=14, "Très bien", Q302&gt;=12, "Bien", Q302&gt;=10, "Passable", Q302&lt;10, "Insuffisant")</f>
        <v>Excellent</v>
      </c>
    </row>
    <row r="303" spans="1:18">
      <c r="A303" t="s">
        <v>525</v>
      </c>
      <c r="B303" t="s">
        <v>526</v>
      </c>
      <c r="C303" t="s">
        <v>25</v>
      </c>
      <c r="D303" t="s">
        <v>53</v>
      </c>
      <c r="E303" t="s">
        <v>27</v>
      </c>
      <c r="F303">
        <v>16.510000000000002</v>
      </c>
      <c r="G303">
        <v>11.37</v>
      </c>
      <c r="H303">
        <v>14.83</v>
      </c>
      <c r="I303">
        <v>15.08</v>
      </c>
      <c r="J303" s="4">
        <v>0.81740000000000002</v>
      </c>
      <c r="K303">
        <v>85000</v>
      </c>
      <c r="L303" s="2">
        <v>45810</v>
      </c>
      <c r="M303" t="str">
        <f t="shared" si="20"/>
        <v>Admis</v>
      </c>
      <c r="N303" t="str">
        <f t="shared" si="21"/>
        <v>Eligible</v>
      </c>
      <c r="O303" t="str">
        <f t="shared" si="22"/>
        <v>RAS</v>
      </c>
      <c r="P303" t="str">
        <f t="shared" si="23"/>
        <v>Hors Data</v>
      </c>
      <c r="Q303">
        <f t="shared" si="24"/>
        <v>14.4475</v>
      </c>
      <c r="R303" t="str" cm="1">
        <f t="array" ref="R303">_xlfn.IFS(Q303&gt;=16, "Excellent",Q303&gt;=14, "Très bien", Q303&gt;=12, "Bien", Q303&gt;=10, "Passable", Q303&lt;10, "Insuffisant")</f>
        <v>Très bien</v>
      </c>
    </row>
    <row r="304" spans="1:18">
      <c r="A304" t="s">
        <v>527</v>
      </c>
      <c r="B304" t="s">
        <v>528</v>
      </c>
      <c r="C304" t="s">
        <v>20</v>
      </c>
      <c r="D304" t="s">
        <v>53</v>
      </c>
      <c r="E304" t="s">
        <v>22</v>
      </c>
      <c r="F304">
        <v>20</v>
      </c>
      <c r="G304">
        <v>18.54</v>
      </c>
      <c r="H304">
        <v>15.41</v>
      </c>
      <c r="I304">
        <v>16.329999999999998</v>
      </c>
      <c r="J304" s="4">
        <v>0.7198</v>
      </c>
      <c r="K304">
        <v>110000</v>
      </c>
      <c r="L304" s="2">
        <v>46131</v>
      </c>
      <c r="M304" t="str">
        <f t="shared" si="20"/>
        <v>Admis</v>
      </c>
      <c r="N304" t="str">
        <f t="shared" si="21"/>
        <v>Non Eligible</v>
      </c>
      <c r="O304" t="str">
        <f t="shared" si="22"/>
        <v>RAS</v>
      </c>
      <c r="P304" t="str">
        <f t="shared" si="23"/>
        <v>Data</v>
      </c>
      <c r="Q304">
        <f t="shared" si="24"/>
        <v>17.57</v>
      </c>
      <c r="R304" t="str" cm="1">
        <f t="array" ref="R304">_xlfn.IFS(Q304&gt;=16, "Excellent",Q304&gt;=14, "Très bien", Q304&gt;=12, "Bien", Q304&gt;=10, "Passable", Q304&lt;10, "Insuffisant")</f>
        <v>Excellent</v>
      </c>
    </row>
    <row r="305" spans="1:18">
      <c r="A305" t="s">
        <v>529</v>
      </c>
      <c r="B305" t="s">
        <v>61</v>
      </c>
      <c r="C305" t="s">
        <v>25</v>
      </c>
      <c r="D305" t="s">
        <v>26</v>
      </c>
      <c r="E305" t="s">
        <v>48</v>
      </c>
      <c r="F305">
        <v>15.18</v>
      </c>
      <c r="G305">
        <v>19.07</v>
      </c>
      <c r="H305">
        <v>19.670000000000002</v>
      </c>
      <c r="I305">
        <v>17.3</v>
      </c>
      <c r="J305" s="4">
        <v>0.7026</v>
      </c>
      <c r="K305">
        <v>90000</v>
      </c>
      <c r="L305" s="2">
        <v>45833</v>
      </c>
      <c r="M305" t="str">
        <f t="shared" si="20"/>
        <v>Admis</v>
      </c>
      <c r="N305" t="str">
        <f t="shared" si="21"/>
        <v>Non Eligible</v>
      </c>
      <c r="O305" t="str">
        <f t="shared" si="22"/>
        <v>RAS</v>
      </c>
      <c r="P305" t="str">
        <f t="shared" si="23"/>
        <v>Hors Data</v>
      </c>
      <c r="Q305">
        <f t="shared" si="24"/>
        <v>17.805</v>
      </c>
      <c r="R305" t="str" cm="1">
        <f t="array" ref="R305">_xlfn.IFS(Q305&gt;=16, "Excellent",Q305&gt;=14, "Très bien", Q305&gt;=12, "Bien", Q305&gt;=10, "Passable", Q305&lt;10, "Insuffisant")</f>
        <v>Excellent</v>
      </c>
    </row>
    <row r="306" spans="1:18">
      <c r="A306" t="s">
        <v>530</v>
      </c>
      <c r="B306" t="s">
        <v>125</v>
      </c>
      <c r="C306" t="s">
        <v>25</v>
      </c>
      <c r="D306" t="s">
        <v>53</v>
      </c>
      <c r="E306" t="s">
        <v>35</v>
      </c>
      <c r="F306">
        <v>16.04</v>
      </c>
      <c r="G306">
        <v>20</v>
      </c>
      <c r="H306">
        <v>17.809999999999999</v>
      </c>
      <c r="I306">
        <v>15.73</v>
      </c>
      <c r="J306" s="4">
        <v>0.84230000000000005</v>
      </c>
      <c r="K306">
        <v>80000</v>
      </c>
      <c r="L306" s="2">
        <v>45569</v>
      </c>
      <c r="M306" t="str">
        <f t="shared" si="20"/>
        <v>Admis</v>
      </c>
      <c r="N306" t="str">
        <f t="shared" si="21"/>
        <v>Eligible</v>
      </c>
      <c r="O306" t="str">
        <f t="shared" si="22"/>
        <v>RAS</v>
      </c>
      <c r="P306" t="str">
        <f t="shared" si="23"/>
        <v>Hors Data</v>
      </c>
      <c r="Q306">
        <f t="shared" si="24"/>
        <v>17.395</v>
      </c>
      <c r="R306" t="str" cm="1">
        <f t="array" ref="R306">_xlfn.IFS(Q306&gt;=16, "Excellent",Q306&gt;=14, "Très bien", Q306&gt;=12, "Bien", Q306&gt;=10, "Passable", Q306&lt;10, "Insuffisant")</f>
        <v>Excellent</v>
      </c>
    </row>
    <row r="307" spans="1:18">
      <c r="A307" t="s">
        <v>531</v>
      </c>
      <c r="B307" t="s">
        <v>532</v>
      </c>
      <c r="C307" t="s">
        <v>20</v>
      </c>
      <c r="D307" t="s">
        <v>34</v>
      </c>
      <c r="E307" t="s">
        <v>22</v>
      </c>
      <c r="F307">
        <v>13.37</v>
      </c>
      <c r="G307">
        <v>13.7</v>
      </c>
      <c r="H307">
        <v>11.99</v>
      </c>
      <c r="I307">
        <v>12.6</v>
      </c>
      <c r="J307" s="4">
        <v>0.55000000000000004</v>
      </c>
      <c r="K307">
        <v>70000</v>
      </c>
      <c r="L307" s="2">
        <v>46151</v>
      </c>
      <c r="M307" t="str">
        <f t="shared" si="20"/>
        <v>Admis</v>
      </c>
      <c r="N307" t="str">
        <f t="shared" si="21"/>
        <v>Non Eligible</v>
      </c>
      <c r="O307" t="str">
        <f t="shared" si="22"/>
        <v>RAS</v>
      </c>
      <c r="P307" t="str">
        <f t="shared" si="23"/>
        <v>Data</v>
      </c>
      <c r="Q307">
        <f t="shared" si="24"/>
        <v>12.915000000000001</v>
      </c>
      <c r="R307" t="str" cm="1">
        <f t="array" ref="R307">_xlfn.IFS(Q307&gt;=16, "Excellent",Q307&gt;=14, "Très bien", Q307&gt;=12, "Bien", Q307&gt;=10, "Passable", Q307&lt;10, "Insuffisant")</f>
        <v>Bien</v>
      </c>
    </row>
    <row r="308" spans="1:18">
      <c r="A308" t="s">
        <v>533</v>
      </c>
      <c r="B308" t="s">
        <v>431</v>
      </c>
      <c r="C308" t="s">
        <v>20</v>
      </c>
      <c r="D308" t="s">
        <v>53</v>
      </c>
      <c r="E308" t="s">
        <v>35</v>
      </c>
      <c r="F308">
        <v>15.42</v>
      </c>
      <c r="G308">
        <v>15.05</v>
      </c>
      <c r="H308">
        <v>14.68</v>
      </c>
      <c r="I308">
        <v>11.67</v>
      </c>
      <c r="J308" s="4">
        <v>0.79059999999999997</v>
      </c>
      <c r="K308">
        <v>100000</v>
      </c>
      <c r="L308" s="2">
        <v>45665</v>
      </c>
      <c r="M308" t="str">
        <f t="shared" si="20"/>
        <v>Admis</v>
      </c>
      <c r="N308" t="str">
        <f t="shared" si="21"/>
        <v>Non Eligible</v>
      </c>
      <c r="O308" t="str">
        <f t="shared" si="22"/>
        <v>RAS</v>
      </c>
      <c r="P308" t="str">
        <f t="shared" si="23"/>
        <v>Hors Data</v>
      </c>
      <c r="Q308">
        <f t="shared" si="24"/>
        <v>14.205</v>
      </c>
      <c r="R308" t="str" cm="1">
        <f t="array" ref="R308">_xlfn.IFS(Q308&gt;=16, "Excellent",Q308&gt;=14, "Très bien", Q308&gt;=12, "Bien", Q308&gt;=10, "Passable", Q308&lt;10, "Insuffisant")</f>
        <v>Très bien</v>
      </c>
    </row>
    <row r="309" spans="1:18">
      <c r="A309" t="s">
        <v>534</v>
      </c>
      <c r="B309" t="s">
        <v>535</v>
      </c>
      <c r="C309" t="s">
        <v>25</v>
      </c>
      <c r="D309" t="s">
        <v>26</v>
      </c>
      <c r="E309" t="s">
        <v>35</v>
      </c>
      <c r="F309">
        <v>16.04</v>
      </c>
      <c r="G309">
        <v>11.55</v>
      </c>
      <c r="H309">
        <v>13.92</v>
      </c>
      <c r="I309">
        <v>12.84</v>
      </c>
      <c r="J309" s="4">
        <v>0.74919999999999998</v>
      </c>
      <c r="K309">
        <v>80000</v>
      </c>
      <c r="L309" s="2">
        <v>45725</v>
      </c>
      <c r="M309" t="str">
        <f t="shared" si="20"/>
        <v>Admis</v>
      </c>
      <c r="N309" t="str">
        <f t="shared" si="21"/>
        <v>Non Eligible</v>
      </c>
      <c r="O309" t="str">
        <f t="shared" si="22"/>
        <v>RAS</v>
      </c>
      <c r="P309" t="str">
        <f t="shared" si="23"/>
        <v>Hors Data</v>
      </c>
      <c r="Q309">
        <f t="shared" si="24"/>
        <v>13.587499999999999</v>
      </c>
      <c r="R309" t="str" cm="1">
        <f t="array" ref="R309">_xlfn.IFS(Q309&gt;=16, "Excellent",Q309&gt;=14, "Très bien", Q309&gt;=12, "Bien", Q309&gt;=10, "Passable", Q309&lt;10, "Insuffisant")</f>
        <v>Bien</v>
      </c>
    </row>
    <row r="310" spans="1:18">
      <c r="A310" t="s">
        <v>536</v>
      </c>
      <c r="B310" t="s">
        <v>444</v>
      </c>
      <c r="C310" t="s">
        <v>20</v>
      </c>
      <c r="D310" t="s">
        <v>38</v>
      </c>
      <c r="E310" t="s">
        <v>35</v>
      </c>
      <c r="F310">
        <v>12.09</v>
      </c>
      <c r="G310">
        <v>14.77</v>
      </c>
      <c r="H310">
        <v>12.31</v>
      </c>
      <c r="I310">
        <v>11.4</v>
      </c>
      <c r="J310" s="4">
        <v>0.77869999999999995</v>
      </c>
      <c r="K310">
        <v>85000</v>
      </c>
      <c r="L310" s="2">
        <v>46138</v>
      </c>
      <c r="M310" t="str">
        <f t="shared" si="20"/>
        <v>Admis</v>
      </c>
      <c r="N310" t="str">
        <f t="shared" si="21"/>
        <v>Non Eligible</v>
      </c>
      <c r="O310" t="str">
        <f t="shared" si="22"/>
        <v>RAS</v>
      </c>
      <c r="P310" t="str">
        <f t="shared" si="23"/>
        <v>Hors Data</v>
      </c>
      <c r="Q310">
        <f t="shared" si="24"/>
        <v>12.6425</v>
      </c>
      <c r="R310" t="str" cm="1">
        <f t="array" ref="R310">_xlfn.IFS(Q310&gt;=16, "Excellent",Q310&gt;=14, "Très bien", Q310&gt;=12, "Bien", Q310&gt;=10, "Passable", Q310&lt;10, "Insuffisant")</f>
        <v>Bien</v>
      </c>
    </row>
    <row r="311" spans="1:18">
      <c r="A311" t="s">
        <v>537</v>
      </c>
      <c r="B311" t="s">
        <v>372</v>
      </c>
      <c r="C311" t="s">
        <v>20</v>
      </c>
      <c r="D311" t="s">
        <v>53</v>
      </c>
      <c r="E311" t="s">
        <v>22</v>
      </c>
      <c r="F311">
        <v>13.81</v>
      </c>
      <c r="G311">
        <v>11.53</v>
      </c>
      <c r="H311">
        <v>11.74</v>
      </c>
      <c r="I311">
        <v>13.74</v>
      </c>
      <c r="J311" s="4">
        <v>0.64239999999999997</v>
      </c>
      <c r="K311">
        <v>130000</v>
      </c>
      <c r="L311" s="2">
        <v>46161</v>
      </c>
      <c r="M311" t="str">
        <f t="shared" si="20"/>
        <v>Admis</v>
      </c>
      <c r="N311" t="str">
        <f t="shared" si="21"/>
        <v>Non Eligible</v>
      </c>
      <c r="O311" t="str">
        <f t="shared" si="22"/>
        <v>RAS</v>
      </c>
      <c r="P311" t="str">
        <f t="shared" si="23"/>
        <v>Data</v>
      </c>
      <c r="Q311">
        <f t="shared" si="24"/>
        <v>12.705</v>
      </c>
      <c r="R311" t="str" cm="1">
        <f t="array" ref="R311">_xlfn.IFS(Q311&gt;=16, "Excellent",Q311&gt;=14, "Très bien", Q311&gt;=12, "Bien", Q311&gt;=10, "Passable", Q311&lt;10, "Insuffisant")</f>
        <v>Bien</v>
      </c>
    </row>
    <row r="312" spans="1:18">
      <c r="A312" t="s">
        <v>538</v>
      </c>
      <c r="B312" t="s">
        <v>539</v>
      </c>
      <c r="C312" t="s">
        <v>25</v>
      </c>
      <c r="D312" t="s">
        <v>53</v>
      </c>
      <c r="E312" t="s">
        <v>35</v>
      </c>
      <c r="F312">
        <v>20</v>
      </c>
      <c r="G312">
        <v>20</v>
      </c>
      <c r="H312">
        <v>18.260000000000002</v>
      </c>
      <c r="I312">
        <v>17.190000000000001</v>
      </c>
      <c r="J312" s="4">
        <v>0.91190000000000004</v>
      </c>
      <c r="K312">
        <v>50000</v>
      </c>
      <c r="L312" s="2">
        <v>46177</v>
      </c>
      <c r="M312" t="str">
        <f t="shared" si="20"/>
        <v>Admis</v>
      </c>
      <c r="N312" t="str">
        <f t="shared" si="21"/>
        <v>Eligible</v>
      </c>
      <c r="O312" t="str">
        <f t="shared" si="22"/>
        <v>RAS</v>
      </c>
      <c r="P312" t="str">
        <f t="shared" si="23"/>
        <v>Hors Data</v>
      </c>
      <c r="Q312">
        <f t="shared" si="24"/>
        <v>18.862500000000001</v>
      </c>
      <c r="R312" t="str" cm="1">
        <f t="array" ref="R312">_xlfn.IFS(Q312&gt;=16, "Excellent",Q312&gt;=14, "Très bien", Q312&gt;=12, "Bien", Q312&gt;=10, "Passable", Q312&lt;10, "Insuffisant")</f>
        <v>Excellent</v>
      </c>
    </row>
    <row r="313" spans="1:18">
      <c r="A313" t="s">
        <v>540</v>
      </c>
      <c r="B313" t="s">
        <v>541</v>
      </c>
      <c r="C313" t="s">
        <v>25</v>
      </c>
      <c r="D313" t="s">
        <v>38</v>
      </c>
      <c r="E313" t="s">
        <v>22</v>
      </c>
      <c r="F313">
        <v>16.07</v>
      </c>
      <c r="G313">
        <v>11.43</v>
      </c>
      <c r="H313">
        <v>16.62</v>
      </c>
      <c r="I313">
        <v>16.760000000000002</v>
      </c>
      <c r="J313" s="4">
        <v>0.8952</v>
      </c>
      <c r="K313">
        <v>70000</v>
      </c>
      <c r="L313" s="2">
        <v>45834</v>
      </c>
      <c r="M313" t="str">
        <f t="shared" si="20"/>
        <v>Admis</v>
      </c>
      <c r="N313" t="str">
        <f t="shared" si="21"/>
        <v>Eligible</v>
      </c>
      <c r="O313" t="str">
        <f t="shared" si="22"/>
        <v>RAS</v>
      </c>
      <c r="P313" t="str">
        <f t="shared" si="23"/>
        <v>Data</v>
      </c>
      <c r="Q313">
        <f t="shared" si="24"/>
        <v>15.220000000000002</v>
      </c>
      <c r="R313" t="str" cm="1">
        <f t="array" ref="R313">_xlfn.IFS(Q313&gt;=16, "Excellent",Q313&gt;=14, "Très bien", Q313&gt;=12, "Bien", Q313&gt;=10, "Passable", Q313&lt;10, "Insuffisant")</f>
        <v>Très bien</v>
      </c>
    </row>
    <row r="314" spans="1:18">
      <c r="A314" t="s">
        <v>542</v>
      </c>
      <c r="B314" t="s">
        <v>543</v>
      </c>
      <c r="C314" t="s">
        <v>20</v>
      </c>
      <c r="D314" t="s">
        <v>34</v>
      </c>
      <c r="E314" t="s">
        <v>27</v>
      </c>
      <c r="F314">
        <v>10.78</v>
      </c>
      <c r="G314">
        <v>12.1</v>
      </c>
      <c r="H314">
        <v>12.87</v>
      </c>
      <c r="I314">
        <v>10.32</v>
      </c>
      <c r="J314" s="4">
        <v>0.88970000000000005</v>
      </c>
      <c r="K314">
        <v>130000</v>
      </c>
      <c r="L314" s="2">
        <v>46065</v>
      </c>
      <c r="M314" t="str">
        <f t="shared" si="20"/>
        <v>Admis</v>
      </c>
      <c r="N314" t="str">
        <f t="shared" si="21"/>
        <v>Non Eligible</v>
      </c>
      <c r="O314" t="str">
        <f t="shared" si="22"/>
        <v>RAS</v>
      </c>
      <c r="P314" t="str">
        <f t="shared" si="23"/>
        <v>Hors Data</v>
      </c>
      <c r="Q314">
        <f t="shared" si="24"/>
        <v>11.5175</v>
      </c>
      <c r="R314" t="str" cm="1">
        <f t="array" ref="R314">_xlfn.IFS(Q314&gt;=16, "Excellent",Q314&gt;=14, "Très bien", Q314&gt;=12, "Bien", Q314&gt;=10, "Passable", Q314&lt;10, "Insuffisant")</f>
        <v>Passable</v>
      </c>
    </row>
    <row r="315" spans="1:18">
      <c r="A315" t="s">
        <v>544</v>
      </c>
      <c r="B315" t="s">
        <v>511</v>
      </c>
      <c r="C315" t="s">
        <v>20</v>
      </c>
      <c r="D315" t="s">
        <v>53</v>
      </c>
      <c r="E315" t="s">
        <v>35</v>
      </c>
      <c r="F315">
        <v>19.940000000000001</v>
      </c>
      <c r="G315">
        <v>20</v>
      </c>
      <c r="H315">
        <v>20</v>
      </c>
      <c r="I315">
        <v>15.25</v>
      </c>
      <c r="J315" s="4">
        <v>0.78210000000000002</v>
      </c>
      <c r="K315">
        <v>130000</v>
      </c>
      <c r="L315" s="2">
        <v>45765</v>
      </c>
      <c r="M315" t="str">
        <f t="shared" si="20"/>
        <v>Admis</v>
      </c>
      <c r="N315" t="str">
        <f t="shared" si="21"/>
        <v>Non Eligible</v>
      </c>
      <c r="O315" t="str">
        <f t="shared" si="22"/>
        <v>RAS</v>
      </c>
      <c r="P315" t="str">
        <f t="shared" si="23"/>
        <v>Hors Data</v>
      </c>
      <c r="Q315">
        <f t="shared" si="24"/>
        <v>18.797499999999999</v>
      </c>
      <c r="R315" t="str" cm="1">
        <f t="array" ref="R315">_xlfn.IFS(Q315&gt;=16, "Excellent",Q315&gt;=14, "Très bien", Q315&gt;=12, "Bien", Q315&gt;=10, "Passable", Q315&lt;10, "Insuffisant")</f>
        <v>Excellent</v>
      </c>
    </row>
    <row r="316" spans="1:18">
      <c r="A316" t="s">
        <v>545</v>
      </c>
      <c r="B316" t="s">
        <v>246</v>
      </c>
      <c r="C316" t="s">
        <v>20</v>
      </c>
      <c r="D316" t="s">
        <v>26</v>
      </c>
      <c r="E316" t="s">
        <v>22</v>
      </c>
      <c r="F316">
        <v>10.130000000000001</v>
      </c>
      <c r="G316">
        <v>6.44</v>
      </c>
      <c r="H316">
        <v>7.28</v>
      </c>
      <c r="I316">
        <v>8.16</v>
      </c>
      <c r="J316" s="4">
        <v>0.78939999999999999</v>
      </c>
      <c r="K316">
        <v>75000</v>
      </c>
      <c r="L316" s="2">
        <v>46054</v>
      </c>
      <c r="M316" t="str">
        <f t="shared" si="20"/>
        <v>Non admis</v>
      </c>
      <c r="N316" t="str">
        <f t="shared" si="21"/>
        <v>Non Eligible</v>
      </c>
      <c r="O316" t="str">
        <f t="shared" si="22"/>
        <v>A surveiller</v>
      </c>
      <c r="P316" t="str">
        <f t="shared" si="23"/>
        <v>Data</v>
      </c>
      <c r="Q316">
        <f t="shared" si="24"/>
        <v>8.0025000000000013</v>
      </c>
      <c r="R316" t="str" cm="1">
        <f t="array" ref="R316">_xlfn.IFS(Q316&gt;=16, "Excellent",Q316&gt;=14, "Très bien", Q316&gt;=12, "Bien", Q316&gt;=10, "Passable", Q316&lt;10, "Insuffisant")</f>
        <v>Insuffisant</v>
      </c>
    </row>
    <row r="317" spans="1:18">
      <c r="A317" t="s">
        <v>546</v>
      </c>
      <c r="B317" t="s">
        <v>256</v>
      </c>
      <c r="C317" t="s">
        <v>25</v>
      </c>
      <c r="D317" t="s">
        <v>34</v>
      </c>
      <c r="E317" t="s">
        <v>48</v>
      </c>
      <c r="F317">
        <v>9.18</v>
      </c>
      <c r="G317">
        <v>7.74</v>
      </c>
      <c r="H317">
        <v>7.54</v>
      </c>
      <c r="I317">
        <v>10.34</v>
      </c>
      <c r="J317" s="4">
        <v>0.60060000000000002</v>
      </c>
      <c r="K317">
        <v>130000</v>
      </c>
      <c r="L317" s="2">
        <v>45887</v>
      </c>
      <c r="M317" t="str">
        <f t="shared" si="20"/>
        <v>Non admis</v>
      </c>
      <c r="N317" t="str">
        <f t="shared" si="21"/>
        <v>Non Eligible</v>
      </c>
      <c r="O317" t="str">
        <f t="shared" si="22"/>
        <v>A surveiller</v>
      </c>
      <c r="P317" t="str">
        <f t="shared" si="23"/>
        <v>Hors Data</v>
      </c>
      <c r="Q317">
        <f t="shared" si="24"/>
        <v>8.6999999999999993</v>
      </c>
      <c r="R317" t="str" cm="1">
        <f t="array" ref="R317">_xlfn.IFS(Q317&gt;=16, "Excellent",Q317&gt;=14, "Très bien", Q317&gt;=12, "Bien", Q317&gt;=10, "Passable", Q317&lt;10, "Insuffisant")</f>
        <v>Insuffisant</v>
      </c>
    </row>
    <row r="318" spans="1:18">
      <c r="A318" t="s">
        <v>547</v>
      </c>
      <c r="B318" t="s">
        <v>423</v>
      </c>
      <c r="C318" t="s">
        <v>25</v>
      </c>
      <c r="D318" t="s">
        <v>38</v>
      </c>
      <c r="E318" t="s">
        <v>27</v>
      </c>
      <c r="F318">
        <v>16.18</v>
      </c>
      <c r="G318">
        <v>14.19</v>
      </c>
      <c r="H318">
        <v>15.55</v>
      </c>
      <c r="I318">
        <v>19.29</v>
      </c>
      <c r="J318" s="4">
        <v>0.86739999999999995</v>
      </c>
      <c r="K318">
        <v>70000</v>
      </c>
      <c r="L318" s="2">
        <v>45572</v>
      </c>
      <c r="M318" t="str">
        <f t="shared" si="20"/>
        <v>Admis</v>
      </c>
      <c r="N318" t="str">
        <f t="shared" si="21"/>
        <v>Eligible</v>
      </c>
      <c r="O318" t="str">
        <f t="shared" si="22"/>
        <v>RAS</v>
      </c>
      <c r="P318" t="str">
        <f t="shared" si="23"/>
        <v>Hors Data</v>
      </c>
      <c r="Q318">
        <f t="shared" si="24"/>
        <v>16.302500000000002</v>
      </c>
      <c r="R318" t="str" cm="1">
        <f t="array" ref="R318">_xlfn.IFS(Q318&gt;=16, "Excellent",Q318&gt;=14, "Très bien", Q318&gt;=12, "Bien", Q318&gt;=10, "Passable", Q318&lt;10, "Insuffisant")</f>
        <v>Excellent</v>
      </c>
    </row>
    <row r="319" spans="1:18">
      <c r="A319" t="s">
        <v>548</v>
      </c>
      <c r="B319" t="s">
        <v>539</v>
      </c>
      <c r="C319" t="s">
        <v>25</v>
      </c>
      <c r="D319" t="s">
        <v>41</v>
      </c>
      <c r="E319" t="s">
        <v>35</v>
      </c>
      <c r="F319">
        <v>14.17</v>
      </c>
      <c r="G319">
        <v>14.81</v>
      </c>
      <c r="H319">
        <v>10.97</v>
      </c>
      <c r="I319">
        <v>13.66</v>
      </c>
      <c r="J319" s="4">
        <v>0.98650000000000004</v>
      </c>
      <c r="K319">
        <v>50000</v>
      </c>
      <c r="L319" s="2">
        <v>45828</v>
      </c>
      <c r="M319" t="str">
        <f t="shared" si="20"/>
        <v>Admis</v>
      </c>
      <c r="N319" t="str">
        <f t="shared" si="21"/>
        <v>Non Eligible</v>
      </c>
      <c r="O319" t="str">
        <f t="shared" si="22"/>
        <v>RAS</v>
      </c>
      <c r="P319" t="str">
        <f t="shared" si="23"/>
        <v>Hors Data</v>
      </c>
      <c r="Q319">
        <f t="shared" si="24"/>
        <v>13.4025</v>
      </c>
      <c r="R319" t="str" cm="1">
        <f t="array" ref="R319">_xlfn.IFS(Q319&gt;=16, "Excellent",Q319&gt;=14, "Très bien", Q319&gt;=12, "Bien", Q319&gt;=10, "Passable", Q319&lt;10, "Insuffisant")</f>
        <v>Bien</v>
      </c>
    </row>
    <row r="320" spans="1:18">
      <c r="A320" t="s">
        <v>549</v>
      </c>
      <c r="B320" t="s">
        <v>550</v>
      </c>
      <c r="C320" t="s">
        <v>25</v>
      </c>
      <c r="D320" t="s">
        <v>34</v>
      </c>
      <c r="E320" t="s">
        <v>27</v>
      </c>
      <c r="F320">
        <v>14.03</v>
      </c>
      <c r="G320">
        <v>12.98</v>
      </c>
      <c r="H320">
        <v>12.12</v>
      </c>
      <c r="I320">
        <v>18.14</v>
      </c>
      <c r="J320" s="4">
        <v>0.87139999999999995</v>
      </c>
      <c r="K320">
        <v>75000</v>
      </c>
      <c r="L320" s="2">
        <v>45863</v>
      </c>
      <c r="M320" t="str">
        <f t="shared" si="20"/>
        <v>Admis</v>
      </c>
      <c r="N320" t="str">
        <f t="shared" si="21"/>
        <v>Eligible</v>
      </c>
      <c r="O320" t="str">
        <f t="shared" si="22"/>
        <v>RAS</v>
      </c>
      <c r="P320" t="str">
        <f t="shared" si="23"/>
        <v>Hors Data</v>
      </c>
      <c r="Q320">
        <f t="shared" si="24"/>
        <v>14.317499999999999</v>
      </c>
      <c r="R320" t="str" cm="1">
        <f t="array" ref="R320">_xlfn.IFS(Q320&gt;=16, "Excellent",Q320&gt;=14, "Très bien", Q320&gt;=12, "Bien", Q320&gt;=10, "Passable", Q320&lt;10, "Insuffisant")</f>
        <v>Très bien</v>
      </c>
    </row>
    <row r="321" spans="1:18">
      <c r="A321" t="s">
        <v>551</v>
      </c>
      <c r="B321" t="s">
        <v>552</v>
      </c>
      <c r="C321" t="s">
        <v>25</v>
      </c>
      <c r="D321" t="s">
        <v>26</v>
      </c>
      <c r="E321" t="s">
        <v>48</v>
      </c>
      <c r="F321">
        <v>11.2</v>
      </c>
      <c r="G321">
        <v>9.7799999999999994</v>
      </c>
      <c r="H321">
        <v>8.82</v>
      </c>
      <c r="I321">
        <v>9.0500000000000007</v>
      </c>
      <c r="J321" s="4">
        <v>0.96179999999999999</v>
      </c>
      <c r="K321">
        <v>85000</v>
      </c>
      <c r="L321" s="2">
        <v>45716</v>
      </c>
      <c r="M321" t="str">
        <f t="shared" si="20"/>
        <v>Non admis</v>
      </c>
      <c r="N321" t="str">
        <f t="shared" si="21"/>
        <v>Non Eligible</v>
      </c>
      <c r="O321" t="str">
        <f t="shared" si="22"/>
        <v>A surveiller</v>
      </c>
      <c r="P321" t="str">
        <f t="shared" si="23"/>
        <v>Hors Data</v>
      </c>
      <c r="Q321">
        <f t="shared" si="24"/>
        <v>9.7124999999999986</v>
      </c>
      <c r="R321" t="str" cm="1">
        <f t="array" ref="R321">_xlfn.IFS(Q321&gt;=16, "Excellent",Q321&gt;=14, "Très bien", Q321&gt;=12, "Bien", Q321&gt;=10, "Passable", Q321&lt;10, "Insuffisant")</f>
        <v>Insuffisant</v>
      </c>
    </row>
    <row r="322" spans="1:18">
      <c r="A322" t="s">
        <v>553</v>
      </c>
      <c r="B322" t="s">
        <v>175</v>
      </c>
      <c r="C322" t="s">
        <v>20</v>
      </c>
      <c r="D322" t="s">
        <v>38</v>
      </c>
      <c r="E322" t="s">
        <v>48</v>
      </c>
      <c r="F322">
        <v>13.5</v>
      </c>
      <c r="G322">
        <v>15.7</v>
      </c>
      <c r="H322">
        <v>16.13</v>
      </c>
      <c r="I322">
        <v>15.75</v>
      </c>
      <c r="J322" s="4">
        <v>0.55000000000000004</v>
      </c>
      <c r="K322">
        <v>50000</v>
      </c>
      <c r="L322" s="2">
        <v>45798</v>
      </c>
      <c r="M322" t="str">
        <f t="shared" si="20"/>
        <v>Admis</v>
      </c>
      <c r="N322" t="str">
        <f t="shared" si="21"/>
        <v>Non Eligible</v>
      </c>
      <c r="O322" t="str">
        <f t="shared" si="22"/>
        <v>RAS</v>
      </c>
      <c r="P322" t="str">
        <f t="shared" si="23"/>
        <v>Hors Data</v>
      </c>
      <c r="Q322">
        <f t="shared" si="24"/>
        <v>15.27</v>
      </c>
      <c r="R322" t="str" cm="1">
        <f t="array" ref="R322">_xlfn.IFS(Q322&gt;=16, "Excellent",Q322&gt;=14, "Très bien", Q322&gt;=12, "Bien", Q322&gt;=10, "Passable", Q322&lt;10, "Insuffisant")</f>
        <v>Très bien</v>
      </c>
    </row>
    <row r="323" spans="1:18">
      <c r="A323" t="s">
        <v>554</v>
      </c>
      <c r="B323" t="s">
        <v>555</v>
      </c>
      <c r="C323" t="s">
        <v>20</v>
      </c>
      <c r="D323" t="s">
        <v>26</v>
      </c>
      <c r="E323" t="s">
        <v>35</v>
      </c>
      <c r="F323">
        <v>17.239999999999998</v>
      </c>
      <c r="G323">
        <v>17.97</v>
      </c>
      <c r="H323">
        <v>19.239999999999998</v>
      </c>
      <c r="I323">
        <v>16.940000000000001</v>
      </c>
      <c r="J323" s="4">
        <v>0.67400000000000004</v>
      </c>
      <c r="K323">
        <v>60000</v>
      </c>
      <c r="L323" s="2">
        <v>45887</v>
      </c>
      <c r="M323" t="str">
        <f t="shared" ref="M323:M386" si="25">IF(H323&gt;=10,"Admis","Non admis")</f>
        <v>Admis</v>
      </c>
      <c r="N323" t="str">
        <f t="shared" ref="N323:N386" si="26">IF(AND(F323&gt;=12,H323&gt;=12,J323&gt;80%), "Eligible", "Non Eligible")</f>
        <v>Non Eligible</v>
      </c>
      <c r="O323" t="str">
        <f t="shared" ref="O323:O386" si="27">IF(OR(F323&lt;10,H323&lt;10), "A surveiller", "RAS")</f>
        <v>RAS</v>
      </c>
      <c r="P323" t="str">
        <f t="shared" ref="P323:P386" si="28">IF(NOT(E323="Data"), "Hors Data", "Data")</f>
        <v>Hors Data</v>
      </c>
      <c r="Q323">
        <f t="shared" ref="Q323:Q386" si="29">AVERAGE(F323:I323)</f>
        <v>17.847499999999997</v>
      </c>
      <c r="R323" t="str" cm="1">
        <f t="array" ref="R323">_xlfn.IFS(Q323&gt;=16, "Excellent",Q323&gt;=14, "Très bien", Q323&gt;=12, "Bien", Q323&gt;=10, "Passable", Q323&lt;10, "Insuffisant")</f>
        <v>Excellent</v>
      </c>
    </row>
    <row r="324" spans="1:18">
      <c r="A324" t="s">
        <v>556</v>
      </c>
      <c r="B324" t="s">
        <v>557</v>
      </c>
      <c r="C324" t="s">
        <v>25</v>
      </c>
      <c r="D324" t="s">
        <v>34</v>
      </c>
      <c r="E324" t="s">
        <v>22</v>
      </c>
      <c r="F324">
        <v>13.5</v>
      </c>
      <c r="G324">
        <v>17.940000000000001</v>
      </c>
      <c r="H324">
        <v>14.94</v>
      </c>
      <c r="I324">
        <v>16.63</v>
      </c>
      <c r="J324" s="4">
        <v>0.8901</v>
      </c>
      <c r="K324">
        <v>110000</v>
      </c>
      <c r="L324" s="2">
        <v>45570</v>
      </c>
      <c r="M324" t="str">
        <f t="shared" si="25"/>
        <v>Admis</v>
      </c>
      <c r="N324" t="str">
        <f t="shared" si="26"/>
        <v>Eligible</v>
      </c>
      <c r="O324" t="str">
        <f t="shared" si="27"/>
        <v>RAS</v>
      </c>
      <c r="P324" t="str">
        <f t="shared" si="28"/>
        <v>Data</v>
      </c>
      <c r="Q324">
        <f t="shared" si="29"/>
        <v>15.752500000000001</v>
      </c>
      <c r="R324" t="str" cm="1">
        <f t="array" ref="R324">_xlfn.IFS(Q324&gt;=16, "Excellent",Q324&gt;=14, "Très bien", Q324&gt;=12, "Bien", Q324&gt;=10, "Passable", Q324&lt;10, "Insuffisant")</f>
        <v>Très bien</v>
      </c>
    </row>
    <row r="325" spans="1:18">
      <c r="A325" t="s">
        <v>558</v>
      </c>
      <c r="B325" t="s">
        <v>182</v>
      </c>
      <c r="C325" t="s">
        <v>25</v>
      </c>
      <c r="D325" t="s">
        <v>41</v>
      </c>
      <c r="E325" t="s">
        <v>35</v>
      </c>
      <c r="F325">
        <v>12.32</v>
      </c>
      <c r="G325">
        <v>16.18</v>
      </c>
      <c r="H325">
        <v>16.87</v>
      </c>
      <c r="I325">
        <v>8.7200000000000006</v>
      </c>
      <c r="J325" s="4">
        <v>0.66690000000000005</v>
      </c>
      <c r="K325">
        <v>90000</v>
      </c>
      <c r="L325" s="2">
        <v>45642</v>
      </c>
      <c r="M325" t="str">
        <f t="shared" si="25"/>
        <v>Admis</v>
      </c>
      <c r="N325" t="str">
        <f t="shared" si="26"/>
        <v>Non Eligible</v>
      </c>
      <c r="O325" t="str">
        <f t="shared" si="27"/>
        <v>RAS</v>
      </c>
      <c r="P325" t="str">
        <f t="shared" si="28"/>
        <v>Hors Data</v>
      </c>
      <c r="Q325">
        <f t="shared" si="29"/>
        <v>13.522500000000001</v>
      </c>
      <c r="R325" t="str" cm="1">
        <f t="array" ref="R325">_xlfn.IFS(Q325&gt;=16, "Excellent",Q325&gt;=14, "Très bien", Q325&gt;=12, "Bien", Q325&gt;=10, "Passable", Q325&lt;10, "Insuffisant")</f>
        <v>Bien</v>
      </c>
    </row>
    <row r="326" spans="1:18">
      <c r="A326" t="s">
        <v>559</v>
      </c>
      <c r="B326" t="s">
        <v>79</v>
      </c>
      <c r="C326" t="s">
        <v>25</v>
      </c>
      <c r="D326" t="s">
        <v>21</v>
      </c>
      <c r="E326" t="s">
        <v>27</v>
      </c>
      <c r="F326">
        <v>12.76</v>
      </c>
      <c r="G326">
        <v>14.99</v>
      </c>
      <c r="H326">
        <v>15.88</v>
      </c>
      <c r="I326">
        <v>9.6999999999999993</v>
      </c>
      <c r="J326" s="4">
        <v>0.92649999999999999</v>
      </c>
      <c r="K326">
        <v>90000</v>
      </c>
      <c r="L326" s="2">
        <v>46072</v>
      </c>
      <c r="M326" t="str">
        <f t="shared" si="25"/>
        <v>Admis</v>
      </c>
      <c r="N326" t="str">
        <f t="shared" si="26"/>
        <v>Eligible</v>
      </c>
      <c r="O326" t="str">
        <f t="shared" si="27"/>
        <v>RAS</v>
      </c>
      <c r="P326" t="str">
        <f t="shared" si="28"/>
        <v>Hors Data</v>
      </c>
      <c r="Q326">
        <f t="shared" si="29"/>
        <v>13.3325</v>
      </c>
      <c r="R326" t="str" cm="1">
        <f t="array" ref="R326">_xlfn.IFS(Q326&gt;=16, "Excellent",Q326&gt;=14, "Très bien", Q326&gt;=12, "Bien", Q326&gt;=10, "Passable", Q326&lt;10, "Insuffisant")</f>
        <v>Bien</v>
      </c>
    </row>
    <row r="327" spans="1:18">
      <c r="A327" t="s">
        <v>560</v>
      </c>
      <c r="B327" t="s">
        <v>69</v>
      </c>
      <c r="C327" t="s">
        <v>20</v>
      </c>
      <c r="D327" t="s">
        <v>26</v>
      </c>
      <c r="E327" t="s">
        <v>27</v>
      </c>
      <c r="F327">
        <v>12.34</v>
      </c>
      <c r="G327">
        <v>13.1</v>
      </c>
      <c r="H327">
        <v>15.36</v>
      </c>
      <c r="I327">
        <v>13.32</v>
      </c>
      <c r="J327" s="4">
        <v>0.9254</v>
      </c>
      <c r="K327">
        <v>130000</v>
      </c>
      <c r="L327" s="2">
        <v>45782</v>
      </c>
      <c r="M327" t="str">
        <f t="shared" si="25"/>
        <v>Admis</v>
      </c>
      <c r="N327" t="str">
        <f t="shared" si="26"/>
        <v>Eligible</v>
      </c>
      <c r="O327" t="str">
        <f t="shared" si="27"/>
        <v>RAS</v>
      </c>
      <c r="P327" t="str">
        <f t="shared" si="28"/>
        <v>Hors Data</v>
      </c>
      <c r="Q327">
        <f t="shared" si="29"/>
        <v>13.53</v>
      </c>
      <c r="R327" t="str" cm="1">
        <f t="array" ref="R327">_xlfn.IFS(Q327&gt;=16, "Excellent",Q327&gt;=14, "Très bien", Q327&gt;=12, "Bien", Q327&gt;=10, "Passable", Q327&lt;10, "Insuffisant")</f>
        <v>Bien</v>
      </c>
    </row>
    <row r="328" spans="1:18">
      <c r="A328" t="s">
        <v>561</v>
      </c>
      <c r="B328" t="s">
        <v>562</v>
      </c>
      <c r="C328" t="s">
        <v>20</v>
      </c>
      <c r="D328" t="s">
        <v>21</v>
      </c>
      <c r="E328" t="s">
        <v>27</v>
      </c>
      <c r="F328">
        <v>8.01</v>
      </c>
      <c r="G328">
        <v>15.07</v>
      </c>
      <c r="H328">
        <v>5.86</v>
      </c>
      <c r="I328">
        <v>4.55</v>
      </c>
      <c r="J328" s="4">
        <v>0.89339999999999997</v>
      </c>
      <c r="K328">
        <v>70000</v>
      </c>
      <c r="L328" s="2">
        <v>45961</v>
      </c>
      <c r="M328" t="str">
        <f t="shared" si="25"/>
        <v>Non admis</v>
      </c>
      <c r="N328" t="str">
        <f t="shared" si="26"/>
        <v>Non Eligible</v>
      </c>
      <c r="O328" t="str">
        <f t="shared" si="27"/>
        <v>A surveiller</v>
      </c>
      <c r="P328" t="str">
        <f t="shared" si="28"/>
        <v>Hors Data</v>
      </c>
      <c r="Q328">
        <f t="shared" si="29"/>
        <v>8.3724999999999987</v>
      </c>
      <c r="R328" t="str" cm="1">
        <f t="array" ref="R328">_xlfn.IFS(Q328&gt;=16, "Excellent",Q328&gt;=14, "Très bien", Q328&gt;=12, "Bien", Q328&gt;=10, "Passable", Q328&lt;10, "Insuffisant")</f>
        <v>Insuffisant</v>
      </c>
    </row>
    <row r="329" spans="1:18">
      <c r="A329" t="s">
        <v>563</v>
      </c>
      <c r="B329" t="s">
        <v>564</v>
      </c>
      <c r="C329" t="s">
        <v>20</v>
      </c>
      <c r="D329" t="s">
        <v>53</v>
      </c>
      <c r="E329" t="s">
        <v>27</v>
      </c>
      <c r="F329">
        <v>15.32</v>
      </c>
      <c r="G329">
        <v>16.940000000000001</v>
      </c>
      <c r="H329">
        <v>13.33</v>
      </c>
      <c r="I329">
        <v>15.06</v>
      </c>
      <c r="J329" s="4">
        <v>0.80220000000000002</v>
      </c>
      <c r="K329">
        <v>120000</v>
      </c>
      <c r="L329" s="2">
        <v>45932</v>
      </c>
      <c r="M329" t="str">
        <f t="shared" si="25"/>
        <v>Admis</v>
      </c>
      <c r="N329" t="str">
        <f t="shared" si="26"/>
        <v>Eligible</v>
      </c>
      <c r="O329" t="str">
        <f t="shared" si="27"/>
        <v>RAS</v>
      </c>
      <c r="P329" t="str">
        <f t="shared" si="28"/>
        <v>Hors Data</v>
      </c>
      <c r="Q329">
        <f t="shared" si="29"/>
        <v>15.162500000000001</v>
      </c>
      <c r="R329" t="str" cm="1">
        <f t="array" ref="R329">_xlfn.IFS(Q329&gt;=16, "Excellent",Q329&gt;=14, "Très bien", Q329&gt;=12, "Bien", Q329&gt;=10, "Passable", Q329&lt;10, "Insuffisant")</f>
        <v>Très bien</v>
      </c>
    </row>
    <row r="330" spans="1:18">
      <c r="A330" t="s">
        <v>565</v>
      </c>
      <c r="B330" t="s">
        <v>382</v>
      </c>
      <c r="C330" t="s">
        <v>20</v>
      </c>
      <c r="D330" t="s">
        <v>53</v>
      </c>
      <c r="E330" t="s">
        <v>35</v>
      </c>
      <c r="F330">
        <v>14.49</v>
      </c>
      <c r="G330">
        <v>16.98</v>
      </c>
      <c r="H330">
        <v>20</v>
      </c>
      <c r="I330">
        <v>17.760000000000002</v>
      </c>
      <c r="J330" s="4">
        <v>0.67269999999999996</v>
      </c>
      <c r="K330">
        <v>75000</v>
      </c>
      <c r="L330" s="2">
        <v>45921</v>
      </c>
      <c r="M330" t="str">
        <f t="shared" si="25"/>
        <v>Admis</v>
      </c>
      <c r="N330" t="str">
        <f t="shared" si="26"/>
        <v>Non Eligible</v>
      </c>
      <c r="O330" t="str">
        <f t="shared" si="27"/>
        <v>RAS</v>
      </c>
      <c r="P330" t="str">
        <f t="shared" si="28"/>
        <v>Hors Data</v>
      </c>
      <c r="Q330">
        <f t="shared" si="29"/>
        <v>17.307500000000001</v>
      </c>
      <c r="R330" t="str" cm="1">
        <f t="array" ref="R330">_xlfn.IFS(Q330&gt;=16, "Excellent",Q330&gt;=14, "Très bien", Q330&gt;=12, "Bien", Q330&gt;=10, "Passable", Q330&lt;10, "Insuffisant")</f>
        <v>Excellent</v>
      </c>
    </row>
    <row r="331" spans="1:18">
      <c r="A331" t="s">
        <v>566</v>
      </c>
      <c r="B331" t="s">
        <v>552</v>
      </c>
      <c r="C331" t="s">
        <v>25</v>
      </c>
      <c r="D331" t="s">
        <v>41</v>
      </c>
      <c r="E331" t="s">
        <v>35</v>
      </c>
      <c r="F331">
        <v>12.31</v>
      </c>
      <c r="G331">
        <v>7.56</v>
      </c>
      <c r="H331">
        <v>9.82</v>
      </c>
      <c r="I331">
        <v>7.89</v>
      </c>
      <c r="J331" s="4">
        <v>0.85360000000000003</v>
      </c>
      <c r="K331">
        <v>130000</v>
      </c>
      <c r="L331" s="2">
        <v>45825</v>
      </c>
      <c r="M331" t="str">
        <f t="shared" si="25"/>
        <v>Non admis</v>
      </c>
      <c r="N331" t="str">
        <f t="shared" si="26"/>
        <v>Non Eligible</v>
      </c>
      <c r="O331" t="str">
        <f t="shared" si="27"/>
        <v>A surveiller</v>
      </c>
      <c r="P331" t="str">
        <f t="shared" si="28"/>
        <v>Hors Data</v>
      </c>
      <c r="Q331">
        <f t="shared" si="29"/>
        <v>9.3949999999999996</v>
      </c>
      <c r="R331" t="str" cm="1">
        <f t="array" ref="R331">_xlfn.IFS(Q331&gt;=16, "Excellent",Q331&gt;=14, "Très bien", Q331&gt;=12, "Bien", Q331&gt;=10, "Passable", Q331&lt;10, "Insuffisant")</f>
        <v>Insuffisant</v>
      </c>
    </row>
    <row r="332" spans="1:18">
      <c r="A332" t="s">
        <v>567</v>
      </c>
      <c r="B332" t="s">
        <v>270</v>
      </c>
      <c r="C332" t="s">
        <v>25</v>
      </c>
      <c r="D332" t="s">
        <v>26</v>
      </c>
      <c r="E332" t="s">
        <v>27</v>
      </c>
      <c r="F332">
        <v>11.06</v>
      </c>
      <c r="G332">
        <v>11.83</v>
      </c>
      <c r="H332">
        <v>11.26</v>
      </c>
      <c r="I332">
        <v>9.42</v>
      </c>
      <c r="J332" s="4">
        <v>0.78349999999999997</v>
      </c>
      <c r="K332">
        <v>110000</v>
      </c>
      <c r="L332" s="2">
        <v>45874</v>
      </c>
      <c r="M332" t="str">
        <f t="shared" si="25"/>
        <v>Admis</v>
      </c>
      <c r="N332" t="str">
        <f t="shared" si="26"/>
        <v>Non Eligible</v>
      </c>
      <c r="O332" t="str">
        <f t="shared" si="27"/>
        <v>RAS</v>
      </c>
      <c r="P332" t="str">
        <f t="shared" si="28"/>
        <v>Hors Data</v>
      </c>
      <c r="Q332">
        <f t="shared" si="29"/>
        <v>10.8925</v>
      </c>
      <c r="R332" t="str" cm="1">
        <f t="array" ref="R332">_xlfn.IFS(Q332&gt;=16, "Excellent",Q332&gt;=14, "Très bien", Q332&gt;=12, "Bien", Q332&gt;=10, "Passable", Q332&lt;10, "Insuffisant")</f>
        <v>Passable</v>
      </c>
    </row>
    <row r="333" spans="1:18">
      <c r="A333" t="s">
        <v>568</v>
      </c>
      <c r="B333" t="s">
        <v>453</v>
      </c>
      <c r="C333" t="s">
        <v>20</v>
      </c>
      <c r="D333" t="s">
        <v>21</v>
      </c>
      <c r="E333" t="s">
        <v>48</v>
      </c>
      <c r="F333">
        <v>9.31</v>
      </c>
      <c r="G333">
        <v>13.8</v>
      </c>
      <c r="H333">
        <v>12.04</v>
      </c>
      <c r="I333">
        <v>9.1199999999999992</v>
      </c>
      <c r="J333" s="4">
        <v>0.83299999999999996</v>
      </c>
      <c r="K333">
        <v>70000</v>
      </c>
      <c r="L333" s="2">
        <v>46112</v>
      </c>
      <c r="M333" t="str">
        <f t="shared" si="25"/>
        <v>Admis</v>
      </c>
      <c r="N333" t="str">
        <f t="shared" si="26"/>
        <v>Non Eligible</v>
      </c>
      <c r="O333" t="str">
        <f t="shared" si="27"/>
        <v>A surveiller</v>
      </c>
      <c r="P333" t="str">
        <f t="shared" si="28"/>
        <v>Hors Data</v>
      </c>
      <c r="Q333">
        <f t="shared" si="29"/>
        <v>11.067499999999999</v>
      </c>
      <c r="R333" t="str" cm="1">
        <f t="array" ref="R333">_xlfn.IFS(Q333&gt;=16, "Excellent",Q333&gt;=14, "Très bien", Q333&gt;=12, "Bien", Q333&gt;=10, "Passable", Q333&lt;10, "Insuffisant")</f>
        <v>Passable</v>
      </c>
    </row>
    <row r="334" spans="1:18">
      <c r="A334" t="s">
        <v>569</v>
      </c>
      <c r="B334" t="s">
        <v>220</v>
      </c>
      <c r="C334" t="s">
        <v>20</v>
      </c>
      <c r="D334" t="s">
        <v>26</v>
      </c>
      <c r="E334" t="s">
        <v>35</v>
      </c>
      <c r="F334">
        <v>11.86</v>
      </c>
      <c r="G334">
        <v>14.96</v>
      </c>
      <c r="H334">
        <v>13.21</v>
      </c>
      <c r="I334">
        <v>8.57</v>
      </c>
      <c r="J334" s="4">
        <v>0.95879999999999999</v>
      </c>
      <c r="K334">
        <v>70000</v>
      </c>
      <c r="L334" s="2">
        <v>46211</v>
      </c>
      <c r="M334" t="str">
        <f t="shared" si="25"/>
        <v>Admis</v>
      </c>
      <c r="N334" t="str">
        <f t="shared" si="26"/>
        <v>Non Eligible</v>
      </c>
      <c r="O334" t="str">
        <f t="shared" si="27"/>
        <v>RAS</v>
      </c>
      <c r="P334" t="str">
        <f t="shared" si="28"/>
        <v>Hors Data</v>
      </c>
      <c r="Q334">
        <f t="shared" si="29"/>
        <v>12.15</v>
      </c>
      <c r="R334" t="str" cm="1">
        <f t="array" ref="R334">_xlfn.IFS(Q334&gt;=16, "Excellent",Q334&gt;=14, "Très bien", Q334&gt;=12, "Bien", Q334&gt;=10, "Passable", Q334&lt;10, "Insuffisant")</f>
        <v>Bien</v>
      </c>
    </row>
    <row r="335" spans="1:18">
      <c r="A335" t="s">
        <v>570</v>
      </c>
      <c r="B335" t="s">
        <v>111</v>
      </c>
      <c r="C335" t="s">
        <v>25</v>
      </c>
      <c r="D335" t="s">
        <v>53</v>
      </c>
      <c r="E335" t="s">
        <v>35</v>
      </c>
      <c r="F335">
        <v>9.61</v>
      </c>
      <c r="G335">
        <v>17.3</v>
      </c>
      <c r="H335">
        <v>12.59</v>
      </c>
      <c r="I335">
        <v>13.33</v>
      </c>
      <c r="J335" s="4">
        <v>0.95950000000000002</v>
      </c>
      <c r="K335">
        <v>85000</v>
      </c>
      <c r="L335" s="2">
        <v>45715</v>
      </c>
      <c r="M335" t="str">
        <f t="shared" si="25"/>
        <v>Admis</v>
      </c>
      <c r="N335" t="str">
        <f t="shared" si="26"/>
        <v>Non Eligible</v>
      </c>
      <c r="O335" t="str">
        <f t="shared" si="27"/>
        <v>A surveiller</v>
      </c>
      <c r="P335" t="str">
        <f t="shared" si="28"/>
        <v>Hors Data</v>
      </c>
      <c r="Q335">
        <f t="shared" si="29"/>
        <v>13.2075</v>
      </c>
      <c r="R335" t="str" cm="1">
        <f t="array" ref="R335">_xlfn.IFS(Q335&gt;=16, "Excellent",Q335&gt;=14, "Très bien", Q335&gt;=12, "Bien", Q335&gt;=10, "Passable", Q335&lt;10, "Insuffisant")</f>
        <v>Bien</v>
      </c>
    </row>
    <row r="336" spans="1:18">
      <c r="A336" t="s">
        <v>571</v>
      </c>
      <c r="B336" t="s">
        <v>320</v>
      </c>
      <c r="C336" t="s">
        <v>20</v>
      </c>
      <c r="D336" t="s">
        <v>53</v>
      </c>
      <c r="E336" t="s">
        <v>27</v>
      </c>
      <c r="F336">
        <v>5.92</v>
      </c>
      <c r="G336">
        <v>9.7899999999999991</v>
      </c>
      <c r="H336">
        <v>8.35</v>
      </c>
      <c r="I336">
        <v>7.79</v>
      </c>
      <c r="J336" s="4">
        <v>0.93059999999999998</v>
      </c>
      <c r="K336">
        <v>85000</v>
      </c>
      <c r="L336" s="2">
        <v>46004</v>
      </c>
      <c r="M336" t="str">
        <f t="shared" si="25"/>
        <v>Non admis</v>
      </c>
      <c r="N336" t="str">
        <f t="shared" si="26"/>
        <v>Non Eligible</v>
      </c>
      <c r="O336" t="str">
        <f t="shared" si="27"/>
        <v>A surveiller</v>
      </c>
      <c r="P336" t="str">
        <f t="shared" si="28"/>
        <v>Hors Data</v>
      </c>
      <c r="Q336">
        <f t="shared" si="29"/>
        <v>7.9624999999999995</v>
      </c>
      <c r="R336" t="str" cm="1">
        <f t="array" ref="R336">_xlfn.IFS(Q336&gt;=16, "Excellent",Q336&gt;=14, "Très bien", Q336&gt;=12, "Bien", Q336&gt;=10, "Passable", Q336&lt;10, "Insuffisant")</f>
        <v>Insuffisant</v>
      </c>
    </row>
    <row r="337" spans="1:18">
      <c r="A337" t="s">
        <v>572</v>
      </c>
      <c r="B337" t="s">
        <v>477</v>
      </c>
      <c r="C337" t="s">
        <v>25</v>
      </c>
      <c r="D337" t="s">
        <v>34</v>
      </c>
      <c r="E337" t="s">
        <v>22</v>
      </c>
      <c r="F337">
        <v>17.38</v>
      </c>
      <c r="G337">
        <v>12.86</v>
      </c>
      <c r="H337">
        <v>17.46</v>
      </c>
      <c r="I337">
        <v>14.45</v>
      </c>
      <c r="J337" s="4">
        <v>0.84789999999999999</v>
      </c>
      <c r="K337">
        <v>70000</v>
      </c>
      <c r="L337" s="2">
        <v>46214</v>
      </c>
      <c r="M337" t="str">
        <f t="shared" si="25"/>
        <v>Admis</v>
      </c>
      <c r="N337" t="str">
        <f t="shared" si="26"/>
        <v>Eligible</v>
      </c>
      <c r="O337" t="str">
        <f t="shared" si="27"/>
        <v>RAS</v>
      </c>
      <c r="P337" t="str">
        <f t="shared" si="28"/>
        <v>Data</v>
      </c>
      <c r="Q337">
        <f t="shared" si="29"/>
        <v>15.537500000000001</v>
      </c>
      <c r="R337" t="str" cm="1">
        <f t="array" ref="R337">_xlfn.IFS(Q337&gt;=16, "Excellent",Q337&gt;=14, "Très bien", Q337&gt;=12, "Bien", Q337&gt;=10, "Passable", Q337&lt;10, "Insuffisant")</f>
        <v>Très bien</v>
      </c>
    </row>
    <row r="338" spans="1:18">
      <c r="A338" t="s">
        <v>573</v>
      </c>
      <c r="B338" t="s">
        <v>485</v>
      </c>
      <c r="C338" t="s">
        <v>25</v>
      </c>
      <c r="D338" t="s">
        <v>34</v>
      </c>
      <c r="E338" t="s">
        <v>22</v>
      </c>
      <c r="F338">
        <v>11.79</v>
      </c>
      <c r="G338">
        <v>17.079999999999998</v>
      </c>
      <c r="H338">
        <v>13.26</v>
      </c>
      <c r="I338">
        <v>19.190000000000001</v>
      </c>
      <c r="J338" s="4">
        <v>0.8589</v>
      </c>
      <c r="K338">
        <v>70000</v>
      </c>
      <c r="L338" s="2">
        <v>45541</v>
      </c>
      <c r="M338" t="str">
        <f t="shared" si="25"/>
        <v>Admis</v>
      </c>
      <c r="N338" t="str">
        <f t="shared" si="26"/>
        <v>Non Eligible</v>
      </c>
      <c r="O338" t="str">
        <f t="shared" si="27"/>
        <v>RAS</v>
      </c>
      <c r="P338" t="str">
        <f t="shared" si="28"/>
        <v>Data</v>
      </c>
      <c r="Q338">
        <f t="shared" si="29"/>
        <v>15.329999999999998</v>
      </c>
      <c r="R338" t="str" cm="1">
        <f t="array" ref="R338">_xlfn.IFS(Q338&gt;=16, "Excellent",Q338&gt;=14, "Très bien", Q338&gt;=12, "Bien", Q338&gt;=10, "Passable", Q338&lt;10, "Insuffisant")</f>
        <v>Très bien</v>
      </c>
    </row>
    <row r="339" spans="1:18">
      <c r="A339" t="s">
        <v>574</v>
      </c>
      <c r="B339" t="s">
        <v>575</v>
      </c>
      <c r="C339" t="s">
        <v>20</v>
      </c>
      <c r="D339" t="s">
        <v>41</v>
      </c>
      <c r="E339" t="s">
        <v>48</v>
      </c>
      <c r="F339">
        <v>15.26</v>
      </c>
      <c r="G339">
        <v>10.47</v>
      </c>
      <c r="H339">
        <v>13.02</v>
      </c>
      <c r="I339">
        <v>11.11</v>
      </c>
      <c r="J339" s="4">
        <v>0.73309999999999997</v>
      </c>
      <c r="K339">
        <v>120000</v>
      </c>
      <c r="L339" s="2">
        <v>46085</v>
      </c>
      <c r="M339" t="str">
        <f t="shared" si="25"/>
        <v>Admis</v>
      </c>
      <c r="N339" t="str">
        <f t="shared" si="26"/>
        <v>Non Eligible</v>
      </c>
      <c r="O339" t="str">
        <f t="shared" si="27"/>
        <v>RAS</v>
      </c>
      <c r="P339" t="str">
        <f t="shared" si="28"/>
        <v>Hors Data</v>
      </c>
      <c r="Q339">
        <f t="shared" si="29"/>
        <v>12.465</v>
      </c>
      <c r="R339" t="str" cm="1">
        <f t="array" ref="R339">_xlfn.IFS(Q339&gt;=16, "Excellent",Q339&gt;=14, "Très bien", Q339&gt;=12, "Bien", Q339&gt;=10, "Passable", Q339&lt;10, "Insuffisant")</f>
        <v>Bien</v>
      </c>
    </row>
    <row r="340" spans="1:18">
      <c r="A340" t="s">
        <v>576</v>
      </c>
      <c r="B340" t="s">
        <v>170</v>
      </c>
      <c r="C340" t="s">
        <v>20</v>
      </c>
      <c r="D340" t="s">
        <v>26</v>
      </c>
      <c r="E340" t="s">
        <v>22</v>
      </c>
      <c r="F340">
        <v>9.8800000000000008</v>
      </c>
      <c r="G340">
        <v>3.68</v>
      </c>
      <c r="H340">
        <v>4.3</v>
      </c>
      <c r="I340">
        <v>9.52</v>
      </c>
      <c r="J340" s="4">
        <v>0.80679999999999996</v>
      </c>
      <c r="K340">
        <v>110000</v>
      </c>
      <c r="L340" s="2">
        <v>45883</v>
      </c>
      <c r="M340" t="str">
        <f t="shared" si="25"/>
        <v>Non admis</v>
      </c>
      <c r="N340" t="str">
        <f t="shared" si="26"/>
        <v>Non Eligible</v>
      </c>
      <c r="O340" t="str">
        <f t="shared" si="27"/>
        <v>A surveiller</v>
      </c>
      <c r="P340" t="str">
        <f t="shared" si="28"/>
        <v>Data</v>
      </c>
      <c r="Q340">
        <f t="shared" si="29"/>
        <v>6.8449999999999998</v>
      </c>
      <c r="R340" t="str" cm="1">
        <f t="array" ref="R340">_xlfn.IFS(Q340&gt;=16, "Excellent",Q340&gt;=14, "Très bien", Q340&gt;=12, "Bien", Q340&gt;=10, "Passable", Q340&lt;10, "Insuffisant")</f>
        <v>Insuffisant</v>
      </c>
    </row>
    <row r="341" spans="1:18">
      <c r="A341" t="s">
        <v>577</v>
      </c>
      <c r="B341" t="s">
        <v>578</v>
      </c>
      <c r="C341" t="s">
        <v>25</v>
      </c>
      <c r="D341" t="s">
        <v>38</v>
      </c>
      <c r="E341" t="s">
        <v>22</v>
      </c>
      <c r="F341">
        <v>9.9</v>
      </c>
      <c r="G341">
        <v>11.64</v>
      </c>
      <c r="H341">
        <v>8.75</v>
      </c>
      <c r="I341">
        <v>8.32</v>
      </c>
      <c r="J341" s="4">
        <v>0.95840000000000003</v>
      </c>
      <c r="K341">
        <v>70000</v>
      </c>
      <c r="L341" s="2">
        <v>46213</v>
      </c>
      <c r="M341" t="str">
        <f t="shared" si="25"/>
        <v>Non admis</v>
      </c>
      <c r="N341" t="str">
        <f t="shared" si="26"/>
        <v>Non Eligible</v>
      </c>
      <c r="O341" t="str">
        <f t="shared" si="27"/>
        <v>A surveiller</v>
      </c>
      <c r="P341" t="str">
        <f t="shared" si="28"/>
        <v>Data</v>
      </c>
      <c r="Q341">
        <f t="shared" si="29"/>
        <v>9.6524999999999999</v>
      </c>
      <c r="R341" t="str" cm="1">
        <f t="array" ref="R341">_xlfn.IFS(Q341&gt;=16, "Excellent",Q341&gt;=14, "Très bien", Q341&gt;=12, "Bien", Q341&gt;=10, "Passable", Q341&lt;10, "Insuffisant")</f>
        <v>Insuffisant</v>
      </c>
    </row>
    <row r="342" spans="1:18">
      <c r="A342" t="s">
        <v>579</v>
      </c>
      <c r="B342" t="s">
        <v>29</v>
      </c>
      <c r="C342" t="s">
        <v>25</v>
      </c>
      <c r="D342" t="s">
        <v>26</v>
      </c>
      <c r="E342" t="s">
        <v>27</v>
      </c>
      <c r="F342">
        <v>17.59</v>
      </c>
      <c r="G342">
        <v>18.5</v>
      </c>
      <c r="H342">
        <v>15.91</v>
      </c>
      <c r="I342">
        <v>17.010000000000002</v>
      </c>
      <c r="J342" s="4">
        <v>0.93799999999999994</v>
      </c>
      <c r="K342">
        <v>100000</v>
      </c>
      <c r="L342" s="2">
        <v>45940</v>
      </c>
      <c r="M342" t="str">
        <f t="shared" si="25"/>
        <v>Admis</v>
      </c>
      <c r="N342" t="str">
        <f t="shared" si="26"/>
        <v>Eligible</v>
      </c>
      <c r="O342" t="str">
        <f t="shared" si="27"/>
        <v>RAS</v>
      </c>
      <c r="P342" t="str">
        <f t="shared" si="28"/>
        <v>Hors Data</v>
      </c>
      <c r="Q342">
        <f t="shared" si="29"/>
        <v>17.252500000000001</v>
      </c>
      <c r="R342" t="str" cm="1">
        <f t="array" ref="R342">_xlfn.IFS(Q342&gt;=16, "Excellent",Q342&gt;=14, "Très bien", Q342&gt;=12, "Bien", Q342&gt;=10, "Passable", Q342&lt;10, "Insuffisant")</f>
        <v>Excellent</v>
      </c>
    </row>
    <row r="343" spans="1:18">
      <c r="A343" t="s">
        <v>580</v>
      </c>
      <c r="B343" t="s">
        <v>581</v>
      </c>
      <c r="C343" t="s">
        <v>20</v>
      </c>
      <c r="D343" t="s">
        <v>21</v>
      </c>
      <c r="E343" t="s">
        <v>35</v>
      </c>
      <c r="F343">
        <v>8.18</v>
      </c>
      <c r="G343">
        <v>8.11</v>
      </c>
      <c r="H343">
        <v>6.97</v>
      </c>
      <c r="I343">
        <v>8.2200000000000006</v>
      </c>
      <c r="J343" s="4">
        <v>0.81640000000000001</v>
      </c>
      <c r="K343">
        <v>60000</v>
      </c>
      <c r="L343" s="2">
        <v>46122</v>
      </c>
      <c r="M343" t="str">
        <f t="shared" si="25"/>
        <v>Non admis</v>
      </c>
      <c r="N343" t="str">
        <f t="shared" si="26"/>
        <v>Non Eligible</v>
      </c>
      <c r="O343" t="str">
        <f t="shared" si="27"/>
        <v>A surveiller</v>
      </c>
      <c r="P343" t="str">
        <f t="shared" si="28"/>
        <v>Hors Data</v>
      </c>
      <c r="Q343">
        <f t="shared" si="29"/>
        <v>7.8699999999999992</v>
      </c>
      <c r="R343" t="str" cm="1">
        <f t="array" ref="R343">_xlfn.IFS(Q343&gt;=16, "Excellent",Q343&gt;=14, "Très bien", Q343&gt;=12, "Bien", Q343&gt;=10, "Passable", Q343&lt;10, "Insuffisant")</f>
        <v>Insuffisant</v>
      </c>
    </row>
    <row r="344" spans="1:18">
      <c r="A344" t="s">
        <v>582</v>
      </c>
      <c r="B344" t="s">
        <v>243</v>
      </c>
      <c r="C344" t="s">
        <v>25</v>
      </c>
      <c r="D344" t="s">
        <v>26</v>
      </c>
      <c r="E344" t="s">
        <v>48</v>
      </c>
      <c r="F344">
        <v>11.5</v>
      </c>
      <c r="G344">
        <v>14.02</v>
      </c>
      <c r="H344">
        <v>12.02</v>
      </c>
      <c r="I344">
        <v>14.92</v>
      </c>
      <c r="J344" s="4">
        <v>0.67269999999999996</v>
      </c>
      <c r="K344">
        <v>80000</v>
      </c>
      <c r="L344" s="2">
        <v>45652</v>
      </c>
      <c r="M344" t="str">
        <f t="shared" si="25"/>
        <v>Admis</v>
      </c>
      <c r="N344" t="str">
        <f t="shared" si="26"/>
        <v>Non Eligible</v>
      </c>
      <c r="O344" t="str">
        <f t="shared" si="27"/>
        <v>RAS</v>
      </c>
      <c r="P344" t="str">
        <f t="shared" si="28"/>
        <v>Hors Data</v>
      </c>
      <c r="Q344">
        <f t="shared" si="29"/>
        <v>13.115</v>
      </c>
      <c r="R344" t="str" cm="1">
        <f t="array" ref="R344">_xlfn.IFS(Q344&gt;=16, "Excellent",Q344&gt;=14, "Très bien", Q344&gt;=12, "Bien", Q344&gt;=10, "Passable", Q344&lt;10, "Insuffisant")</f>
        <v>Bien</v>
      </c>
    </row>
    <row r="345" spans="1:18">
      <c r="A345" t="s">
        <v>583</v>
      </c>
      <c r="B345" t="s">
        <v>539</v>
      </c>
      <c r="C345" t="s">
        <v>25</v>
      </c>
      <c r="D345" t="s">
        <v>38</v>
      </c>
      <c r="E345" t="s">
        <v>35</v>
      </c>
      <c r="F345">
        <v>12.11</v>
      </c>
      <c r="G345">
        <v>11.77</v>
      </c>
      <c r="H345">
        <v>8.9700000000000006</v>
      </c>
      <c r="I345">
        <v>9.17</v>
      </c>
      <c r="J345" s="4">
        <v>0.82779999999999998</v>
      </c>
      <c r="K345">
        <v>50000</v>
      </c>
      <c r="L345" s="2">
        <v>45635</v>
      </c>
      <c r="M345" t="str">
        <f t="shared" si="25"/>
        <v>Non admis</v>
      </c>
      <c r="N345" t="str">
        <f t="shared" si="26"/>
        <v>Non Eligible</v>
      </c>
      <c r="O345" t="str">
        <f t="shared" si="27"/>
        <v>A surveiller</v>
      </c>
      <c r="P345" t="str">
        <f t="shared" si="28"/>
        <v>Hors Data</v>
      </c>
      <c r="Q345">
        <f t="shared" si="29"/>
        <v>10.505000000000001</v>
      </c>
      <c r="R345" t="str" cm="1">
        <f t="array" ref="R345">_xlfn.IFS(Q345&gt;=16, "Excellent",Q345&gt;=14, "Très bien", Q345&gt;=12, "Bien", Q345&gt;=10, "Passable", Q345&lt;10, "Insuffisant")</f>
        <v>Passable</v>
      </c>
    </row>
    <row r="346" spans="1:18">
      <c r="A346" t="s">
        <v>584</v>
      </c>
      <c r="B346" t="s">
        <v>585</v>
      </c>
      <c r="C346" t="s">
        <v>25</v>
      </c>
      <c r="D346" t="s">
        <v>53</v>
      </c>
      <c r="E346" t="s">
        <v>22</v>
      </c>
      <c r="F346">
        <v>14.28</v>
      </c>
      <c r="G346">
        <v>13.99</v>
      </c>
      <c r="H346">
        <v>16.07</v>
      </c>
      <c r="I346">
        <v>16.87</v>
      </c>
      <c r="J346" s="4">
        <v>0.79369999999999996</v>
      </c>
      <c r="K346">
        <v>100000</v>
      </c>
      <c r="L346" s="2">
        <v>46184</v>
      </c>
      <c r="M346" t="str">
        <f t="shared" si="25"/>
        <v>Admis</v>
      </c>
      <c r="N346" t="str">
        <f t="shared" si="26"/>
        <v>Non Eligible</v>
      </c>
      <c r="O346" t="str">
        <f t="shared" si="27"/>
        <v>RAS</v>
      </c>
      <c r="P346" t="str">
        <f t="shared" si="28"/>
        <v>Data</v>
      </c>
      <c r="Q346">
        <f t="shared" si="29"/>
        <v>15.302500000000002</v>
      </c>
      <c r="R346" t="str" cm="1">
        <f t="array" ref="R346">_xlfn.IFS(Q346&gt;=16, "Excellent",Q346&gt;=14, "Très bien", Q346&gt;=12, "Bien", Q346&gt;=10, "Passable", Q346&lt;10, "Insuffisant")</f>
        <v>Très bien</v>
      </c>
    </row>
    <row r="347" spans="1:18">
      <c r="A347" t="s">
        <v>586</v>
      </c>
      <c r="B347" t="s">
        <v>378</v>
      </c>
      <c r="C347" t="s">
        <v>20</v>
      </c>
      <c r="D347" t="s">
        <v>53</v>
      </c>
      <c r="E347" t="s">
        <v>22</v>
      </c>
      <c r="F347">
        <v>10.56</v>
      </c>
      <c r="G347">
        <v>11.78</v>
      </c>
      <c r="H347">
        <v>9.2899999999999991</v>
      </c>
      <c r="I347">
        <v>12.44</v>
      </c>
      <c r="J347" s="4">
        <v>0.85799999999999998</v>
      </c>
      <c r="K347">
        <v>70000</v>
      </c>
      <c r="L347" s="2">
        <v>45904</v>
      </c>
      <c r="M347" t="str">
        <f t="shared" si="25"/>
        <v>Non admis</v>
      </c>
      <c r="N347" t="str">
        <f t="shared" si="26"/>
        <v>Non Eligible</v>
      </c>
      <c r="O347" t="str">
        <f t="shared" si="27"/>
        <v>A surveiller</v>
      </c>
      <c r="P347" t="str">
        <f t="shared" si="28"/>
        <v>Data</v>
      </c>
      <c r="Q347">
        <f t="shared" si="29"/>
        <v>11.0175</v>
      </c>
      <c r="R347" t="str" cm="1">
        <f t="array" ref="R347">_xlfn.IFS(Q347&gt;=16, "Excellent",Q347&gt;=14, "Très bien", Q347&gt;=12, "Bien", Q347&gt;=10, "Passable", Q347&lt;10, "Insuffisant")</f>
        <v>Passable</v>
      </c>
    </row>
    <row r="348" spans="1:18">
      <c r="A348" t="s">
        <v>587</v>
      </c>
      <c r="B348" t="s">
        <v>310</v>
      </c>
      <c r="C348" t="s">
        <v>25</v>
      </c>
      <c r="D348" t="s">
        <v>41</v>
      </c>
      <c r="E348" t="s">
        <v>27</v>
      </c>
      <c r="F348">
        <v>12.87</v>
      </c>
      <c r="G348">
        <v>11.72</v>
      </c>
      <c r="H348">
        <v>15.77</v>
      </c>
      <c r="I348">
        <v>13.34</v>
      </c>
      <c r="J348" s="4">
        <v>0.86880000000000002</v>
      </c>
      <c r="K348">
        <v>70000</v>
      </c>
      <c r="L348" s="2">
        <v>45926</v>
      </c>
      <c r="M348" t="str">
        <f t="shared" si="25"/>
        <v>Admis</v>
      </c>
      <c r="N348" t="str">
        <f t="shared" si="26"/>
        <v>Eligible</v>
      </c>
      <c r="O348" t="str">
        <f t="shared" si="27"/>
        <v>RAS</v>
      </c>
      <c r="P348" t="str">
        <f t="shared" si="28"/>
        <v>Hors Data</v>
      </c>
      <c r="Q348">
        <f t="shared" si="29"/>
        <v>13.425000000000001</v>
      </c>
      <c r="R348" t="str" cm="1">
        <f t="array" ref="R348">_xlfn.IFS(Q348&gt;=16, "Excellent",Q348&gt;=14, "Très bien", Q348&gt;=12, "Bien", Q348&gt;=10, "Passable", Q348&lt;10, "Insuffisant")</f>
        <v>Bien</v>
      </c>
    </row>
    <row r="349" spans="1:18">
      <c r="A349" t="s">
        <v>588</v>
      </c>
      <c r="B349" t="s">
        <v>589</v>
      </c>
      <c r="C349" t="s">
        <v>25</v>
      </c>
      <c r="D349" t="s">
        <v>53</v>
      </c>
      <c r="E349" t="s">
        <v>22</v>
      </c>
      <c r="F349">
        <v>15.84</v>
      </c>
      <c r="G349">
        <v>11.08</v>
      </c>
      <c r="H349">
        <v>17.77</v>
      </c>
      <c r="I349">
        <v>16.34</v>
      </c>
      <c r="J349" s="4">
        <v>0.80469999999999997</v>
      </c>
      <c r="K349">
        <v>70000</v>
      </c>
      <c r="L349" s="2">
        <v>45654</v>
      </c>
      <c r="M349" t="str">
        <f t="shared" si="25"/>
        <v>Admis</v>
      </c>
      <c r="N349" t="str">
        <f t="shared" si="26"/>
        <v>Eligible</v>
      </c>
      <c r="O349" t="str">
        <f t="shared" si="27"/>
        <v>RAS</v>
      </c>
      <c r="P349" t="str">
        <f t="shared" si="28"/>
        <v>Data</v>
      </c>
      <c r="Q349">
        <f t="shared" si="29"/>
        <v>15.2575</v>
      </c>
      <c r="R349" t="str" cm="1">
        <f t="array" ref="R349">_xlfn.IFS(Q349&gt;=16, "Excellent",Q349&gt;=14, "Très bien", Q349&gt;=12, "Bien", Q349&gt;=10, "Passable", Q349&lt;10, "Insuffisant")</f>
        <v>Très bien</v>
      </c>
    </row>
    <row r="350" spans="1:18">
      <c r="A350" t="s">
        <v>590</v>
      </c>
      <c r="B350" t="s">
        <v>45</v>
      </c>
      <c r="C350" t="s">
        <v>20</v>
      </c>
      <c r="D350" t="s">
        <v>41</v>
      </c>
      <c r="E350" t="s">
        <v>48</v>
      </c>
      <c r="F350">
        <v>20</v>
      </c>
      <c r="G350">
        <v>20</v>
      </c>
      <c r="H350">
        <v>18.670000000000002</v>
      </c>
      <c r="I350">
        <v>20</v>
      </c>
      <c r="J350" s="4">
        <v>0.9738</v>
      </c>
      <c r="K350">
        <v>70000</v>
      </c>
      <c r="L350" s="2">
        <v>45694</v>
      </c>
      <c r="M350" t="str">
        <f t="shared" si="25"/>
        <v>Admis</v>
      </c>
      <c r="N350" t="str">
        <f t="shared" si="26"/>
        <v>Eligible</v>
      </c>
      <c r="O350" t="str">
        <f t="shared" si="27"/>
        <v>RAS</v>
      </c>
      <c r="P350" t="str">
        <f t="shared" si="28"/>
        <v>Hors Data</v>
      </c>
      <c r="Q350">
        <f t="shared" si="29"/>
        <v>19.6675</v>
      </c>
      <c r="R350" t="str" cm="1">
        <f t="array" ref="R350">_xlfn.IFS(Q350&gt;=16, "Excellent",Q350&gt;=14, "Très bien", Q350&gt;=12, "Bien", Q350&gt;=10, "Passable", Q350&lt;10, "Insuffisant")</f>
        <v>Excellent</v>
      </c>
    </row>
    <row r="351" spans="1:18">
      <c r="A351" t="s">
        <v>591</v>
      </c>
      <c r="B351" t="s">
        <v>202</v>
      </c>
      <c r="C351" t="s">
        <v>20</v>
      </c>
      <c r="D351" t="s">
        <v>26</v>
      </c>
      <c r="E351" t="s">
        <v>35</v>
      </c>
      <c r="F351">
        <v>12.53</v>
      </c>
      <c r="G351">
        <v>11.67</v>
      </c>
      <c r="H351">
        <v>12.69</v>
      </c>
      <c r="I351">
        <v>13.87</v>
      </c>
      <c r="J351" s="4">
        <v>0.58009999999999995</v>
      </c>
      <c r="K351">
        <v>50000</v>
      </c>
      <c r="L351" s="2">
        <v>46108</v>
      </c>
      <c r="M351" t="str">
        <f t="shared" si="25"/>
        <v>Admis</v>
      </c>
      <c r="N351" t="str">
        <f t="shared" si="26"/>
        <v>Non Eligible</v>
      </c>
      <c r="O351" t="str">
        <f t="shared" si="27"/>
        <v>RAS</v>
      </c>
      <c r="P351" t="str">
        <f t="shared" si="28"/>
        <v>Hors Data</v>
      </c>
      <c r="Q351">
        <f t="shared" si="29"/>
        <v>12.69</v>
      </c>
      <c r="R351" t="str" cm="1">
        <f t="array" ref="R351">_xlfn.IFS(Q351&gt;=16, "Excellent",Q351&gt;=14, "Très bien", Q351&gt;=12, "Bien", Q351&gt;=10, "Passable", Q351&lt;10, "Insuffisant")</f>
        <v>Bien</v>
      </c>
    </row>
    <row r="352" spans="1:18">
      <c r="A352" t="s">
        <v>592</v>
      </c>
      <c r="B352" t="s">
        <v>479</v>
      </c>
      <c r="C352" t="s">
        <v>25</v>
      </c>
      <c r="D352" t="s">
        <v>53</v>
      </c>
      <c r="E352" t="s">
        <v>35</v>
      </c>
      <c r="F352">
        <v>11.76</v>
      </c>
      <c r="G352">
        <v>16.87</v>
      </c>
      <c r="H352">
        <v>15.57</v>
      </c>
      <c r="I352">
        <v>15.7</v>
      </c>
      <c r="J352" s="4">
        <v>0.83930000000000005</v>
      </c>
      <c r="K352">
        <v>90000</v>
      </c>
      <c r="L352" s="2">
        <v>45748</v>
      </c>
      <c r="M352" t="str">
        <f t="shared" si="25"/>
        <v>Admis</v>
      </c>
      <c r="N352" t="str">
        <f t="shared" si="26"/>
        <v>Non Eligible</v>
      </c>
      <c r="O352" t="str">
        <f t="shared" si="27"/>
        <v>RAS</v>
      </c>
      <c r="P352" t="str">
        <f t="shared" si="28"/>
        <v>Hors Data</v>
      </c>
      <c r="Q352">
        <f t="shared" si="29"/>
        <v>14.975000000000001</v>
      </c>
      <c r="R352" t="str" cm="1">
        <f t="array" ref="R352">_xlfn.IFS(Q352&gt;=16, "Excellent",Q352&gt;=14, "Très bien", Q352&gt;=12, "Bien", Q352&gt;=10, "Passable", Q352&lt;10, "Insuffisant")</f>
        <v>Très bien</v>
      </c>
    </row>
    <row r="353" spans="1:18">
      <c r="A353" t="s">
        <v>593</v>
      </c>
      <c r="B353" t="s">
        <v>594</v>
      </c>
      <c r="C353" t="s">
        <v>20</v>
      </c>
      <c r="D353" t="s">
        <v>41</v>
      </c>
      <c r="E353" t="s">
        <v>27</v>
      </c>
      <c r="F353">
        <v>6.96</v>
      </c>
      <c r="G353">
        <v>12.18</v>
      </c>
      <c r="H353">
        <v>5.08</v>
      </c>
      <c r="I353">
        <v>10.72</v>
      </c>
      <c r="J353" s="4">
        <v>0.85319999999999996</v>
      </c>
      <c r="K353">
        <v>120000</v>
      </c>
      <c r="L353" s="2">
        <v>45944</v>
      </c>
      <c r="M353" t="str">
        <f t="shared" si="25"/>
        <v>Non admis</v>
      </c>
      <c r="N353" t="str">
        <f t="shared" si="26"/>
        <v>Non Eligible</v>
      </c>
      <c r="O353" t="str">
        <f t="shared" si="27"/>
        <v>A surveiller</v>
      </c>
      <c r="P353" t="str">
        <f t="shared" si="28"/>
        <v>Hors Data</v>
      </c>
      <c r="Q353">
        <f t="shared" si="29"/>
        <v>8.7349999999999994</v>
      </c>
      <c r="R353" t="str" cm="1">
        <f t="array" ref="R353">_xlfn.IFS(Q353&gt;=16, "Excellent",Q353&gt;=14, "Très bien", Q353&gt;=12, "Bien", Q353&gt;=10, "Passable", Q353&lt;10, "Insuffisant")</f>
        <v>Insuffisant</v>
      </c>
    </row>
    <row r="354" spans="1:18">
      <c r="A354" t="s">
        <v>595</v>
      </c>
      <c r="B354" t="s">
        <v>65</v>
      </c>
      <c r="C354" t="s">
        <v>20</v>
      </c>
      <c r="D354" t="s">
        <v>53</v>
      </c>
      <c r="E354" t="s">
        <v>48</v>
      </c>
      <c r="F354">
        <v>17.7</v>
      </c>
      <c r="G354">
        <v>15.87</v>
      </c>
      <c r="H354">
        <v>18.21</v>
      </c>
      <c r="I354">
        <v>13.52</v>
      </c>
      <c r="J354" s="4">
        <v>0.84409999999999996</v>
      </c>
      <c r="K354">
        <v>75000</v>
      </c>
      <c r="L354" s="2">
        <v>45757</v>
      </c>
      <c r="M354" t="str">
        <f t="shared" si="25"/>
        <v>Admis</v>
      </c>
      <c r="N354" t="str">
        <f t="shared" si="26"/>
        <v>Eligible</v>
      </c>
      <c r="O354" t="str">
        <f t="shared" si="27"/>
        <v>RAS</v>
      </c>
      <c r="P354" t="str">
        <f t="shared" si="28"/>
        <v>Hors Data</v>
      </c>
      <c r="Q354">
        <f t="shared" si="29"/>
        <v>16.324999999999999</v>
      </c>
      <c r="R354" t="str" cm="1">
        <f t="array" ref="R354">_xlfn.IFS(Q354&gt;=16, "Excellent",Q354&gt;=14, "Très bien", Q354&gt;=12, "Bien", Q354&gt;=10, "Passable", Q354&lt;10, "Insuffisant")</f>
        <v>Excellent</v>
      </c>
    </row>
    <row r="355" spans="1:18">
      <c r="A355" t="s">
        <v>596</v>
      </c>
      <c r="B355" t="s">
        <v>378</v>
      </c>
      <c r="C355" t="s">
        <v>20</v>
      </c>
      <c r="D355" t="s">
        <v>53</v>
      </c>
      <c r="E355" t="s">
        <v>48</v>
      </c>
      <c r="F355">
        <v>15.43</v>
      </c>
      <c r="G355">
        <v>13.07</v>
      </c>
      <c r="H355">
        <v>18.39</v>
      </c>
      <c r="I355">
        <v>12.28</v>
      </c>
      <c r="J355" s="4">
        <v>0.83609999999999995</v>
      </c>
      <c r="K355">
        <v>110000</v>
      </c>
      <c r="L355" s="2">
        <v>45720</v>
      </c>
      <c r="M355" t="str">
        <f t="shared" si="25"/>
        <v>Admis</v>
      </c>
      <c r="N355" t="str">
        <f t="shared" si="26"/>
        <v>Eligible</v>
      </c>
      <c r="O355" t="str">
        <f t="shared" si="27"/>
        <v>RAS</v>
      </c>
      <c r="P355" t="str">
        <f t="shared" si="28"/>
        <v>Hors Data</v>
      </c>
      <c r="Q355">
        <f t="shared" si="29"/>
        <v>14.7925</v>
      </c>
      <c r="R355" t="str" cm="1">
        <f t="array" ref="R355">_xlfn.IFS(Q355&gt;=16, "Excellent",Q355&gt;=14, "Très bien", Q355&gt;=12, "Bien", Q355&gt;=10, "Passable", Q355&lt;10, "Insuffisant")</f>
        <v>Très bien</v>
      </c>
    </row>
    <row r="356" spans="1:18">
      <c r="A356" t="s">
        <v>597</v>
      </c>
      <c r="B356" t="s">
        <v>256</v>
      </c>
      <c r="C356" t="s">
        <v>25</v>
      </c>
      <c r="D356" t="s">
        <v>34</v>
      </c>
      <c r="E356" t="s">
        <v>35</v>
      </c>
      <c r="F356">
        <v>12.8</v>
      </c>
      <c r="G356">
        <v>10.88</v>
      </c>
      <c r="H356">
        <v>11.86</v>
      </c>
      <c r="I356">
        <v>9.59</v>
      </c>
      <c r="J356" s="4">
        <v>0.82279999999999998</v>
      </c>
      <c r="K356">
        <v>85000</v>
      </c>
      <c r="L356" s="2">
        <v>45652</v>
      </c>
      <c r="M356" t="str">
        <f t="shared" si="25"/>
        <v>Admis</v>
      </c>
      <c r="N356" t="str">
        <f t="shared" si="26"/>
        <v>Non Eligible</v>
      </c>
      <c r="O356" t="str">
        <f t="shared" si="27"/>
        <v>RAS</v>
      </c>
      <c r="P356" t="str">
        <f t="shared" si="28"/>
        <v>Hors Data</v>
      </c>
      <c r="Q356">
        <f t="shared" si="29"/>
        <v>11.282499999999999</v>
      </c>
      <c r="R356" t="str" cm="1">
        <f t="array" ref="R356">_xlfn.IFS(Q356&gt;=16, "Excellent",Q356&gt;=14, "Très bien", Q356&gt;=12, "Bien", Q356&gt;=10, "Passable", Q356&lt;10, "Insuffisant")</f>
        <v>Passable</v>
      </c>
    </row>
    <row r="357" spans="1:18">
      <c r="A357" t="s">
        <v>598</v>
      </c>
      <c r="B357" t="s">
        <v>113</v>
      </c>
      <c r="C357" t="s">
        <v>25</v>
      </c>
      <c r="D357" t="s">
        <v>38</v>
      </c>
      <c r="E357" t="s">
        <v>35</v>
      </c>
      <c r="F357">
        <v>12.59</v>
      </c>
      <c r="G357">
        <v>9.7799999999999994</v>
      </c>
      <c r="H357">
        <v>13.38</v>
      </c>
      <c r="I357">
        <v>12.04</v>
      </c>
      <c r="J357" s="4">
        <v>0.90110000000000001</v>
      </c>
      <c r="K357">
        <v>70000</v>
      </c>
      <c r="L357" s="2">
        <v>46186</v>
      </c>
      <c r="M357" t="str">
        <f t="shared" si="25"/>
        <v>Admis</v>
      </c>
      <c r="N357" t="str">
        <f t="shared" si="26"/>
        <v>Eligible</v>
      </c>
      <c r="O357" t="str">
        <f t="shared" si="27"/>
        <v>RAS</v>
      </c>
      <c r="P357" t="str">
        <f t="shared" si="28"/>
        <v>Hors Data</v>
      </c>
      <c r="Q357">
        <f t="shared" si="29"/>
        <v>11.9475</v>
      </c>
      <c r="R357" t="str" cm="1">
        <f t="array" ref="R357">_xlfn.IFS(Q357&gt;=16, "Excellent",Q357&gt;=14, "Très bien", Q357&gt;=12, "Bien", Q357&gt;=10, "Passable", Q357&lt;10, "Insuffisant")</f>
        <v>Passable</v>
      </c>
    </row>
    <row r="358" spans="1:18">
      <c r="A358" t="s">
        <v>599</v>
      </c>
      <c r="B358" t="s">
        <v>600</v>
      </c>
      <c r="C358" t="s">
        <v>20</v>
      </c>
      <c r="D358" t="s">
        <v>38</v>
      </c>
      <c r="E358" t="s">
        <v>48</v>
      </c>
      <c r="F358">
        <v>10.81</v>
      </c>
      <c r="G358">
        <v>9.8000000000000007</v>
      </c>
      <c r="H358">
        <v>10.96</v>
      </c>
      <c r="I358">
        <v>13.78</v>
      </c>
      <c r="J358" s="4">
        <v>0.84319999999999995</v>
      </c>
      <c r="K358">
        <v>50000</v>
      </c>
      <c r="L358" s="2">
        <v>46194</v>
      </c>
      <c r="M358" t="str">
        <f t="shared" si="25"/>
        <v>Admis</v>
      </c>
      <c r="N358" t="str">
        <f t="shared" si="26"/>
        <v>Non Eligible</v>
      </c>
      <c r="O358" t="str">
        <f t="shared" si="27"/>
        <v>RAS</v>
      </c>
      <c r="P358" t="str">
        <f t="shared" si="28"/>
        <v>Hors Data</v>
      </c>
      <c r="Q358">
        <f t="shared" si="29"/>
        <v>11.3375</v>
      </c>
      <c r="R358" t="str" cm="1">
        <f t="array" ref="R358">_xlfn.IFS(Q358&gt;=16, "Excellent",Q358&gt;=14, "Très bien", Q358&gt;=12, "Bien", Q358&gt;=10, "Passable", Q358&lt;10, "Insuffisant")</f>
        <v>Passable</v>
      </c>
    </row>
    <row r="359" spans="1:18">
      <c r="A359" t="s">
        <v>601</v>
      </c>
      <c r="B359" t="s">
        <v>119</v>
      </c>
      <c r="C359" t="s">
        <v>25</v>
      </c>
      <c r="D359" t="s">
        <v>38</v>
      </c>
      <c r="E359" t="s">
        <v>22</v>
      </c>
      <c r="F359">
        <v>13.61</v>
      </c>
      <c r="G359">
        <v>13.5</v>
      </c>
      <c r="H359">
        <v>17.96</v>
      </c>
      <c r="I359">
        <v>13.48</v>
      </c>
      <c r="J359" s="4">
        <v>0.94010000000000005</v>
      </c>
      <c r="K359">
        <v>110000</v>
      </c>
      <c r="L359" s="2">
        <v>45616</v>
      </c>
      <c r="M359" t="str">
        <f t="shared" si="25"/>
        <v>Admis</v>
      </c>
      <c r="N359" t="str">
        <f t="shared" si="26"/>
        <v>Eligible</v>
      </c>
      <c r="O359" t="str">
        <f t="shared" si="27"/>
        <v>RAS</v>
      </c>
      <c r="P359" t="str">
        <f t="shared" si="28"/>
        <v>Data</v>
      </c>
      <c r="Q359">
        <f t="shared" si="29"/>
        <v>14.637499999999999</v>
      </c>
      <c r="R359" t="str" cm="1">
        <f t="array" ref="R359">_xlfn.IFS(Q359&gt;=16, "Excellent",Q359&gt;=14, "Très bien", Q359&gt;=12, "Bien", Q359&gt;=10, "Passable", Q359&lt;10, "Insuffisant")</f>
        <v>Très bien</v>
      </c>
    </row>
    <row r="360" spans="1:18">
      <c r="A360" t="s">
        <v>602</v>
      </c>
      <c r="B360" t="s">
        <v>340</v>
      </c>
      <c r="C360" t="s">
        <v>20</v>
      </c>
      <c r="D360" t="s">
        <v>34</v>
      </c>
      <c r="E360" t="s">
        <v>22</v>
      </c>
      <c r="F360">
        <v>15.38</v>
      </c>
      <c r="G360">
        <v>15.64</v>
      </c>
      <c r="H360">
        <v>18.55</v>
      </c>
      <c r="I360">
        <v>14.48</v>
      </c>
      <c r="J360" s="4">
        <v>0.87829999999999997</v>
      </c>
      <c r="K360">
        <v>50000</v>
      </c>
      <c r="L360" s="2">
        <v>45783</v>
      </c>
      <c r="M360" t="str">
        <f t="shared" si="25"/>
        <v>Admis</v>
      </c>
      <c r="N360" t="str">
        <f t="shared" si="26"/>
        <v>Eligible</v>
      </c>
      <c r="O360" t="str">
        <f t="shared" si="27"/>
        <v>RAS</v>
      </c>
      <c r="P360" t="str">
        <f t="shared" si="28"/>
        <v>Data</v>
      </c>
      <c r="Q360">
        <f t="shared" si="29"/>
        <v>16.012500000000003</v>
      </c>
      <c r="R360" t="str" cm="1">
        <f t="array" ref="R360">_xlfn.IFS(Q360&gt;=16, "Excellent",Q360&gt;=14, "Très bien", Q360&gt;=12, "Bien", Q360&gt;=10, "Passable", Q360&lt;10, "Insuffisant")</f>
        <v>Excellent</v>
      </c>
    </row>
    <row r="361" spans="1:18">
      <c r="A361" t="s">
        <v>603</v>
      </c>
      <c r="B361" t="s">
        <v>146</v>
      </c>
      <c r="C361" t="s">
        <v>25</v>
      </c>
      <c r="D361" t="s">
        <v>53</v>
      </c>
      <c r="E361" t="s">
        <v>48</v>
      </c>
      <c r="F361">
        <v>12.21</v>
      </c>
      <c r="G361">
        <v>19.07</v>
      </c>
      <c r="H361">
        <v>9.7799999999999994</v>
      </c>
      <c r="I361">
        <v>16.760000000000002</v>
      </c>
      <c r="J361" s="4">
        <v>0.9587</v>
      </c>
      <c r="K361">
        <v>80000</v>
      </c>
      <c r="L361" s="2">
        <v>45930</v>
      </c>
      <c r="M361" t="str">
        <f t="shared" si="25"/>
        <v>Non admis</v>
      </c>
      <c r="N361" t="str">
        <f t="shared" si="26"/>
        <v>Non Eligible</v>
      </c>
      <c r="O361" t="str">
        <f t="shared" si="27"/>
        <v>A surveiller</v>
      </c>
      <c r="P361" t="str">
        <f t="shared" si="28"/>
        <v>Hors Data</v>
      </c>
      <c r="Q361">
        <f t="shared" si="29"/>
        <v>14.455000000000002</v>
      </c>
      <c r="R361" t="str" cm="1">
        <f t="array" ref="R361">_xlfn.IFS(Q361&gt;=16, "Excellent",Q361&gt;=14, "Très bien", Q361&gt;=12, "Bien", Q361&gt;=10, "Passable", Q361&lt;10, "Insuffisant")</f>
        <v>Très bien</v>
      </c>
    </row>
    <row r="362" spans="1:18">
      <c r="A362" t="s">
        <v>604</v>
      </c>
      <c r="B362" t="s">
        <v>233</v>
      </c>
      <c r="C362" t="s">
        <v>25</v>
      </c>
      <c r="D362" t="s">
        <v>38</v>
      </c>
      <c r="E362" t="s">
        <v>48</v>
      </c>
      <c r="F362">
        <v>12.15</v>
      </c>
      <c r="G362">
        <v>6.09</v>
      </c>
      <c r="H362">
        <v>10.49</v>
      </c>
      <c r="I362">
        <v>6.87</v>
      </c>
      <c r="J362" s="4">
        <v>0.76790000000000003</v>
      </c>
      <c r="K362">
        <v>50000</v>
      </c>
      <c r="L362" s="2">
        <v>45804</v>
      </c>
      <c r="M362" t="str">
        <f t="shared" si="25"/>
        <v>Admis</v>
      </c>
      <c r="N362" t="str">
        <f t="shared" si="26"/>
        <v>Non Eligible</v>
      </c>
      <c r="O362" t="str">
        <f t="shared" si="27"/>
        <v>RAS</v>
      </c>
      <c r="P362" t="str">
        <f t="shared" si="28"/>
        <v>Hors Data</v>
      </c>
      <c r="Q362">
        <f t="shared" si="29"/>
        <v>8.9</v>
      </c>
      <c r="R362" t="str" cm="1">
        <f t="array" ref="R362">_xlfn.IFS(Q362&gt;=16, "Excellent",Q362&gt;=14, "Très bien", Q362&gt;=12, "Bien", Q362&gt;=10, "Passable", Q362&lt;10, "Insuffisant")</f>
        <v>Insuffisant</v>
      </c>
    </row>
    <row r="363" spans="1:18">
      <c r="A363" t="s">
        <v>605</v>
      </c>
      <c r="B363" t="s">
        <v>81</v>
      </c>
      <c r="C363" t="s">
        <v>25</v>
      </c>
      <c r="D363" t="s">
        <v>34</v>
      </c>
      <c r="E363" t="s">
        <v>22</v>
      </c>
      <c r="F363">
        <v>7.57</v>
      </c>
      <c r="G363">
        <v>14.4</v>
      </c>
      <c r="H363">
        <v>19.010000000000002</v>
      </c>
      <c r="I363">
        <v>12.07</v>
      </c>
      <c r="J363" s="4">
        <v>0.80830000000000002</v>
      </c>
      <c r="K363">
        <v>110000</v>
      </c>
      <c r="L363" s="2">
        <v>46040</v>
      </c>
      <c r="M363" t="str">
        <f t="shared" si="25"/>
        <v>Admis</v>
      </c>
      <c r="N363" t="str">
        <f t="shared" si="26"/>
        <v>Non Eligible</v>
      </c>
      <c r="O363" t="str">
        <f t="shared" si="27"/>
        <v>A surveiller</v>
      </c>
      <c r="P363" t="str">
        <f t="shared" si="28"/>
        <v>Data</v>
      </c>
      <c r="Q363">
        <f t="shared" si="29"/>
        <v>13.262500000000001</v>
      </c>
      <c r="R363" t="str" cm="1">
        <f t="array" ref="R363">_xlfn.IFS(Q363&gt;=16, "Excellent",Q363&gt;=14, "Très bien", Q363&gt;=12, "Bien", Q363&gt;=10, "Passable", Q363&lt;10, "Insuffisant")</f>
        <v>Bien</v>
      </c>
    </row>
    <row r="364" spans="1:18">
      <c r="A364" t="s">
        <v>606</v>
      </c>
      <c r="B364" t="s">
        <v>607</v>
      </c>
      <c r="C364" t="s">
        <v>20</v>
      </c>
      <c r="D364" t="s">
        <v>21</v>
      </c>
      <c r="E364" t="s">
        <v>27</v>
      </c>
      <c r="F364">
        <v>17.329999999999998</v>
      </c>
      <c r="G364">
        <v>13.79</v>
      </c>
      <c r="H364">
        <v>17.149999999999999</v>
      </c>
      <c r="I364">
        <v>18.23</v>
      </c>
      <c r="J364" s="4">
        <v>0.87450000000000006</v>
      </c>
      <c r="K364">
        <v>130000</v>
      </c>
      <c r="L364" s="2">
        <v>45718</v>
      </c>
      <c r="M364" t="str">
        <f t="shared" si="25"/>
        <v>Admis</v>
      </c>
      <c r="N364" t="str">
        <f t="shared" si="26"/>
        <v>Eligible</v>
      </c>
      <c r="O364" t="str">
        <f t="shared" si="27"/>
        <v>RAS</v>
      </c>
      <c r="P364" t="str">
        <f t="shared" si="28"/>
        <v>Hors Data</v>
      </c>
      <c r="Q364">
        <f t="shared" si="29"/>
        <v>16.625</v>
      </c>
      <c r="R364" t="str" cm="1">
        <f t="array" ref="R364">_xlfn.IFS(Q364&gt;=16, "Excellent",Q364&gt;=14, "Très bien", Q364&gt;=12, "Bien", Q364&gt;=10, "Passable", Q364&lt;10, "Insuffisant")</f>
        <v>Excellent</v>
      </c>
    </row>
    <row r="365" spans="1:18">
      <c r="A365" t="s">
        <v>608</v>
      </c>
      <c r="B365" t="s">
        <v>464</v>
      </c>
      <c r="C365" t="s">
        <v>25</v>
      </c>
      <c r="D365" t="s">
        <v>26</v>
      </c>
      <c r="E365" t="s">
        <v>48</v>
      </c>
      <c r="F365">
        <v>7.22</v>
      </c>
      <c r="G365">
        <v>10.64</v>
      </c>
      <c r="H365">
        <v>5.9</v>
      </c>
      <c r="I365">
        <v>8.24</v>
      </c>
      <c r="J365" s="4">
        <v>0.79049999999999998</v>
      </c>
      <c r="K365">
        <v>75000</v>
      </c>
      <c r="L365" s="2">
        <v>45577</v>
      </c>
      <c r="M365" t="str">
        <f t="shared" si="25"/>
        <v>Non admis</v>
      </c>
      <c r="N365" t="str">
        <f t="shared" si="26"/>
        <v>Non Eligible</v>
      </c>
      <c r="O365" t="str">
        <f t="shared" si="27"/>
        <v>A surveiller</v>
      </c>
      <c r="P365" t="str">
        <f t="shared" si="28"/>
        <v>Hors Data</v>
      </c>
      <c r="Q365">
        <f t="shared" si="29"/>
        <v>8</v>
      </c>
      <c r="R365" t="str" cm="1">
        <f t="array" ref="R365">_xlfn.IFS(Q365&gt;=16, "Excellent",Q365&gt;=14, "Très bien", Q365&gt;=12, "Bien", Q365&gt;=10, "Passable", Q365&lt;10, "Insuffisant")</f>
        <v>Insuffisant</v>
      </c>
    </row>
    <row r="366" spans="1:18">
      <c r="A366" t="s">
        <v>609</v>
      </c>
      <c r="B366" t="s">
        <v>357</v>
      </c>
      <c r="C366" t="s">
        <v>20</v>
      </c>
      <c r="D366" t="s">
        <v>38</v>
      </c>
      <c r="E366" t="s">
        <v>22</v>
      </c>
      <c r="F366">
        <v>9.59</v>
      </c>
      <c r="G366">
        <v>11.55</v>
      </c>
      <c r="H366">
        <v>11.31</v>
      </c>
      <c r="I366">
        <v>6.96</v>
      </c>
      <c r="J366" s="4">
        <v>0.75980000000000003</v>
      </c>
      <c r="K366">
        <v>75000</v>
      </c>
      <c r="L366" s="2">
        <v>45771</v>
      </c>
      <c r="M366" t="str">
        <f t="shared" si="25"/>
        <v>Admis</v>
      </c>
      <c r="N366" t="str">
        <f t="shared" si="26"/>
        <v>Non Eligible</v>
      </c>
      <c r="O366" t="str">
        <f t="shared" si="27"/>
        <v>A surveiller</v>
      </c>
      <c r="P366" t="str">
        <f t="shared" si="28"/>
        <v>Data</v>
      </c>
      <c r="Q366">
        <f t="shared" si="29"/>
        <v>9.8525000000000009</v>
      </c>
      <c r="R366" t="str" cm="1">
        <f t="array" ref="R366">_xlfn.IFS(Q366&gt;=16, "Excellent",Q366&gt;=14, "Très bien", Q366&gt;=12, "Bien", Q366&gt;=10, "Passable", Q366&lt;10, "Insuffisant")</f>
        <v>Insuffisant</v>
      </c>
    </row>
    <row r="367" spans="1:18">
      <c r="A367" t="s">
        <v>610</v>
      </c>
      <c r="B367" t="s">
        <v>611</v>
      </c>
      <c r="C367" t="s">
        <v>25</v>
      </c>
      <c r="D367" t="s">
        <v>34</v>
      </c>
      <c r="E367" t="s">
        <v>27</v>
      </c>
      <c r="F367">
        <v>19.68</v>
      </c>
      <c r="G367">
        <v>17.190000000000001</v>
      </c>
      <c r="H367">
        <v>13.34</v>
      </c>
      <c r="I367">
        <v>17.05</v>
      </c>
      <c r="J367" s="4">
        <v>0.80969999999999998</v>
      </c>
      <c r="K367">
        <v>90000</v>
      </c>
      <c r="L367" s="2">
        <v>45954</v>
      </c>
      <c r="M367" t="str">
        <f t="shared" si="25"/>
        <v>Admis</v>
      </c>
      <c r="N367" t="str">
        <f t="shared" si="26"/>
        <v>Eligible</v>
      </c>
      <c r="O367" t="str">
        <f t="shared" si="27"/>
        <v>RAS</v>
      </c>
      <c r="P367" t="str">
        <f t="shared" si="28"/>
        <v>Hors Data</v>
      </c>
      <c r="Q367">
        <f t="shared" si="29"/>
        <v>16.815000000000001</v>
      </c>
      <c r="R367" t="str" cm="1">
        <f t="array" ref="R367">_xlfn.IFS(Q367&gt;=16, "Excellent",Q367&gt;=14, "Très bien", Q367&gt;=12, "Bien", Q367&gt;=10, "Passable", Q367&lt;10, "Insuffisant")</f>
        <v>Excellent</v>
      </c>
    </row>
    <row r="368" spans="1:18">
      <c r="A368" t="s">
        <v>612</v>
      </c>
      <c r="B368" t="s">
        <v>600</v>
      </c>
      <c r="C368" t="s">
        <v>20</v>
      </c>
      <c r="D368" t="s">
        <v>26</v>
      </c>
      <c r="E368" t="s">
        <v>27</v>
      </c>
      <c r="F368">
        <v>12.69</v>
      </c>
      <c r="G368">
        <v>12.58</v>
      </c>
      <c r="H368">
        <v>17.170000000000002</v>
      </c>
      <c r="I368">
        <v>13.28</v>
      </c>
      <c r="J368" s="4">
        <v>0.8569</v>
      </c>
      <c r="K368">
        <v>85000</v>
      </c>
      <c r="L368" s="2">
        <v>45662</v>
      </c>
      <c r="M368" t="str">
        <f t="shared" si="25"/>
        <v>Admis</v>
      </c>
      <c r="N368" t="str">
        <f t="shared" si="26"/>
        <v>Eligible</v>
      </c>
      <c r="O368" t="str">
        <f t="shared" si="27"/>
        <v>RAS</v>
      </c>
      <c r="P368" t="str">
        <f t="shared" si="28"/>
        <v>Hors Data</v>
      </c>
      <c r="Q368">
        <f t="shared" si="29"/>
        <v>13.93</v>
      </c>
      <c r="R368" t="str" cm="1">
        <f t="array" ref="R368">_xlfn.IFS(Q368&gt;=16, "Excellent",Q368&gt;=14, "Très bien", Q368&gt;=12, "Bien", Q368&gt;=10, "Passable", Q368&lt;10, "Insuffisant")</f>
        <v>Bien</v>
      </c>
    </row>
    <row r="369" spans="1:18">
      <c r="A369" t="s">
        <v>613</v>
      </c>
      <c r="B369" t="s">
        <v>65</v>
      </c>
      <c r="C369" t="s">
        <v>20</v>
      </c>
      <c r="D369" t="s">
        <v>21</v>
      </c>
      <c r="E369" t="s">
        <v>35</v>
      </c>
      <c r="F369">
        <v>13.16</v>
      </c>
      <c r="G369">
        <v>13.37</v>
      </c>
      <c r="H369">
        <v>12.75</v>
      </c>
      <c r="I369">
        <v>17.940000000000001</v>
      </c>
      <c r="J369" s="4">
        <v>0.93240000000000001</v>
      </c>
      <c r="K369">
        <v>80000</v>
      </c>
      <c r="L369" s="2">
        <v>46107</v>
      </c>
      <c r="M369" t="str">
        <f t="shared" si="25"/>
        <v>Admis</v>
      </c>
      <c r="N369" t="str">
        <f t="shared" si="26"/>
        <v>Eligible</v>
      </c>
      <c r="O369" t="str">
        <f t="shared" si="27"/>
        <v>RAS</v>
      </c>
      <c r="P369" t="str">
        <f t="shared" si="28"/>
        <v>Hors Data</v>
      </c>
      <c r="Q369">
        <f t="shared" si="29"/>
        <v>14.305</v>
      </c>
      <c r="R369" t="str" cm="1">
        <f t="array" ref="R369">_xlfn.IFS(Q369&gt;=16, "Excellent",Q369&gt;=14, "Très bien", Q369&gt;=12, "Bien", Q369&gt;=10, "Passable", Q369&lt;10, "Insuffisant")</f>
        <v>Très bien</v>
      </c>
    </row>
    <row r="370" spans="1:18">
      <c r="A370" t="s">
        <v>614</v>
      </c>
      <c r="B370" t="s">
        <v>188</v>
      </c>
      <c r="C370" t="s">
        <v>20</v>
      </c>
      <c r="D370" t="s">
        <v>38</v>
      </c>
      <c r="E370" t="s">
        <v>35</v>
      </c>
      <c r="F370">
        <v>18.420000000000002</v>
      </c>
      <c r="G370">
        <v>20</v>
      </c>
      <c r="H370">
        <v>19.07</v>
      </c>
      <c r="I370">
        <v>17.27</v>
      </c>
      <c r="J370" s="4">
        <v>0.72989999999999999</v>
      </c>
      <c r="K370">
        <v>80000</v>
      </c>
      <c r="L370" s="2">
        <v>45544</v>
      </c>
      <c r="M370" t="str">
        <f t="shared" si="25"/>
        <v>Admis</v>
      </c>
      <c r="N370" t="str">
        <f t="shared" si="26"/>
        <v>Non Eligible</v>
      </c>
      <c r="O370" t="str">
        <f t="shared" si="27"/>
        <v>RAS</v>
      </c>
      <c r="P370" t="str">
        <f t="shared" si="28"/>
        <v>Hors Data</v>
      </c>
      <c r="Q370">
        <f t="shared" si="29"/>
        <v>18.690000000000001</v>
      </c>
      <c r="R370" t="str" cm="1">
        <f t="array" ref="R370">_xlfn.IFS(Q370&gt;=16, "Excellent",Q370&gt;=14, "Très bien", Q370&gt;=12, "Bien", Q370&gt;=10, "Passable", Q370&lt;10, "Insuffisant")</f>
        <v>Excellent</v>
      </c>
    </row>
    <row r="371" spans="1:18">
      <c r="A371" t="s">
        <v>615</v>
      </c>
      <c r="B371" t="s">
        <v>272</v>
      </c>
      <c r="C371" t="s">
        <v>25</v>
      </c>
      <c r="D371" t="s">
        <v>34</v>
      </c>
      <c r="E371" t="s">
        <v>35</v>
      </c>
      <c r="F371">
        <v>15.72</v>
      </c>
      <c r="G371">
        <v>19.11</v>
      </c>
      <c r="H371">
        <v>13.12</v>
      </c>
      <c r="I371">
        <v>17.02</v>
      </c>
      <c r="J371" s="4">
        <v>0.98099999999999998</v>
      </c>
      <c r="K371">
        <v>70000</v>
      </c>
      <c r="L371" s="2">
        <v>45583</v>
      </c>
      <c r="M371" t="str">
        <f t="shared" si="25"/>
        <v>Admis</v>
      </c>
      <c r="N371" t="str">
        <f t="shared" si="26"/>
        <v>Eligible</v>
      </c>
      <c r="O371" t="str">
        <f t="shared" si="27"/>
        <v>RAS</v>
      </c>
      <c r="P371" t="str">
        <f t="shared" si="28"/>
        <v>Hors Data</v>
      </c>
      <c r="Q371">
        <f t="shared" si="29"/>
        <v>16.2425</v>
      </c>
      <c r="R371" t="str" cm="1">
        <f t="array" ref="R371">_xlfn.IFS(Q371&gt;=16, "Excellent",Q371&gt;=14, "Très bien", Q371&gt;=12, "Bien", Q371&gt;=10, "Passable", Q371&lt;10, "Insuffisant")</f>
        <v>Excellent</v>
      </c>
    </row>
    <row r="372" spans="1:18">
      <c r="A372" t="s">
        <v>616</v>
      </c>
      <c r="B372" t="s">
        <v>194</v>
      </c>
      <c r="C372" t="s">
        <v>20</v>
      </c>
      <c r="D372" t="s">
        <v>34</v>
      </c>
      <c r="E372" t="s">
        <v>48</v>
      </c>
      <c r="F372">
        <v>14.37</v>
      </c>
      <c r="G372">
        <v>16.8</v>
      </c>
      <c r="H372">
        <v>14.34</v>
      </c>
      <c r="I372">
        <v>19.149999999999999</v>
      </c>
      <c r="J372" s="4">
        <v>0.66879999999999995</v>
      </c>
      <c r="K372">
        <v>70000</v>
      </c>
      <c r="L372" s="2">
        <v>45892</v>
      </c>
      <c r="M372" t="str">
        <f t="shared" si="25"/>
        <v>Admis</v>
      </c>
      <c r="N372" t="str">
        <f t="shared" si="26"/>
        <v>Non Eligible</v>
      </c>
      <c r="O372" t="str">
        <f t="shared" si="27"/>
        <v>RAS</v>
      </c>
      <c r="P372" t="str">
        <f t="shared" si="28"/>
        <v>Hors Data</v>
      </c>
      <c r="Q372">
        <f t="shared" si="29"/>
        <v>16.164999999999999</v>
      </c>
      <c r="R372" t="str" cm="1">
        <f t="array" ref="R372">_xlfn.IFS(Q372&gt;=16, "Excellent",Q372&gt;=14, "Très bien", Q372&gt;=12, "Bien", Q372&gt;=10, "Passable", Q372&lt;10, "Insuffisant")</f>
        <v>Excellent</v>
      </c>
    </row>
    <row r="373" spans="1:18">
      <c r="A373" t="s">
        <v>617</v>
      </c>
      <c r="B373" t="s">
        <v>618</v>
      </c>
      <c r="C373" t="s">
        <v>25</v>
      </c>
      <c r="D373" t="s">
        <v>53</v>
      </c>
      <c r="E373" t="s">
        <v>22</v>
      </c>
      <c r="F373">
        <v>17.63</v>
      </c>
      <c r="G373">
        <v>19.52</v>
      </c>
      <c r="H373">
        <v>20</v>
      </c>
      <c r="I373">
        <v>19.12</v>
      </c>
      <c r="J373" s="4">
        <v>0.88249999999999995</v>
      </c>
      <c r="K373">
        <v>90000</v>
      </c>
      <c r="L373" s="2">
        <v>45894</v>
      </c>
      <c r="M373" t="str">
        <f t="shared" si="25"/>
        <v>Admis</v>
      </c>
      <c r="N373" t="str">
        <f t="shared" si="26"/>
        <v>Eligible</v>
      </c>
      <c r="O373" t="str">
        <f t="shared" si="27"/>
        <v>RAS</v>
      </c>
      <c r="P373" t="str">
        <f t="shared" si="28"/>
        <v>Data</v>
      </c>
      <c r="Q373">
        <f t="shared" si="29"/>
        <v>19.067499999999999</v>
      </c>
      <c r="R373" t="str" cm="1">
        <f t="array" ref="R373">_xlfn.IFS(Q373&gt;=16, "Excellent",Q373&gt;=14, "Très bien", Q373&gt;=12, "Bien", Q373&gt;=10, "Passable", Q373&lt;10, "Insuffisant")</f>
        <v>Excellent</v>
      </c>
    </row>
    <row r="374" spans="1:18">
      <c r="A374" t="s">
        <v>619</v>
      </c>
      <c r="B374" t="s">
        <v>620</v>
      </c>
      <c r="C374" t="s">
        <v>20</v>
      </c>
      <c r="D374" t="s">
        <v>34</v>
      </c>
      <c r="E374" t="s">
        <v>35</v>
      </c>
      <c r="F374">
        <v>11</v>
      </c>
      <c r="G374">
        <v>14.05</v>
      </c>
      <c r="H374">
        <v>13.33</v>
      </c>
      <c r="I374">
        <v>12.38</v>
      </c>
      <c r="J374" s="4">
        <v>0.69179999999999997</v>
      </c>
      <c r="K374">
        <v>110000</v>
      </c>
      <c r="L374" s="2">
        <v>45742</v>
      </c>
      <c r="M374" t="str">
        <f t="shared" si="25"/>
        <v>Admis</v>
      </c>
      <c r="N374" t="str">
        <f t="shared" si="26"/>
        <v>Non Eligible</v>
      </c>
      <c r="O374" t="str">
        <f t="shared" si="27"/>
        <v>RAS</v>
      </c>
      <c r="P374" t="str">
        <f t="shared" si="28"/>
        <v>Hors Data</v>
      </c>
      <c r="Q374">
        <f t="shared" si="29"/>
        <v>12.690000000000001</v>
      </c>
      <c r="R374" t="str" cm="1">
        <f t="array" ref="R374">_xlfn.IFS(Q374&gt;=16, "Excellent",Q374&gt;=14, "Très bien", Q374&gt;=12, "Bien", Q374&gt;=10, "Passable", Q374&lt;10, "Insuffisant")</f>
        <v>Bien</v>
      </c>
    </row>
    <row r="375" spans="1:18">
      <c r="A375" t="s">
        <v>621</v>
      </c>
      <c r="B375" t="s">
        <v>444</v>
      </c>
      <c r="C375" t="s">
        <v>20</v>
      </c>
      <c r="D375" t="s">
        <v>53</v>
      </c>
      <c r="E375" t="s">
        <v>22</v>
      </c>
      <c r="F375">
        <v>14.08</v>
      </c>
      <c r="G375">
        <v>17.010000000000002</v>
      </c>
      <c r="H375">
        <v>10.24</v>
      </c>
      <c r="I375">
        <v>12.02</v>
      </c>
      <c r="J375" s="4">
        <v>0.89070000000000005</v>
      </c>
      <c r="K375">
        <v>110000</v>
      </c>
      <c r="L375" s="2">
        <v>45716</v>
      </c>
      <c r="M375" t="str">
        <f t="shared" si="25"/>
        <v>Admis</v>
      </c>
      <c r="N375" t="str">
        <f t="shared" si="26"/>
        <v>Non Eligible</v>
      </c>
      <c r="O375" t="str">
        <f t="shared" si="27"/>
        <v>RAS</v>
      </c>
      <c r="P375" t="str">
        <f t="shared" si="28"/>
        <v>Data</v>
      </c>
      <c r="Q375">
        <f t="shared" si="29"/>
        <v>13.337500000000002</v>
      </c>
      <c r="R375" t="str" cm="1">
        <f t="array" ref="R375">_xlfn.IFS(Q375&gt;=16, "Excellent",Q375&gt;=14, "Très bien", Q375&gt;=12, "Bien", Q375&gt;=10, "Passable", Q375&lt;10, "Insuffisant")</f>
        <v>Bien</v>
      </c>
    </row>
    <row r="376" spans="1:18">
      <c r="A376" t="s">
        <v>622</v>
      </c>
      <c r="B376" t="s">
        <v>623</v>
      </c>
      <c r="C376" t="s">
        <v>25</v>
      </c>
      <c r="D376" t="s">
        <v>34</v>
      </c>
      <c r="E376" t="s">
        <v>22</v>
      </c>
      <c r="F376">
        <v>14.86</v>
      </c>
      <c r="G376">
        <v>15.32</v>
      </c>
      <c r="H376">
        <v>12.38</v>
      </c>
      <c r="I376">
        <v>12.71</v>
      </c>
      <c r="J376" s="4">
        <v>0.64280000000000004</v>
      </c>
      <c r="K376">
        <v>85000</v>
      </c>
      <c r="L376" s="2">
        <v>45584</v>
      </c>
      <c r="M376" t="str">
        <f t="shared" si="25"/>
        <v>Admis</v>
      </c>
      <c r="N376" t="str">
        <f t="shared" si="26"/>
        <v>Non Eligible</v>
      </c>
      <c r="O376" t="str">
        <f t="shared" si="27"/>
        <v>RAS</v>
      </c>
      <c r="P376" t="str">
        <f t="shared" si="28"/>
        <v>Data</v>
      </c>
      <c r="Q376">
        <f t="shared" si="29"/>
        <v>13.817500000000001</v>
      </c>
      <c r="R376" t="str" cm="1">
        <f t="array" ref="R376">_xlfn.IFS(Q376&gt;=16, "Excellent",Q376&gt;=14, "Très bien", Q376&gt;=12, "Bien", Q376&gt;=10, "Passable", Q376&lt;10, "Insuffisant")</f>
        <v>Bien</v>
      </c>
    </row>
    <row r="377" spans="1:18">
      <c r="A377" t="s">
        <v>624</v>
      </c>
      <c r="B377" t="s">
        <v>625</v>
      </c>
      <c r="C377" t="s">
        <v>20</v>
      </c>
      <c r="D377" t="s">
        <v>41</v>
      </c>
      <c r="E377" t="s">
        <v>35</v>
      </c>
      <c r="F377">
        <v>15.72</v>
      </c>
      <c r="G377">
        <v>18.350000000000001</v>
      </c>
      <c r="H377">
        <v>10.81</v>
      </c>
      <c r="I377">
        <v>15.22</v>
      </c>
      <c r="J377" s="4">
        <v>0.95150000000000001</v>
      </c>
      <c r="K377">
        <v>110000</v>
      </c>
      <c r="L377" s="2">
        <v>46000</v>
      </c>
      <c r="M377" t="str">
        <f t="shared" si="25"/>
        <v>Admis</v>
      </c>
      <c r="N377" t="str">
        <f t="shared" si="26"/>
        <v>Non Eligible</v>
      </c>
      <c r="O377" t="str">
        <f t="shared" si="27"/>
        <v>RAS</v>
      </c>
      <c r="P377" t="str">
        <f t="shared" si="28"/>
        <v>Hors Data</v>
      </c>
      <c r="Q377">
        <f t="shared" si="29"/>
        <v>15.025</v>
      </c>
      <c r="R377" t="str" cm="1">
        <f t="array" ref="R377">_xlfn.IFS(Q377&gt;=16, "Excellent",Q377&gt;=14, "Très bien", Q377&gt;=12, "Bien", Q377&gt;=10, "Passable", Q377&lt;10, "Insuffisant")</f>
        <v>Très bien</v>
      </c>
    </row>
    <row r="378" spans="1:18">
      <c r="A378" t="s">
        <v>626</v>
      </c>
      <c r="B378" t="s">
        <v>627</v>
      </c>
      <c r="C378" t="s">
        <v>25</v>
      </c>
      <c r="D378" t="s">
        <v>34</v>
      </c>
      <c r="E378" t="s">
        <v>48</v>
      </c>
      <c r="F378">
        <v>11.45</v>
      </c>
      <c r="G378">
        <v>10.8</v>
      </c>
      <c r="H378">
        <v>9.4700000000000006</v>
      </c>
      <c r="I378">
        <v>11.43</v>
      </c>
      <c r="J378" s="4">
        <v>0.90229999999999999</v>
      </c>
      <c r="K378">
        <v>90000</v>
      </c>
      <c r="L378" s="2">
        <v>45801</v>
      </c>
      <c r="M378" t="str">
        <f t="shared" si="25"/>
        <v>Non admis</v>
      </c>
      <c r="N378" t="str">
        <f t="shared" si="26"/>
        <v>Non Eligible</v>
      </c>
      <c r="O378" t="str">
        <f t="shared" si="27"/>
        <v>A surveiller</v>
      </c>
      <c r="P378" t="str">
        <f t="shared" si="28"/>
        <v>Hors Data</v>
      </c>
      <c r="Q378">
        <f t="shared" si="29"/>
        <v>10.7875</v>
      </c>
      <c r="R378" t="str" cm="1">
        <f t="array" ref="R378">_xlfn.IFS(Q378&gt;=16, "Excellent",Q378&gt;=14, "Très bien", Q378&gt;=12, "Bien", Q378&gt;=10, "Passable", Q378&lt;10, "Insuffisant")</f>
        <v>Passable</v>
      </c>
    </row>
    <row r="379" spans="1:18">
      <c r="A379" t="s">
        <v>628</v>
      </c>
      <c r="B379" t="s">
        <v>589</v>
      </c>
      <c r="C379" t="s">
        <v>25</v>
      </c>
      <c r="D379" t="s">
        <v>26</v>
      </c>
      <c r="E379" t="s">
        <v>27</v>
      </c>
      <c r="F379">
        <v>9.16</v>
      </c>
      <c r="G379">
        <v>10.92</v>
      </c>
      <c r="H379">
        <v>11.06</v>
      </c>
      <c r="I379">
        <v>9.9700000000000006</v>
      </c>
      <c r="J379" s="4">
        <v>0.84560000000000002</v>
      </c>
      <c r="K379">
        <v>75000</v>
      </c>
      <c r="L379" s="2">
        <v>45619</v>
      </c>
      <c r="M379" t="str">
        <f t="shared" si="25"/>
        <v>Admis</v>
      </c>
      <c r="N379" t="str">
        <f t="shared" si="26"/>
        <v>Non Eligible</v>
      </c>
      <c r="O379" t="str">
        <f t="shared" si="27"/>
        <v>A surveiller</v>
      </c>
      <c r="P379" t="str">
        <f t="shared" si="28"/>
        <v>Hors Data</v>
      </c>
      <c r="Q379">
        <f t="shared" si="29"/>
        <v>10.2775</v>
      </c>
      <c r="R379" t="str" cm="1">
        <f t="array" ref="R379">_xlfn.IFS(Q379&gt;=16, "Excellent",Q379&gt;=14, "Très bien", Q379&gt;=12, "Bien", Q379&gt;=10, "Passable", Q379&lt;10, "Insuffisant")</f>
        <v>Passable</v>
      </c>
    </row>
    <row r="380" spans="1:18">
      <c r="A380" t="s">
        <v>629</v>
      </c>
      <c r="B380" t="s">
        <v>630</v>
      </c>
      <c r="C380" t="s">
        <v>20</v>
      </c>
      <c r="D380" t="s">
        <v>38</v>
      </c>
      <c r="E380" t="s">
        <v>22</v>
      </c>
      <c r="F380">
        <v>20</v>
      </c>
      <c r="G380">
        <v>20</v>
      </c>
      <c r="H380">
        <v>20</v>
      </c>
      <c r="I380">
        <v>19.98</v>
      </c>
      <c r="J380" s="4">
        <v>0.96209999999999996</v>
      </c>
      <c r="K380">
        <v>75000</v>
      </c>
      <c r="L380" s="2">
        <v>45815</v>
      </c>
      <c r="M380" t="str">
        <f t="shared" si="25"/>
        <v>Admis</v>
      </c>
      <c r="N380" t="str">
        <f t="shared" si="26"/>
        <v>Eligible</v>
      </c>
      <c r="O380" t="str">
        <f t="shared" si="27"/>
        <v>RAS</v>
      </c>
      <c r="P380" t="str">
        <f t="shared" si="28"/>
        <v>Data</v>
      </c>
      <c r="Q380">
        <f t="shared" si="29"/>
        <v>19.995000000000001</v>
      </c>
      <c r="R380" t="str" cm="1">
        <f t="array" ref="R380">_xlfn.IFS(Q380&gt;=16, "Excellent",Q380&gt;=14, "Très bien", Q380&gt;=12, "Bien", Q380&gt;=10, "Passable", Q380&lt;10, "Insuffisant")</f>
        <v>Excellent</v>
      </c>
    </row>
    <row r="381" spans="1:18">
      <c r="A381" t="s">
        <v>631</v>
      </c>
      <c r="B381" t="s">
        <v>632</v>
      </c>
      <c r="C381" t="s">
        <v>20</v>
      </c>
      <c r="D381" t="s">
        <v>41</v>
      </c>
      <c r="E381" t="s">
        <v>22</v>
      </c>
      <c r="F381">
        <v>14</v>
      </c>
      <c r="G381">
        <v>15.69</v>
      </c>
      <c r="H381">
        <v>13.38</v>
      </c>
      <c r="I381">
        <v>14.47</v>
      </c>
      <c r="J381" s="4">
        <v>0.67779999999999996</v>
      </c>
      <c r="K381">
        <v>85000</v>
      </c>
      <c r="L381" s="2">
        <v>46191</v>
      </c>
      <c r="M381" t="str">
        <f t="shared" si="25"/>
        <v>Admis</v>
      </c>
      <c r="N381" t="str">
        <f t="shared" si="26"/>
        <v>Non Eligible</v>
      </c>
      <c r="O381" t="str">
        <f t="shared" si="27"/>
        <v>RAS</v>
      </c>
      <c r="P381" t="str">
        <f t="shared" si="28"/>
        <v>Data</v>
      </c>
      <c r="Q381">
        <f t="shared" si="29"/>
        <v>14.385</v>
      </c>
      <c r="R381" t="str" cm="1">
        <f t="array" ref="R381">_xlfn.IFS(Q381&gt;=16, "Excellent",Q381&gt;=14, "Très bien", Q381&gt;=12, "Bien", Q381&gt;=10, "Passable", Q381&lt;10, "Insuffisant")</f>
        <v>Très bien</v>
      </c>
    </row>
    <row r="382" spans="1:18">
      <c r="A382" t="s">
        <v>633</v>
      </c>
      <c r="B382" t="s">
        <v>135</v>
      </c>
      <c r="C382" t="s">
        <v>20</v>
      </c>
      <c r="D382" t="s">
        <v>26</v>
      </c>
      <c r="E382" t="s">
        <v>35</v>
      </c>
      <c r="F382">
        <v>10.47</v>
      </c>
      <c r="G382">
        <v>10.16</v>
      </c>
      <c r="H382">
        <v>15.1</v>
      </c>
      <c r="I382">
        <v>11.71</v>
      </c>
      <c r="J382" s="4">
        <v>0.9073</v>
      </c>
      <c r="K382">
        <v>75000</v>
      </c>
      <c r="L382" s="2">
        <v>45718</v>
      </c>
      <c r="M382" t="str">
        <f t="shared" si="25"/>
        <v>Admis</v>
      </c>
      <c r="N382" t="str">
        <f t="shared" si="26"/>
        <v>Non Eligible</v>
      </c>
      <c r="O382" t="str">
        <f t="shared" si="27"/>
        <v>RAS</v>
      </c>
      <c r="P382" t="str">
        <f t="shared" si="28"/>
        <v>Hors Data</v>
      </c>
      <c r="Q382">
        <f t="shared" si="29"/>
        <v>11.860000000000001</v>
      </c>
      <c r="R382" t="str" cm="1">
        <f t="array" ref="R382">_xlfn.IFS(Q382&gt;=16, "Excellent",Q382&gt;=14, "Très bien", Q382&gt;=12, "Bien", Q382&gt;=10, "Passable", Q382&lt;10, "Insuffisant")</f>
        <v>Passable</v>
      </c>
    </row>
    <row r="383" spans="1:18">
      <c r="A383" t="s">
        <v>634</v>
      </c>
      <c r="B383" t="s">
        <v>509</v>
      </c>
      <c r="C383" t="s">
        <v>25</v>
      </c>
      <c r="D383" t="s">
        <v>41</v>
      </c>
      <c r="E383" t="s">
        <v>48</v>
      </c>
      <c r="F383">
        <v>18.48</v>
      </c>
      <c r="G383">
        <v>14.68</v>
      </c>
      <c r="H383">
        <v>14.69</v>
      </c>
      <c r="I383">
        <v>14.65</v>
      </c>
      <c r="J383" s="4">
        <v>0.65949999999999998</v>
      </c>
      <c r="K383">
        <v>110000</v>
      </c>
      <c r="L383" s="2">
        <v>46162</v>
      </c>
      <c r="M383" t="str">
        <f t="shared" si="25"/>
        <v>Admis</v>
      </c>
      <c r="N383" t="str">
        <f t="shared" si="26"/>
        <v>Non Eligible</v>
      </c>
      <c r="O383" t="str">
        <f t="shared" si="27"/>
        <v>RAS</v>
      </c>
      <c r="P383" t="str">
        <f t="shared" si="28"/>
        <v>Hors Data</v>
      </c>
      <c r="Q383">
        <f t="shared" si="29"/>
        <v>15.624999999999998</v>
      </c>
      <c r="R383" t="str" cm="1">
        <f t="array" ref="R383">_xlfn.IFS(Q383&gt;=16, "Excellent",Q383&gt;=14, "Très bien", Q383&gt;=12, "Bien", Q383&gt;=10, "Passable", Q383&lt;10, "Insuffisant")</f>
        <v>Très bien</v>
      </c>
    </row>
    <row r="384" spans="1:18">
      <c r="A384" t="s">
        <v>635</v>
      </c>
      <c r="B384" t="s">
        <v>636</v>
      </c>
      <c r="C384" t="s">
        <v>25</v>
      </c>
      <c r="D384" t="s">
        <v>26</v>
      </c>
      <c r="E384" t="s">
        <v>27</v>
      </c>
      <c r="F384">
        <v>11.61</v>
      </c>
      <c r="G384">
        <v>15.77</v>
      </c>
      <c r="H384">
        <v>12.87</v>
      </c>
      <c r="I384">
        <v>11.87</v>
      </c>
      <c r="J384" s="4">
        <v>0.80689999999999995</v>
      </c>
      <c r="K384">
        <v>70000</v>
      </c>
      <c r="L384" s="2">
        <v>45717</v>
      </c>
      <c r="M384" t="str">
        <f t="shared" si="25"/>
        <v>Admis</v>
      </c>
      <c r="N384" t="str">
        <f t="shared" si="26"/>
        <v>Non Eligible</v>
      </c>
      <c r="O384" t="str">
        <f t="shared" si="27"/>
        <v>RAS</v>
      </c>
      <c r="P384" t="str">
        <f t="shared" si="28"/>
        <v>Hors Data</v>
      </c>
      <c r="Q384">
        <f t="shared" si="29"/>
        <v>13.03</v>
      </c>
      <c r="R384" t="str" cm="1">
        <f t="array" ref="R384">_xlfn.IFS(Q384&gt;=16, "Excellent",Q384&gt;=14, "Très bien", Q384&gt;=12, "Bien", Q384&gt;=10, "Passable", Q384&lt;10, "Insuffisant")</f>
        <v>Bien</v>
      </c>
    </row>
    <row r="385" spans="1:18">
      <c r="A385" t="s">
        <v>637</v>
      </c>
      <c r="B385" t="s">
        <v>75</v>
      </c>
      <c r="C385" t="s">
        <v>20</v>
      </c>
      <c r="D385" t="s">
        <v>34</v>
      </c>
      <c r="E385" t="s">
        <v>48</v>
      </c>
      <c r="F385">
        <v>11.48</v>
      </c>
      <c r="G385">
        <v>15.81</v>
      </c>
      <c r="H385">
        <v>10.62</v>
      </c>
      <c r="I385">
        <v>12.43</v>
      </c>
      <c r="J385" s="4">
        <v>0.87890000000000001</v>
      </c>
      <c r="K385">
        <v>50000</v>
      </c>
      <c r="L385" s="2">
        <v>45666</v>
      </c>
      <c r="M385" t="str">
        <f t="shared" si="25"/>
        <v>Admis</v>
      </c>
      <c r="N385" t="str">
        <f t="shared" si="26"/>
        <v>Non Eligible</v>
      </c>
      <c r="O385" t="str">
        <f t="shared" si="27"/>
        <v>RAS</v>
      </c>
      <c r="P385" t="str">
        <f t="shared" si="28"/>
        <v>Hors Data</v>
      </c>
      <c r="Q385">
        <f t="shared" si="29"/>
        <v>12.584999999999999</v>
      </c>
      <c r="R385" t="str" cm="1">
        <f t="array" ref="R385">_xlfn.IFS(Q385&gt;=16, "Excellent",Q385&gt;=14, "Très bien", Q385&gt;=12, "Bien", Q385&gt;=10, "Passable", Q385&lt;10, "Insuffisant")</f>
        <v>Bien</v>
      </c>
    </row>
    <row r="386" spans="1:18">
      <c r="A386" t="s">
        <v>638</v>
      </c>
      <c r="B386" t="s">
        <v>157</v>
      </c>
      <c r="C386" t="s">
        <v>20</v>
      </c>
      <c r="D386" t="s">
        <v>34</v>
      </c>
      <c r="E386" t="s">
        <v>48</v>
      </c>
      <c r="F386">
        <v>15.1</v>
      </c>
      <c r="G386">
        <v>18.8</v>
      </c>
      <c r="H386">
        <v>17.45</v>
      </c>
      <c r="I386">
        <v>14.88</v>
      </c>
      <c r="J386" s="4">
        <v>0.73029999999999995</v>
      </c>
      <c r="K386">
        <v>85000</v>
      </c>
      <c r="L386" s="2">
        <v>45718</v>
      </c>
      <c r="M386" t="str">
        <f t="shared" si="25"/>
        <v>Admis</v>
      </c>
      <c r="N386" t="str">
        <f t="shared" si="26"/>
        <v>Non Eligible</v>
      </c>
      <c r="O386" t="str">
        <f t="shared" si="27"/>
        <v>RAS</v>
      </c>
      <c r="P386" t="str">
        <f t="shared" si="28"/>
        <v>Hors Data</v>
      </c>
      <c r="Q386">
        <f t="shared" si="29"/>
        <v>16.557499999999997</v>
      </c>
      <c r="R386" t="str" cm="1">
        <f t="array" ref="R386">_xlfn.IFS(Q386&gt;=16, "Excellent",Q386&gt;=14, "Très bien", Q386&gt;=12, "Bien", Q386&gt;=10, "Passable", Q386&lt;10, "Insuffisant")</f>
        <v>Excellent</v>
      </c>
    </row>
    <row r="387" spans="1:18">
      <c r="A387" t="s">
        <v>639</v>
      </c>
      <c r="B387" t="s">
        <v>640</v>
      </c>
      <c r="C387" t="s">
        <v>20</v>
      </c>
      <c r="D387" t="s">
        <v>41</v>
      </c>
      <c r="E387" t="s">
        <v>22</v>
      </c>
      <c r="F387">
        <v>9.8800000000000008</v>
      </c>
      <c r="G387">
        <v>14.25</v>
      </c>
      <c r="H387">
        <v>14.7</v>
      </c>
      <c r="I387">
        <v>8.82</v>
      </c>
      <c r="J387" s="4">
        <v>0.9486</v>
      </c>
      <c r="K387">
        <v>50000</v>
      </c>
      <c r="L387" s="2">
        <v>45762</v>
      </c>
      <c r="M387" t="str">
        <f t="shared" ref="M387:M450" si="30">IF(H387&gt;=10,"Admis","Non admis")</f>
        <v>Admis</v>
      </c>
      <c r="N387" t="str">
        <f t="shared" ref="N387:N450" si="31">IF(AND(F387&gt;=12,H387&gt;=12,J387&gt;80%), "Eligible", "Non Eligible")</f>
        <v>Non Eligible</v>
      </c>
      <c r="O387" t="str">
        <f t="shared" ref="O387:O450" si="32">IF(OR(F387&lt;10,H387&lt;10), "A surveiller", "RAS")</f>
        <v>A surveiller</v>
      </c>
      <c r="P387" t="str">
        <f t="shared" ref="P387:P450" si="33">IF(NOT(E387="Data"), "Hors Data", "Data")</f>
        <v>Data</v>
      </c>
      <c r="Q387">
        <f t="shared" ref="Q387:Q450" si="34">AVERAGE(F387:I387)</f>
        <v>11.9125</v>
      </c>
      <c r="R387" t="str" cm="1">
        <f t="array" ref="R387">_xlfn.IFS(Q387&gt;=16, "Excellent",Q387&gt;=14, "Très bien", Q387&gt;=12, "Bien", Q387&gt;=10, "Passable", Q387&lt;10, "Insuffisant")</f>
        <v>Passable</v>
      </c>
    </row>
    <row r="388" spans="1:18">
      <c r="A388" t="s">
        <v>641</v>
      </c>
      <c r="B388" t="s">
        <v>248</v>
      </c>
      <c r="C388" t="s">
        <v>20</v>
      </c>
      <c r="D388" t="s">
        <v>41</v>
      </c>
      <c r="E388" t="s">
        <v>22</v>
      </c>
      <c r="F388">
        <v>15.06</v>
      </c>
      <c r="G388">
        <v>15.18</v>
      </c>
      <c r="H388">
        <v>10.81</v>
      </c>
      <c r="I388">
        <v>15.1</v>
      </c>
      <c r="J388" s="4">
        <v>0.60780000000000001</v>
      </c>
      <c r="K388">
        <v>70000</v>
      </c>
      <c r="L388" s="2">
        <v>45620</v>
      </c>
      <c r="M388" t="str">
        <f t="shared" si="30"/>
        <v>Admis</v>
      </c>
      <c r="N388" t="str">
        <f t="shared" si="31"/>
        <v>Non Eligible</v>
      </c>
      <c r="O388" t="str">
        <f t="shared" si="32"/>
        <v>RAS</v>
      </c>
      <c r="P388" t="str">
        <f t="shared" si="33"/>
        <v>Data</v>
      </c>
      <c r="Q388">
        <f t="shared" si="34"/>
        <v>14.037500000000001</v>
      </c>
      <c r="R388" t="str" cm="1">
        <f t="array" ref="R388">_xlfn.IFS(Q388&gt;=16, "Excellent",Q388&gt;=14, "Très bien", Q388&gt;=12, "Bien", Q388&gt;=10, "Passable", Q388&lt;10, "Insuffisant")</f>
        <v>Très bien</v>
      </c>
    </row>
    <row r="389" spans="1:18">
      <c r="A389" t="s">
        <v>642</v>
      </c>
      <c r="B389" t="s">
        <v>552</v>
      </c>
      <c r="C389" t="s">
        <v>25</v>
      </c>
      <c r="D389" t="s">
        <v>21</v>
      </c>
      <c r="E389" t="s">
        <v>22</v>
      </c>
      <c r="F389">
        <v>20</v>
      </c>
      <c r="G389">
        <v>18.57</v>
      </c>
      <c r="H389">
        <v>18.29</v>
      </c>
      <c r="I389">
        <v>14.76</v>
      </c>
      <c r="J389" s="4">
        <v>0.86929999999999996</v>
      </c>
      <c r="K389">
        <v>80000</v>
      </c>
      <c r="L389" s="2">
        <v>45947</v>
      </c>
      <c r="M389" t="str">
        <f t="shared" si="30"/>
        <v>Admis</v>
      </c>
      <c r="N389" t="str">
        <f t="shared" si="31"/>
        <v>Eligible</v>
      </c>
      <c r="O389" t="str">
        <f t="shared" si="32"/>
        <v>RAS</v>
      </c>
      <c r="P389" t="str">
        <f t="shared" si="33"/>
        <v>Data</v>
      </c>
      <c r="Q389">
        <f t="shared" si="34"/>
        <v>17.905000000000001</v>
      </c>
      <c r="R389" t="str" cm="1">
        <f t="array" ref="R389">_xlfn.IFS(Q389&gt;=16, "Excellent",Q389&gt;=14, "Très bien", Q389&gt;=12, "Bien", Q389&gt;=10, "Passable", Q389&lt;10, "Insuffisant")</f>
        <v>Excellent</v>
      </c>
    </row>
    <row r="390" spans="1:18">
      <c r="A390" t="s">
        <v>643</v>
      </c>
      <c r="B390" t="s">
        <v>262</v>
      </c>
      <c r="C390" t="s">
        <v>25</v>
      </c>
      <c r="D390" t="s">
        <v>53</v>
      </c>
      <c r="E390" t="s">
        <v>48</v>
      </c>
      <c r="F390">
        <v>15.55</v>
      </c>
      <c r="G390">
        <v>18.18</v>
      </c>
      <c r="H390">
        <v>17.79</v>
      </c>
      <c r="I390">
        <v>13.1</v>
      </c>
      <c r="J390" s="4">
        <v>0.9224</v>
      </c>
      <c r="K390">
        <v>50000</v>
      </c>
      <c r="L390" s="2">
        <v>45769</v>
      </c>
      <c r="M390" t="str">
        <f t="shared" si="30"/>
        <v>Admis</v>
      </c>
      <c r="N390" t="str">
        <f t="shared" si="31"/>
        <v>Eligible</v>
      </c>
      <c r="O390" t="str">
        <f t="shared" si="32"/>
        <v>RAS</v>
      </c>
      <c r="P390" t="str">
        <f t="shared" si="33"/>
        <v>Hors Data</v>
      </c>
      <c r="Q390">
        <f t="shared" si="34"/>
        <v>16.155000000000001</v>
      </c>
      <c r="R390" t="str" cm="1">
        <f t="array" ref="R390">_xlfn.IFS(Q390&gt;=16, "Excellent",Q390&gt;=14, "Très bien", Q390&gt;=12, "Bien", Q390&gt;=10, "Passable", Q390&lt;10, "Insuffisant")</f>
        <v>Excellent</v>
      </c>
    </row>
    <row r="391" spans="1:18">
      <c r="A391" t="s">
        <v>644</v>
      </c>
      <c r="B391" t="s">
        <v>370</v>
      </c>
      <c r="C391" t="s">
        <v>20</v>
      </c>
      <c r="D391" t="s">
        <v>53</v>
      </c>
      <c r="E391" t="s">
        <v>35</v>
      </c>
      <c r="F391">
        <v>7.21</v>
      </c>
      <c r="G391">
        <v>14.42</v>
      </c>
      <c r="H391">
        <v>9.4600000000000009</v>
      </c>
      <c r="I391">
        <v>11.73</v>
      </c>
      <c r="J391" s="4">
        <v>0.78449999999999998</v>
      </c>
      <c r="K391">
        <v>70000</v>
      </c>
      <c r="L391" s="2">
        <v>46038</v>
      </c>
      <c r="M391" t="str">
        <f t="shared" si="30"/>
        <v>Non admis</v>
      </c>
      <c r="N391" t="str">
        <f t="shared" si="31"/>
        <v>Non Eligible</v>
      </c>
      <c r="O391" t="str">
        <f t="shared" si="32"/>
        <v>A surveiller</v>
      </c>
      <c r="P391" t="str">
        <f t="shared" si="33"/>
        <v>Hors Data</v>
      </c>
      <c r="Q391">
        <f t="shared" si="34"/>
        <v>10.705</v>
      </c>
      <c r="R391" t="str" cm="1">
        <f t="array" ref="R391">_xlfn.IFS(Q391&gt;=16, "Excellent",Q391&gt;=14, "Très bien", Q391&gt;=12, "Bien", Q391&gt;=10, "Passable", Q391&lt;10, "Insuffisant")</f>
        <v>Passable</v>
      </c>
    </row>
    <row r="392" spans="1:18">
      <c r="A392" t="s">
        <v>645</v>
      </c>
      <c r="B392" t="s">
        <v>646</v>
      </c>
      <c r="C392" t="s">
        <v>25</v>
      </c>
      <c r="D392" t="s">
        <v>38</v>
      </c>
      <c r="E392" t="s">
        <v>22</v>
      </c>
      <c r="F392">
        <v>12.8</v>
      </c>
      <c r="G392">
        <v>10.32</v>
      </c>
      <c r="H392">
        <v>13.53</v>
      </c>
      <c r="I392">
        <v>10.1</v>
      </c>
      <c r="J392" s="4">
        <v>0.92059999999999997</v>
      </c>
      <c r="K392">
        <v>85000</v>
      </c>
      <c r="L392" s="2">
        <v>45879</v>
      </c>
      <c r="M392" t="str">
        <f t="shared" si="30"/>
        <v>Admis</v>
      </c>
      <c r="N392" t="str">
        <f t="shared" si="31"/>
        <v>Eligible</v>
      </c>
      <c r="O392" t="str">
        <f t="shared" si="32"/>
        <v>RAS</v>
      </c>
      <c r="P392" t="str">
        <f t="shared" si="33"/>
        <v>Data</v>
      </c>
      <c r="Q392">
        <f t="shared" si="34"/>
        <v>11.6875</v>
      </c>
      <c r="R392" t="str" cm="1">
        <f t="array" ref="R392">_xlfn.IFS(Q392&gt;=16, "Excellent",Q392&gt;=14, "Très bien", Q392&gt;=12, "Bien", Q392&gt;=10, "Passable", Q392&lt;10, "Insuffisant")</f>
        <v>Passable</v>
      </c>
    </row>
    <row r="393" spans="1:18">
      <c r="A393" t="s">
        <v>647</v>
      </c>
      <c r="B393" t="s">
        <v>202</v>
      </c>
      <c r="C393" t="s">
        <v>20</v>
      </c>
      <c r="D393" t="s">
        <v>53</v>
      </c>
      <c r="E393" t="s">
        <v>48</v>
      </c>
      <c r="F393">
        <v>12.43</v>
      </c>
      <c r="G393">
        <v>10.48</v>
      </c>
      <c r="H393">
        <v>15.24</v>
      </c>
      <c r="I393">
        <v>15.84</v>
      </c>
      <c r="J393" s="4">
        <v>0.82630000000000003</v>
      </c>
      <c r="K393">
        <v>80000</v>
      </c>
      <c r="L393" s="2">
        <v>45845</v>
      </c>
      <c r="M393" t="str">
        <f t="shared" si="30"/>
        <v>Admis</v>
      </c>
      <c r="N393" t="str">
        <f t="shared" si="31"/>
        <v>Eligible</v>
      </c>
      <c r="O393" t="str">
        <f t="shared" si="32"/>
        <v>RAS</v>
      </c>
      <c r="P393" t="str">
        <f t="shared" si="33"/>
        <v>Hors Data</v>
      </c>
      <c r="Q393">
        <f t="shared" si="34"/>
        <v>13.497499999999999</v>
      </c>
      <c r="R393" t="str" cm="1">
        <f t="array" ref="R393">_xlfn.IFS(Q393&gt;=16, "Excellent",Q393&gt;=14, "Très bien", Q393&gt;=12, "Bien", Q393&gt;=10, "Passable", Q393&lt;10, "Insuffisant")</f>
        <v>Bien</v>
      </c>
    </row>
    <row r="394" spans="1:18">
      <c r="A394" t="s">
        <v>648</v>
      </c>
      <c r="B394" t="s">
        <v>649</v>
      </c>
      <c r="C394" t="s">
        <v>20</v>
      </c>
      <c r="D394" t="s">
        <v>38</v>
      </c>
      <c r="E394" t="s">
        <v>27</v>
      </c>
      <c r="F394">
        <v>12.88</v>
      </c>
      <c r="G394">
        <v>14.27</v>
      </c>
      <c r="H394">
        <v>13.16</v>
      </c>
      <c r="I394">
        <v>12.73</v>
      </c>
      <c r="J394" s="4">
        <v>0.94930000000000003</v>
      </c>
      <c r="K394">
        <v>120000</v>
      </c>
      <c r="L394" s="2">
        <v>45865</v>
      </c>
      <c r="M394" t="str">
        <f t="shared" si="30"/>
        <v>Admis</v>
      </c>
      <c r="N394" t="str">
        <f t="shared" si="31"/>
        <v>Eligible</v>
      </c>
      <c r="O394" t="str">
        <f t="shared" si="32"/>
        <v>RAS</v>
      </c>
      <c r="P394" t="str">
        <f t="shared" si="33"/>
        <v>Hors Data</v>
      </c>
      <c r="Q394">
        <f t="shared" si="34"/>
        <v>13.260000000000002</v>
      </c>
      <c r="R394" t="str" cm="1">
        <f t="array" ref="R394">_xlfn.IFS(Q394&gt;=16, "Excellent",Q394&gt;=14, "Très bien", Q394&gt;=12, "Bien", Q394&gt;=10, "Passable", Q394&lt;10, "Insuffisant")</f>
        <v>Bien</v>
      </c>
    </row>
    <row r="395" spans="1:18">
      <c r="A395" t="s">
        <v>650</v>
      </c>
      <c r="B395" t="s">
        <v>651</v>
      </c>
      <c r="C395" t="s">
        <v>25</v>
      </c>
      <c r="D395" t="s">
        <v>53</v>
      </c>
      <c r="E395" t="s">
        <v>35</v>
      </c>
      <c r="F395">
        <v>12.98</v>
      </c>
      <c r="G395">
        <v>12.45</v>
      </c>
      <c r="H395">
        <v>13.85</v>
      </c>
      <c r="I395">
        <v>12.73</v>
      </c>
      <c r="J395" s="4">
        <v>0.55000000000000004</v>
      </c>
      <c r="K395">
        <v>60000</v>
      </c>
      <c r="L395" s="2">
        <v>45645</v>
      </c>
      <c r="M395" t="str">
        <f t="shared" si="30"/>
        <v>Admis</v>
      </c>
      <c r="N395" t="str">
        <f t="shared" si="31"/>
        <v>Non Eligible</v>
      </c>
      <c r="O395" t="str">
        <f t="shared" si="32"/>
        <v>RAS</v>
      </c>
      <c r="P395" t="str">
        <f t="shared" si="33"/>
        <v>Hors Data</v>
      </c>
      <c r="Q395">
        <f t="shared" si="34"/>
        <v>13.002500000000001</v>
      </c>
      <c r="R395" t="str" cm="1">
        <f t="array" ref="R395">_xlfn.IFS(Q395&gt;=16, "Excellent",Q395&gt;=14, "Très bien", Q395&gt;=12, "Bien", Q395&gt;=10, "Passable", Q395&lt;10, "Insuffisant")</f>
        <v>Bien</v>
      </c>
    </row>
    <row r="396" spans="1:18">
      <c r="A396" t="s">
        <v>652</v>
      </c>
      <c r="B396" t="s">
        <v>653</v>
      </c>
      <c r="C396" t="s">
        <v>25</v>
      </c>
      <c r="D396" t="s">
        <v>41</v>
      </c>
      <c r="E396" t="s">
        <v>27</v>
      </c>
      <c r="F396">
        <v>16</v>
      </c>
      <c r="G396">
        <v>16.41</v>
      </c>
      <c r="H396">
        <v>20</v>
      </c>
      <c r="I396">
        <v>14.9</v>
      </c>
      <c r="J396" s="4">
        <v>0.89339999999999997</v>
      </c>
      <c r="K396">
        <v>100000</v>
      </c>
      <c r="L396" s="2">
        <v>46035</v>
      </c>
      <c r="M396" t="str">
        <f t="shared" si="30"/>
        <v>Admis</v>
      </c>
      <c r="N396" t="str">
        <f t="shared" si="31"/>
        <v>Eligible</v>
      </c>
      <c r="O396" t="str">
        <f t="shared" si="32"/>
        <v>RAS</v>
      </c>
      <c r="P396" t="str">
        <f t="shared" si="33"/>
        <v>Hors Data</v>
      </c>
      <c r="Q396">
        <f t="shared" si="34"/>
        <v>16.827500000000001</v>
      </c>
      <c r="R396" t="str" cm="1">
        <f t="array" ref="R396">_xlfn.IFS(Q396&gt;=16, "Excellent",Q396&gt;=14, "Très bien", Q396&gt;=12, "Bien", Q396&gt;=10, "Passable", Q396&lt;10, "Insuffisant")</f>
        <v>Excellent</v>
      </c>
    </row>
    <row r="397" spans="1:18">
      <c r="A397" t="s">
        <v>654</v>
      </c>
      <c r="B397" t="s">
        <v>655</v>
      </c>
      <c r="C397" t="s">
        <v>25</v>
      </c>
      <c r="D397" t="s">
        <v>53</v>
      </c>
      <c r="E397" t="s">
        <v>48</v>
      </c>
      <c r="F397">
        <v>8.5299999999999994</v>
      </c>
      <c r="G397">
        <v>11.41</v>
      </c>
      <c r="H397">
        <v>13.13</v>
      </c>
      <c r="I397">
        <v>8.51</v>
      </c>
      <c r="J397" s="4">
        <v>0.95520000000000005</v>
      </c>
      <c r="K397">
        <v>90000</v>
      </c>
      <c r="L397" s="2">
        <v>45608</v>
      </c>
      <c r="M397" t="str">
        <f t="shared" si="30"/>
        <v>Admis</v>
      </c>
      <c r="N397" t="str">
        <f t="shared" si="31"/>
        <v>Non Eligible</v>
      </c>
      <c r="O397" t="str">
        <f t="shared" si="32"/>
        <v>A surveiller</v>
      </c>
      <c r="P397" t="str">
        <f t="shared" si="33"/>
        <v>Hors Data</v>
      </c>
      <c r="Q397">
        <f t="shared" si="34"/>
        <v>10.395</v>
      </c>
      <c r="R397" t="str" cm="1">
        <f t="array" ref="R397">_xlfn.IFS(Q397&gt;=16, "Excellent",Q397&gt;=14, "Très bien", Q397&gt;=12, "Bien", Q397&gt;=10, "Passable", Q397&lt;10, "Insuffisant")</f>
        <v>Passable</v>
      </c>
    </row>
    <row r="398" spans="1:18">
      <c r="A398" t="s">
        <v>656</v>
      </c>
      <c r="B398" t="s">
        <v>657</v>
      </c>
      <c r="C398" t="s">
        <v>20</v>
      </c>
      <c r="D398" t="s">
        <v>34</v>
      </c>
      <c r="E398" t="s">
        <v>48</v>
      </c>
      <c r="F398">
        <v>17.260000000000002</v>
      </c>
      <c r="G398">
        <v>17.98</v>
      </c>
      <c r="H398">
        <v>15.98</v>
      </c>
      <c r="I398">
        <v>13.14</v>
      </c>
      <c r="J398" s="4">
        <v>0.81210000000000004</v>
      </c>
      <c r="K398">
        <v>100000</v>
      </c>
      <c r="L398" s="2">
        <v>46041</v>
      </c>
      <c r="M398" t="str">
        <f t="shared" si="30"/>
        <v>Admis</v>
      </c>
      <c r="N398" t="str">
        <f t="shared" si="31"/>
        <v>Eligible</v>
      </c>
      <c r="O398" t="str">
        <f t="shared" si="32"/>
        <v>RAS</v>
      </c>
      <c r="P398" t="str">
        <f t="shared" si="33"/>
        <v>Hors Data</v>
      </c>
      <c r="Q398">
        <f t="shared" si="34"/>
        <v>16.09</v>
      </c>
      <c r="R398" t="str" cm="1">
        <f t="array" ref="R398">_xlfn.IFS(Q398&gt;=16, "Excellent",Q398&gt;=14, "Très bien", Q398&gt;=12, "Bien", Q398&gt;=10, "Passable", Q398&lt;10, "Insuffisant")</f>
        <v>Excellent</v>
      </c>
    </row>
    <row r="399" spans="1:18">
      <c r="A399" t="s">
        <v>658</v>
      </c>
      <c r="B399" t="s">
        <v>659</v>
      </c>
      <c r="C399" t="s">
        <v>20</v>
      </c>
      <c r="D399" t="s">
        <v>21</v>
      </c>
      <c r="E399" t="s">
        <v>27</v>
      </c>
      <c r="F399">
        <v>11.24</v>
      </c>
      <c r="G399">
        <v>15.76</v>
      </c>
      <c r="H399">
        <v>11.47</v>
      </c>
      <c r="I399">
        <v>11.96</v>
      </c>
      <c r="J399" s="4">
        <v>0.86140000000000005</v>
      </c>
      <c r="K399">
        <v>100000</v>
      </c>
      <c r="L399" s="2">
        <v>46235</v>
      </c>
      <c r="M399" t="str">
        <f t="shared" si="30"/>
        <v>Admis</v>
      </c>
      <c r="N399" t="str">
        <f t="shared" si="31"/>
        <v>Non Eligible</v>
      </c>
      <c r="O399" t="str">
        <f t="shared" si="32"/>
        <v>RAS</v>
      </c>
      <c r="P399" t="str">
        <f t="shared" si="33"/>
        <v>Hors Data</v>
      </c>
      <c r="Q399">
        <f t="shared" si="34"/>
        <v>12.6075</v>
      </c>
      <c r="R399" t="str" cm="1">
        <f t="array" ref="R399">_xlfn.IFS(Q399&gt;=16, "Excellent",Q399&gt;=14, "Très bien", Q399&gt;=12, "Bien", Q399&gt;=10, "Passable", Q399&lt;10, "Insuffisant")</f>
        <v>Bien</v>
      </c>
    </row>
    <row r="400" spans="1:18">
      <c r="A400" t="s">
        <v>660</v>
      </c>
      <c r="B400" t="s">
        <v>514</v>
      </c>
      <c r="C400" t="s">
        <v>20</v>
      </c>
      <c r="D400" t="s">
        <v>38</v>
      </c>
      <c r="E400" t="s">
        <v>22</v>
      </c>
      <c r="F400">
        <v>12.47</v>
      </c>
      <c r="G400">
        <v>10.71</v>
      </c>
      <c r="H400">
        <v>12.73</v>
      </c>
      <c r="I400">
        <v>12.39</v>
      </c>
      <c r="J400" s="4">
        <v>0.76500000000000001</v>
      </c>
      <c r="K400">
        <v>50000</v>
      </c>
      <c r="L400" s="2">
        <v>46070</v>
      </c>
      <c r="M400" t="str">
        <f t="shared" si="30"/>
        <v>Admis</v>
      </c>
      <c r="N400" t="str">
        <f t="shared" si="31"/>
        <v>Non Eligible</v>
      </c>
      <c r="O400" t="str">
        <f t="shared" si="32"/>
        <v>RAS</v>
      </c>
      <c r="P400" t="str">
        <f t="shared" si="33"/>
        <v>Data</v>
      </c>
      <c r="Q400">
        <f t="shared" si="34"/>
        <v>12.074999999999999</v>
      </c>
      <c r="R400" t="str" cm="1">
        <f t="array" ref="R400">_xlfn.IFS(Q400&gt;=16, "Excellent",Q400&gt;=14, "Très bien", Q400&gt;=12, "Bien", Q400&gt;=10, "Passable", Q400&lt;10, "Insuffisant")</f>
        <v>Bien</v>
      </c>
    </row>
    <row r="401" spans="1:18">
      <c r="A401" t="s">
        <v>661</v>
      </c>
      <c r="B401" t="s">
        <v>662</v>
      </c>
      <c r="C401" t="s">
        <v>20</v>
      </c>
      <c r="D401" t="s">
        <v>26</v>
      </c>
      <c r="E401" t="s">
        <v>27</v>
      </c>
      <c r="F401">
        <v>17</v>
      </c>
      <c r="G401">
        <v>11.3</v>
      </c>
      <c r="H401">
        <v>12.69</v>
      </c>
      <c r="I401">
        <v>9.6300000000000008</v>
      </c>
      <c r="J401" s="4">
        <v>0.94640000000000002</v>
      </c>
      <c r="K401">
        <v>110000</v>
      </c>
      <c r="L401" s="2">
        <v>45854</v>
      </c>
      <c r="M401" t="str">
        <f t="shared" si="30"/>
        <v>Admis</v>
      </c>
      <c r="N401" t="str">
        <f t="shared" si="31"/>
        <v>Eligible</v>
      </c>
      <c r="O401" t="str">
        <f t="shared" si="32"/>
        <v>RAS</v>
      </c>
      <c r="P401" t="str">
        <f t="shared" si="33"/>
        <v>Hors Data</v>
      </c>
      <c r="Q401">
        <f t="shared" si="34"/>
        <v>12.655000000000001</v>
      </c>
      <c r="R401" t="str" cm="1">
        <f t="array" ref="R401">_xlfn.IFS(Q401&gt;=16, "Excellent",Q401&gt;=14, "Très bien", Q401&gt;=12, "Bien", Q401&gt;=10, "Passable", Q401&lt;10, "Insuffisant")</f>
        <v>Bien</v>
      </c>
    </row>
    <row r="402" spans="1:18">
      <c r="A402" t="s">
        <v>663</v>
      </c>
      <c r="B402" t="s">
        <v>79</v>
      </c>
      <c r="C402" t="s">
        <v>25</v>
      </c>
      <c r="D402" t="s">
        <v>41</v>
      </c>
      <c r="E402" t="s">
        <v>27</v>
      </c>
      <c r="F402">
        <v>15.65</v>
      </c>
      <c r="G402">
        <v>19.149999999999999</v>
      </c>
      <c r="H402">
        <v>14.4</v>
      </c>
      <c r="I402">
        <v>11.49</v>
      </c>
      <c r="J402" s="4">
        <v>0.96989999999999998</v>
      </c>
      <c r="K402">
        <v>75000</v>
      </c>
      <c r="L402" s="2">
        <v>45756</v>
      </c>
      <c r="M402" t="str">
        <f t="shared" si="30"/>
        <v>Admis</v>
      </c>
      <c r="N402" t="str">
        <f t="shared" si="31"/>
        <v>Eligible</v>
      </c>
      <c r="O402" t="str">
        <f t="shared" si="32"/>
        <v>RAS</v>
      </c>
      <c r="P402" t="str">
        <f t="shared" si="33"/>
        <v>Hors Data</v>
      </c>
      <c r="Q402">
        <f t="shared" si="34"/>
        <v>15.172499999999999</v>
      </c>
      <c r="R402" t="str" cm="1">
        <f t="array" ref="R402">_xlfn.IFS(Q402&gt;=16, "Excellent",Q402&gt;=14, "Très bien", Q402&gt;=12, "Bien", Q402&gt;=10, "Passable", Q402&lt;10, "Insuffisant")</f>
        <v>Très bien</v>
      </c>
    </row>
    <row r="403" spans="1:18">
      <c r="A403" t="s">
        <v>664</v>
      </c>
      <c r="B403" t="s">
        <v>362</v>
      </c>
      <c r="C403" t="s">
        <v>25</v>
      </c>
      <c r="D403" t="s">
        <v>26</v>
      </c>
      <c r="E403" t="s">
        <v>27</v>
      </c>
      <c r="F403">
        <v>17.21</v>
      </c>
      <c r="G403">
        <v>14.03</v>
      </c>
      <c r="H403">
        <v>16.63</v>
      </c>
      <c r="I403">
        <v>14.41</v>
      </c>
      <c r="J403" s="4">
        <v>0.84499999999999997</v>
      </c>
      <c r="K403">
        <v>100000</v>
      </c>
      <c r="L403" s="2">
        <v>46146</v>
      </c>
      <c r="M403" t="str">
        <f t="shared" si="30"/>
        <v>Admis</v>
      </c>
      <c r="N403" t="str">
        <f t="shared" si="31"/>
        <v>Eligible</v>
      </c>
      <c r="O403" t="str">
        <f t="shared" si="32"/>
        <v>RAS</v>
      </c>
      <c r="P403" t="str">
        <f t="shared" si="33"/>
        <v>Hors Data</v>
      </c>
      <c r="Q403">
        <f t="shared" si="34"/>
        <v>15.57</v>
      </c>
      <c r="R403" t="str" cm="1">
        <f t="array" ref="R403">_xlfn.IFS(Q403&gt;=16, "Excellent",Q403&gt;=14, "Très bien", Q403&gt;=12, "Bien", Q403&gt;=10, "Passable", Q403&lt;10, "Insuffisant")</f>
        <v>Très bien</v>
      </c>
    </row>
    <row r="404" spans="1:18">
      <c r="A404" t="s">
        <v>665</v>
      </c>
      <c r="B404" t="s">
        <v>258</v>
      </c>
      <c r="C404" t="s">
        <v>20</v>
      </c>
      <c r="D404" t="s">
        <v>41</v>
      </c>
      <c r="E404" t="s">
        <v>48</v>
      </c>
      <c r="F404">
        <v>12.9</v>
      </c>
      <c r="G404">
        <v>15.15</v>
      </c>
      <c r="H404">
        <v>16.61</v>
      </c>
      <c r="I404">
        <v>19.309999999999999</v>
      </c>
      <c r="J404" s="4">
        <v>0.91410000000000002</v>
      </c>
      <c r="K404">
        <v>75000</v>
      </c>
      <c r="L404" s="2">
        <v>45716</v>
      </c>
      <c r="M404" t="str">
        <f t="shared" si="30"/>
        <v>Admis</v>
      </c>
      <c r="N404" t="str">
        <f t="shared" si="31"/>
        <v>Eligible</v>
      </c>
      <c r="O404" t="str">
        <f t="shared" si="32"/>
        <v>RAS</v>
      </c>
      <c r="P404" t="str">
        <f t="shared" si="33"/>
        <v>Hors Data</v>
      </c>
      <c r="Q404">
        <f t="shared" si="34"/>
        <v>15.9925</v>
      </c>
      <c r="R404" t="str" cm="1">
        <f t="array" ref="R404">_xlfn.IFS(Q404&gt;=16, "Excellent",Q404&gt;=14, "Très bien", Q404&gt;=12, "Bien", Q404&gt;=10, "Passable", Q404&lt;10, "Insuffisant")</f>
        <v>Très bien</v>
      </c>
    </row>
    <row r="405" spans="1:18">
      <c r="A405" t="s">
        <v>666</v>
      </c>
      <c r="B405" t="s">
        <v>667</v>
      </c>
      <c r="C405" t="s">
        <v>25</v>
      </c>
      <c r="D405" t="s">
        <v>34</v>
      </c>
      <c r="E405" t="s">
        <v>27</v>
      </c>
      <c r="F405">
        <v>9.51</v>
      </c>
      <c r="G405">
        <v>7.81</v>
      </c>
      <c r="H405">
        <v>8.35</v>
      </c>
      <c r="I405">
        <v>10.99</v>
      </c>
      <c r="J405" s="4">
        <v>0.66739999999999999</v>
      </c>
      <c r="K405">
        <v>80000</v>
      </c>
      <c r="L405" s="2">
        <v>45873</v>
      </c>
      <c r="M405" t="str">
        <f t="shared" si="30"/>
        <v>Non admis</v>
      </c>
      <c r="N405" t="str">
        <f t="shared" si="31"/>
        <v>Non Eligible</v>
      </c>
      <c r="O405" t="str">
        <f t="shared" si="32"/>
        <v>A surveiller</v>
      </c>
      <c r="P405" t="str">
        <f t="shared" si="33"/>
        <v>Hors Data</v>
      </c>
      <c r="Q405">
        <f t="shared" si="34"/>
        <v>9.1650000000000009</v>
      </c>
      <c r="R405" t="str" cm="1">
        <f t="array" ref="R405">_xlfn.IFS(Q405&gt;=16, "Excellent",Q405&gt;=14, "Très bien", Q405&gt;=12, "Bien", Q405&gt;=10, "Passable", Q405&lt;10, "Insuffisant")</f>
        <v>Insuffisant</v>
      </c>
    </row>
    <row r="406" spans="1:18">
      <c r="A406" t="s">
        <v>668</v>
      </c>
      <c r="B406" t="s">
        <v>669</v>
      </c>
      <c r="C406" t="s">
        <v>20</v>
      </c>
      <c r="D406" t="s">
        <v>26</v>
      </c>
      <c r="E406" t="s">
        <v>27</v>
      </c>
      <c r="F406">
        <v>13.77</v>
      </c>
      <c r="G406">
        <v>16.27</v>
      </c>
      <c r="H406">
        <v>16.64</v>
      </c>
      <c r="I406">
        <v>18.62</v>
      </c>
      <c r="J406" s="4">
        <v>0.80230000000000001</v>
      </c>
      <c r="K406">
        <v>100000</v>
      </c>
      <c r="L406" s="2">
        <v>46075</v>
      </c>
      <c r="M406" t="str">
        <f t="shared" si="30"/>
        <v>Admis</v>
      </c>
      <c r="N406" t="str">
        <f t="shared" si="31"/>
        <v>Eligible</v>
      </c>
      <c r="O406" t="str">
        <f t="shared" si="32"/>
        <v>RAS</v>
      </c>
      <c r="P406" t="str">
        <f t="shared" si="33"/>
        <v>Hors Data</v>
      </c>
      <c r="Q406">
        <f t="shared" si="34"/>
        <v>16.324999999999999</v>
      </c>
      <c r="R406" t="str" cm="1">
        <f t="array" ref="R406">_xlfn.IFS(Q406&gt;=16, "Excellent",Q406&gt;=14, "Très bien", Q406&gt;=12, "Bien", Q406&gt;=10, "Passable", Q406&lt;10, "Insuffisant")</f>
        <v>Excellent</v>
      </c>
    </row>
    <row r="407" spans="1:18">
      <c r="A407" t="s">
        <v>670</v>
      </c>
      <c r="B407" t="s">
        <v>671</v>
      </c>
      <c r="C407" t="s">
        <v>25</v>
      </c>
      <c r="D407" t="s">
        <v>53</v>
      </c>
      <c r="E407" t="s">
        <v>27</v>
      </c>
      <c r="F407">
        <v>13.66</v>
      </c>
      <c r="G407">
        <v>18.61</v>
      </c>
      <c r="H407">
        <v>20</v>
      </c>
      <c r="I407">
        <v>17.59</v>
      </c>
      <c r="J407" s="4">
        <v>0.92069999999999996</v>
      </c>
      <c r="K407">
        <v>130000</v>
      </c>
      <c r="L407" s="2">
        <v>46181</v>
      </c>
      <c r="M407" t="str">
        <f t="shared" si="30"/>
        <v>Admis</v>
      </c>
      <c r="N407" t="str">
        <f t="shared" si="31"/>
        <v>Eligible</v>
      </c>
      <c r="O407" t="str">
        <f t="shared" si="32"/>
        <v>RAS</v>
      </c>
      <c r="P407" t="str">
        <f t="shared" si="33"/>
        <v>Hors Data</v>
      </c>
      <c r="Q407">
        <f t="shared" si="34"/>
        <v>17.465</v>
      </c>
      <c r="R407" t="str" cm="1">
        <f t="array" ref="R407">_xlfn.IFS(Q407&gt;=16, "Excellent",Q407&gt;=14, "Très bien", Q407&gt;=12, "Bien", Q407&gt;=10, "Passable", Q407&lt;10, "Insuffisant")</f>
        <v>Excellent</v>
      </c>
    </row>
    <row r="408" spans="1:18">
      <c r="A408" t="s">
        <v>672</v>
      </c>
      <c r="B408" t="s">
        <v>337</v>
      </c>
      <c r="C408" t="s">
        <v>20</v>
      </c>
      <c r="D408" t="s">
        <v>41</v>
      </c>
      <c r="E408" t="s">
        <v>27</v>
      </c>
      <c r="F408">
        <v>11.3</v>
      </c>
      <c r="G408">
        <v>13.85</v>
      </c>
      <c r="H408">
        <v>8.94</v>
      </c>
      <c r="I408">
        <v>10.39</v>
      </c>
      <c r="J408" s="4">
        <v>0.87849999999999995</v>
      </c>
      <c r="K408">
        <v>120000</v>
      </c>
      <c r="L408" s="2">
        <v>46180</v>
      </c>
      <c r="M408" t="str">
        <f t="shared" si="30"/>
        <v>Non admis</v>
      </c>
      <c r="N408" t="str">
        <f t="shared" si="31"/>
        <v>Non Eligible</v>
      </c>
      <c r="O408" t="str">
        <f t="shared" si="32"/>
        <v>A surveiller</v>
      </c>
      <c r="P408" t="str">
        <f t="shared" si="33"/>
        <v>Hors Data</v>
      </c>
      <c r="Q408">
        <f t="shared" si="34"/>
        <v>11.12</v>
      </c>
      <c r="R408" t="str" cm="1">
        <f t="array" ref="R408">_xlfn.IFS(Q408&gt;=16, "Excellent",Q408&gt;=14, "Très bien", Q408&gt;=12, "Bien", Q408&gt;=10, "Passable", Q408&lt;10, "Insuffisant")</f>
        <v>Passable</v>
      </c>
    </row>
    <row r="409" spans="1:18">
      <c r="A409" t="s">
        <v>673</v>
      </c>
      <c r="B409" t="s">
        <v>291</v>
      </c>
      <c r="C409" t="s">
        <v>20</v>
      </c>
      <c r="D409" t="s">
        <v>26</v>
      </c>
      <c r="E409" t="s">
        <v>27</v>
      </c>
      <c r="F409">
        <v>14.47</v>
      </c>
      <c r="G409">
        <v>12.04</v>
      </c>
      <c r="H409">
        <v>12.67</v>
      </c>
      <c r="I409">
        <v>12.34</v>
      </c>
      <c r="J409" s="4">
        <v>0.66169999999999995</v>
      </c>
      <c r="K409">
        <v>100000</v>
      </c>
      <c r="L409" s="2">
        <v>45597</v>
      </c>
      <c r="M409" t="str">
        <f t="shared" si="30"/>
        <v>Admis</v>
      </c>
      <c r="N409" t="str">
        <f t="shared" si="31"/>
        <v>Non Eligible</v>
      </c>
      <c r="O409" t="str">
        <f t="shared" si="32"/>
        <v>RAS</v>
      </c>
      <c r="P409" t="str">
        <f t="shared" si="33"/>
        <v>Hors Data</v>
      </c>
      <c r="Q409">
        <f t="shared" si="34"/>
        <v>12.879999999999999</v>
      </c>
      <c r="R409" t="str" cm="1">
        <f t="array" ref="R409">_xlfn.IFS(Q409&gt;=16, "Excellent",Q409&gt;=14, "Très bien", Q409&gt;=12, "Bien", Q409&gt;=10, "Passable", Q409&lt;10, "Insuffisant")</f>
        <v>Bien</v>
      </c>
    </row>
    <row r="410" spans="1:18">
      <c r="A410" t="s">
        <v>674</v>
      </c>
      <c r="B410" t="s">
        <v>675</v>
      </c>
      <c r="C410" t="s">
        <v>25</v>
      </c>
      <c r="D410" t="s">
        <v>38</v>
      </c>
      <c r="E410" t="s">
        <v>35</v>
      </c>
      <c r="F410">
        <v>15.77</v>
      </c>
      <c r="G410">
        <v>16.079999999999998</v>
      </c>
      <c r="H410">
        <v>16.95</v>
      </c>
      <c r="I410">
        <v>12.14</v>
      </c>
      <c r="J410" s="4">
        <v>0.86729999999999996</v>
      </c>
      <c r="K410">
        <v>85000</v>
      </c>
      <c r="L410" s="2">
        <v>46164</v>
      </c>
      <c r="M410" t="str">
        <f t="shared" si="30"/>
        <v>Admis</v>
      </c>
      <c r="N410" t="str">
        <f t="shared" si="31"/>
        <v>Eligible</v>
      </c>
      <c r="O410" t="str">
        <f t="shared" si="32"/>
        <v>RAS</v>
      </c>
      <c r="P410" t="str">
        <f t="shared" si="33"/>
        <v>Hors Data</v>
      </c>
      <c r="Q410">
        <f t="shared" si="34"/>
        <v>15.234999999999999</v>
      </c>
      <c r="R410" t="str" cm="1">
        <f t="array" ref="R410">_xlfn.IFS(Q410&gt;=16, "Excellent",Q410&gt;=14, "Très bien", Q410&gt;=12, "Bien", Q410&gt;=10, "Passable", Q410&lt;10, "Insuffisant")</f>
        <v>Très bien</v>
      </c>
    </row>
    <row r="411" spans="1:18">
      <c r="A411" t="s">
        <v>676</v>
      </c>
      <c r="B411" t="s">
        <v>417</v>
      </c>
      <c r="C411" t="s">
        <v>20</v>
      </c>
      <c r="D411" t="s">
        <v>21</v>
      </c>
      <c r="E411" t="s">
        <v>48</v>
      </c>
      <c r="F411">
        <v>11.16</v>
      </c>
      <c r="G411">
        <v>16.690000000000001</v>
      </c>
      <c r="H411">
        <v>15.78</v>
      </c>
      <c r="I411">
        <v>17.48</v>
      </c>
      <c r="J411" s="4">
        <v>0.80100000000000005</v>
      </c>
      <c r="K411">
        <v>85000</v>
      </c>
      <c r="L411" s="2">
        <v>45615</v>
      </c>
      <c r="M411" t="str">
        <f t="shared" si="30"/>
        <v>Admis</v>
      </c>
      <c r="N411" t="str">
        <f t="shared" si="31"/>
        <v>Non Eligible</v>
      </c>
      <c r="O411" t="str">
        <f t="shared" si="32"/>
        <v>RAS</v>
      </c>
      <c r="P411" t="str">
        <f t="shared" si="33"/>
        <v>Hors Data</v>
      </c>
      <c r="Q411">
        <f t="shared" si="34"/>
        <v>15.2775</v>
      </c>
      <c r="R411" t="str" cm="1">
        <f t="array" ref="R411">_xlfn.IFS(Q411&gt;=16, "Excellent",Q411&gt;=14, "Très bien", Q411&gt;=12, "Bien", Q411&gt;=10, "Passable", Q411&lt;10, "Insuffisant")</f>
        <v>Très bien</v>
      </c>
    </row>
    <row r="412" spans="1:18">
      <c r="A412" t="s">
        <v>677</v>
      </c>
      <c r="B412" t="s">
        <v>564</v>
      </c>
      <c r="C412" t="s">
        <v>20</v>
      </c>
      <c r="D412" t="s">
        <v>34</v>
      </c>
      <c r="E412" t="s">
        <v>35</v>
      </c>
      <c r="F412">
        <v>18.04</v>
      </c>
      <c r="G412">
        <v>15.25</v>
      </c>
      <c r="H412">
        <v>17.36</v>
      </c>
      <c r="I412">
        <v>14.04</v>
      </c>
      <c r="J412" s="4">
        <v>0.77969999999999995</v>
      </c>
      <c r="K412">
        <v>130000</v>
      </c>
      <c r="L412" s="2">
        <v>45945</v>
      </c>
      <c r="M412" t="str">
        <f t="shared" si="30"/>
        <v>Admis</v>
      </c>
      <c r="N412" t="str">
        <f t="shared" si="31"/>
        <v>Non Eligible</v>
      </c>
      <c r="O412" t="str">
        <f t="shared" si="32"/>
        <v>RAS</v>
      </c>
      <c r="P412" t="str">
        <f t="shared" si="33"/>
        <v>Hors Data</v>
      </c>
      <c r="Q412">
        <f t="shared" si="34"/>
        <v>16.172499999999999</v>
      </c>
      <c r="R412" t="str" cm="1">
        <f t="array" ref="R412">_xlfn.IFS(Q412&gt;=16, "Excellent",Q412&gt;=14, "Très bien", Q412&gt;=12, "Bien", Q412&gt;=10, "Passable", Q412&lt;10, "Insuffisant")</f>
        <v>Excellent</v>
      </c>
    </row>
    <row r="413" spans="1:18">
      <c r="A413" t="s">
        <v>678</v>
      </c>
      <c r="B413" t="s">
        <v>679</v>
      </c>
      <c r="C413" t="s">
        <v>20</v>
      </c>
      <c r="D413" t="s">
        <v>53</v>
      </c>
      <c r="E413" t="s">
        <v>27</v>
      </c>
      <c r="F413">
        <v>11.69</v>
      </c>
      <c r="G413">
        <v>15.59</v>
      </c>
      <c r="H413">
        <v>14.88</v>
      </c>
      <c r="I413">
        <v>19.7</v>
      </c>
      <c r="J413" s="4">
        <v>0.6956</v>
      </c>
      <c r="K413">
        <v>70000</v>
      </c>
      <c r="L413" s="2">
        <v>46186</v>
      </c>
      <c r="M413" t="str">
        <f t="shared" si="30"/>
        <v>Admis</v>
      </c>
      <c r="N413" t="str">
        <f t="shared" si="31"/>
        <v>Non Eligible</v>
      </c>
      <c r="O413" t="str">
        <f t="shared" si="32"/>
        <v>RAS</v>
      </c>
      <c r="P413" t="str">
        <f t="shared" si="33"/>
        <v>Hors Data</v>
      </c>
      <c r="Q413">
        <f t="shared" si="34"/>
        <v>15.465</v>
      </c>
      <c r="R413" t="str" cm="1">
        <f t="array" ref="R413">_xlfn.IFS(Q413&gt;=16, "Excellent",Q413&gt;=14, "Très bien", Q413&gt;=12, "Bien", Q413&gt;=10, "Passable", Q413&lt;10, "Insuffisant")</f>
        <v>Très bien</v>
      </c>
    </row>
    <row r="414" spans="1:18">
      <c r="A414" t="s">
        <v>680</v>
      </c>
      <c r="B414" t="s">
        <v>555</v>
      </c>
      <c r="C414" t="s">
        <v>20</v>
      </c>
      <c r="D414" t="s">
        <v>26</v>
      </c>
      <c r="E414" t="s">
        <v>27</v>
      </c>
      <c r="F414">
        <v>20</v>
      </c>
      <c r="G414">
        <v>18.690000000000001</v>
      </c>
      <c r="H414">
        <v>17.28</v>
      </c>
      <c r="I414">
        <v>16.72</v>
      </c>
      <c r="J414" s="4">
        <v>0.95930000000000004</v>
      </c>
      <c r="K414">
        <v>130000</v>
      </c>
      <c r="L414" s="2">
        <v>45994</v>
      </c>
      <c r="M414" t="str">
        <f t="shared" si="30"/>
        <v>Admis</v>
      </c>
      <c r="N414" t="str">
        <f t="shared" si="31"/>
        <v>Eligible</v>
      </c>
      <c r="O414" t="str">
        <f t="shared" si="32"/>
        <v>RAS</v>
      </c>
      <c r="P414" t="str">
        <f t="shared" si="33"/>
        <v>Hors Data</v>
      </c>
      <c r="Q414">
        <f t="shared" si="34"/>
        <v>18.172499999999999</v>
      </c>
      <c r="R414" t="str" cm="1">
        <f t="array" ref="R414">_xlfn.IFS(Q414&gt;=16, "Excellent",Q414&gt;=14, "Très bien", Q414&gt;=12, "Bien", Q414&gt;=10, "Passable", Q414&lt;10, "Insuffisant")</f>
        <v>Excellent</v>
      </c>
    </row>
    <row r="415" spans="1:18">
      <c r="A415" t="s">
        <v>681</v>
      </c>
      <c r="B415" t="s">
        <v>117</v>
      </c>
      <c r="C415" t="s">
        <v>20</v>
      </c>
      <c r="D415" t="s">
        <v>38</v>
      </c>
      <c r="E415" t="s">
        <v>27</v>
      </c>
      <c r="F415">
        <v>19.18</v>
      </c>
      <c r="G415">
        <v>20</v>
      </c>
      <c r="H415">
        <v>13.21</v>
      </c>
      <c r="I415">
        <v>20</v>
      </c>
      <c r="J415" s="4">
        <v>0.72550000000000003</v>
      </c>
      <c r="K415">
        <v>100000</v>
      </c>
      <c r="L415" s="2">
        <v>46199</v>
      </c>
      <c r="M415" t="str">
        <f t="shared" si="30"/>
        <v>Admis</v>
      </c>
      <c r="N415" t="str">
        <f t="shared" si="31"/>
        <v>Non Eligible</v>
      </c>
      <c r="O415" t="str">
        <f t="shared" si="32"/>
        <v>RAS</v>
      </c>
      <c r="P415" t="str">
        <f t="shared" si="33"/>
        <v>Hors Data</v>
      </c>
      <c r="Q415">
        <f t="shared" si="34"/>
        <v>18.0975</v>
      </c>
      <c r="R415" t="str" cm="1">
        <f t="array" ref="R415">_xlfn.IFS(Q415&gt;=16, "Excellent",Q415&gt;=14, "Très bien", Q415&gt;=12, "Bien", Q415&gt;=10, "Passable", Q415&lt;10, "Insuffisant")</f>
        <v>Excellent</v>
      </c>
    </row>
    <row r="416" spans="1:18">
      <c r="A416" t="s">
        <v>682</v>
      </c>
      <c r="B416" t="s">
        <v>683</v>
      </c>
      <c r="C416" t="s">
        <v>20</v>
      </c>
      <c r="D416" t="s">
        <v>53</v>
      </c>
      <c r="E416" t="s">
        <v>48</v>
      </c>
      <c r="F416">
        <v>6.74</v>
      </c>
      <c r="G416">
        <v>8.3000000000000007</v>
      </c>
      <c r="H416">
        <v>2.11</v>
      </c>
      <c r="I416">
        <v>5.03</v>
      </c>
      <c r="J416" s="4">
        <v>0.77539999999999998</v>
      </c>
      <c r="K416">
        <v>90000</v>
      </c>
      <c r="L416" s="2">
        <v>45777</v>
      </c>
      <c r="M416" t="str">
        <f t="shared" si="30"/>
        <v>Non admis</v>
      </c>
      <c r="N416" t="str">
        <f t="shared" si="31"/>
        <v>Non Eligible</v>
      </c>
      <c r="O416" t="str">
        <f t="shared" si="32"/>
        <v>A surveiller</v>
      </c>
      <c r="P416" t="str">
        <f t="shared" si="33"/>
        <v>Hors Data</v>
      </c>
      <c r="Q416">
        <f t="shared" si="34"/>
        <v>5.5450000000000008</v>
      </c>
      <c r="R416" t="str" cm="1">
        <f t="array" ref="R416">_xlfn.IFS(Q416&gt;=16, "Excellent",Q416&gt;=14, "Très bien", Q416&gt;=12, "Bien", Q416&gt;=10, "Passable", Q416&lt;10, "Insuffisant")</f>
        <v>Insuffisant</v>
      </c>
    </row>
    <row r="417" spans="1:18">
      <c r="A417" t="s">
        <v>684</v>
      </c>
      <c r="B417" t="s">
        <v>148</v>
      </c>
      <c r="C417" t="s">
        <v>25</v>
      </c>
      <c r="D417" t="s">
        <v>38</v>
      </c>
      <c r="E417" t="s">
        <v>35</v>
      </c>
      <c r="F417">
        <v>10.73</v>
      </c>
      <c r="G417">
        <v>10.68</v>
      </c>
      <c r="H417">
        <v>8.77</v>
      </c>
      <c r="I417">
        <v>15.45</v>
      </c>
      <c r="J417" s="4">
        <v>0.80400000000000005</v>
      </c>
      <c r="K417">
        <v>90000</v>
      </c>
      <c r="L417" s="2">
        <v>45756</v>
      </c>
      <c r="M417" t="str">
        <f t="shared" si="30"/>
        <v>Non admis</v>
      </c>
      <c r="N417" t="str">
        <f t="shared" si="31"/>
        <v>Non Eligible</v>
      </c>
      <c r="O417" t="str">
        <f t="shared" si="32"/>
        <v>A surveiller</v>
      </c>
      <c r="P417" t="str">
        <f t="shared" si="33"/>
        <v>Hors Data</v>
      </c>
      <c r="Q417">
        <f t="shared" si="34"/>
        <v>11.407499999999999</v>
      </c>
      <c r="R417" t="str" cm="1">
        <f t="array" ref="R417">_xlfn.IFS(Q417&gt;=16, "Excellent",Q417&gt;=14, "Très bien", Q417&gt;=12, "Bien", Q417&gt;=10, "Passable", Q417&lt;10, "Insuffisant")</f>
        <v>Passable</v>
      </c>
    </row>
    <row r="418" spans="1:18">
      <c r="A418" t="s">
        <v>685</v>
      </c>
      <c r="B418" t="s">
        <v>346</v>
      </c>
      <c r="C418" t="s">
        <v>25</v>
      </c>
      <c r="D418" t="s">
        <v>41</v>
      </c>
      <c r="E418" t="s">
        <v>22</v>
      </c>
      <c r="F418">
        <v>13.37</v>
      </c>
      <c r="G418">
        <v>15.19</v>
      </c>
      <c r="H418">
        <v>14.07</v>
      </c>
      <c r="I418">
        <v>16.670000000000002</v>
      </c>
      <c r="J418" s="4">
        <v>0.88229999999999997</v>
      </c>
      <c r="K418">
        <v>110000</v>
      </c>
      <c r="L418" s="2">
        <v>45764</v>
      </c>
      <c r="M418" t="str">
        <f t="shared" si="30"/>
        <v>Admis</v>
      </c>
      <c r="N418" t="str">
        <f t="shared" si="31"/>
        <v>Eligible</v>
      </c>
      <c r="O418" t="str">
        <f t="shared" si="32"/>
        <v>RAS</v>
      </c>
      <c r="P418" t="str">
        <f t="shared" si="33"/>
        <v>Data</v>
      </c>
      <c r="Q418">
        <f t="shared" si="34"/>
        <v>14.824999999999999</v>
      </c>
      <c r="R418" t="str" cm="1">
        <f t="array" ref="R418">_xlfn.IFS(Q418&gt;=16, "Excellent",Q418&gt;=14, "Très bien", Q418&gt;=12, "Bien", Q418&gt;=10, "Passable", Q418&lt;10, "Insuffisant")</f>
        <v>Très bien</v>
      </c>
    </row>
    <row r="419" spans="1:18">
      <c r="A419" t="s">
        <v>686</v>
      </c>
      <c r="B419" t="s">
        <v>251</v>
      </c>
      <c r="C419" t="s">
        <v>20</v>
      </c>
      <c r="D419" t="s">
        <v>38</v>
      </c>
      <c r="E419" t="s">
        <v>48</v>
      </c>
      <c r="F419">
        <v>7.56</v>
      </c>
      <c r="G419">
        <v>10.96</v>
      </c>
      <c r="H419">
        <v>5.8</v>
      </c>
      <c r="I419">
        <v>6.24</v>
      </c>
      <c r="J419" s="4">
        <v>0.61419999999999997</v>
      </c>
      <c r="K419">
        <v>100000</v>
      </c>
      <c r="L419" s="2">
        <v>45784</v>
      </c>
      <c r="M419" t="str">
        <f t="shared" si="30"/>
        <v>Non admis</v>
      </c>
      <c r="N419" t="str">
        <f t="shared" si="31"/>
        <v>Non Eligible</v>
      </c>
      <c r="O419" t="str">
        <f t="shared" si="32"/>
        <v>A surveiller</v>
      </c>
      <c r="P419" t="str">
        <f t="shared" si="33"/>
        <v>Hors Data</v>
      </c>
      <c r="Q419">
        <f t="shared" si="34"/>
        <v>7.6400000000000006</v>
      </c>
      <c r="R419" t="str" cm="1">
        <f t="array" ref="R419">_xlfn.IFS(Q419&gt;=16, "Excellent",Q419&gt;=14, "Très bien", Q419&gt;=12, "Bien", Q419&gt;=10, "Passable", Q419&lt;10, "Insuffisant")</f>
        <v>Insuffisant</v>
      </c>
    </row>
    <row r="420" spans="1:18">
      <c r="A420" t="s">
        <v>687</v>
      </c>
      <c r="B420" t="s">
        <v>372</v>
      </c>
      <c r="C420" t="s">
        <v>20</v>
      </c>
      <c r="D420" t="s">
        <v>34</v>
      </c>
      <c r="E420" t="s">
        <v>48</v>
      </c>
      <c r="F420">
        <v>13.83</v>
      </c>
      <c r="G420">
        <v>14.86</v>
      </c>
      <c r="H420">
        <v>16.73</v>
      </c>
      <c r="I420">
        <v>12.6</v>
      </c>
      <c r="J420" s="4">
        <v>0.75819999999999999</v>
      </c>
      <c r="K420">
        <v>60000</v>
      </c>
      <c r="L420" s="2">
        <v>46013</v>
      </c>
      <c r="M420" t="str">
        <f t="shared" si="30"/>
        <v>Admis</v>
      </c>
      <c r="N420" t="str">
        <f t="shared" si="31"/>
        <v>Non Eligible</v>
      </c>
      <c r="O420" t="str">
        <f t="shared" si="32"/>
        <v>RAS</v>
      </c>
      <c r="P420" t="str">
        <f t="shared" si="33"/>
        <v>Hors Data</v>
      </c>
      <c r="Q420">
        <f t="shared" si="34"/>
        <v>14.505000000000001</v>
      </c>
      <c r="R420" t="str" cm="1">
        <f t="array" ref="R420">_xlfn.IFS(Q420&gt;=16, "Excellent",Q420&gt;=14, "Très bien", Q420&gt;=12, "Bien", Q420&gt;=10, "Passable", Q420&lt;10, "Insuffisant")</f>
        <v>Très bien</v>
      </c>
    </row>
    <row r="421" spans="1:18">
      <c r="A421" t="s">
        <v>688</v>
      </c>
      <c r="B421" t="s">
        <v>270</v>
      </c>
      <c r="C421" t="s">
        <v>25</v>
      </c>
      <c r="D421" t="s">
        <v>26</v>
      </c>
      <c r="E421" t="s">
        <v>48</v>
      </c>
      <c r="F421">
        <v>16.45</v>
      </c>
      <c r="G421">
        <v>19.89</v>
      </c>
      <c r="H421">
        <v>17.260000000000002</v>
      </c>
      <c r="I421">
        <v>14.62</v>
      </c>
      <c r="J421" s="4">
        <v>0.89410000000000001</v>
      </c>
      <c r="K421">
        <v>110000</v>
      </c>
      <c r="L421" s="2">
        <v>45852</v>
      </c>
      <c r="M421" t="str">
        <f t="shared" si="30"/>
        <v>Admis</v>
      </c>
      <c r="N421" t="str">
        <f t="shared" si="31"/>
        <v>Eligible</v>
      </c>
      <c r="O421" t="str">
        <f t="shared" si="32"/>
        <v>RAS</v>
      </c>
      <c r="P421" t="str">
        <f t="shared" si="33"/>
        <v>Hors Data</v>
      </c>
      <c r="Q421">
        <f t="shared" si="34"/>
        <v>17.055000000000003</v>
      </c>
      <c r="R421" t="str" cm="1">
        <f t="array" ref="R421">_xlfn.IFS(Q421&gt;=16, "Excellent",Q421&gt;=14, "Très bien", Q421&gt;=12, "Bien", Q421&gt;=10, "Passable", Q421&lt;10, "Insuffisant")</f>
        <v>Excellent</v>
      </c>
    </row>
    <row r="422" spans="1:18">
      <c r="A422" t="s">
        <v>689</v>
      </c>
      <c r="B422" t="s">
        <v>690</v>
      </c>
      <c r="C422" t="s">
        <v>25</v>
      </c>
      <c r="D422" t="s">
        <v>53</v>
      </c>
      <c r="E422" t="s">
        <v>48</v>
      </c>
      <c r="F422">
        <v>5.97</v>
      </c>
      <c r="G422">
        <v>11.27</v>
      </c>
      <c r="H422">
        <v>10.119999999999999</v>
      </c>
      <c r="I422">
        <v>7.65</v>
      </c>
      <c r="J422" s="4">
        <v>0.6915</v>
      </c>
      <c r="K422">
        <v>110000</v>
      </c>
      <c r="L422" s="2">
        <v>46052</v>
      </c>
      <c r="M422" t="str">
        <f t="shared" si="30"/>
        <v>Admis</v>
      </c>
      <c r="N422" t="str">
        <f t="shared" si="31"/>
        <v>Non Eligible</v>
      </c>
      <c r="O422" t="str">
        <f t="shared" si="32"/>
        <v>A surveiller</v>
      </c>
      <c r="P422" t="str">
        <f t="shared" si="33"/>
        <v>Hors Data</v>
      </c>
      <c r="Q422">
        <f t="shared" si="34"/>
        <v>8.7524999999999995</v>
      </c>
      <c r="R422" t="str" cm="1">
        <f t="array" ref="R422">_xlfn.IFS(Q422&gt;=16, "Excellent",Q422&gt;=14, "Très bien", Q422&gt;=12, "Bien", Q422&gt;=10, "Passable", Q422&lt;10, "Insuffisant")</f>
        <v>Insuffisant</v>
      </c>
    </row>
    <row r="423" spans="1:18">
      <c r="A423" t="s">
        <v>691</v>
      </c>
      <c r="B423" t="s">
        <v>477</v>
      </c>
      <c r="C423" t="s">
        <v>25</v>
      </c>
      <c r="D423" t="s">
        <v>26</v>
      </c>
      <c r="E423" t="s">
        <v>27</v>
      </c>
      <c r="F423">
        <v>16.91</v>
      </c>
      <c r="G423">
        <v>15.28</v>
      </c>
      <c r="H423">
        <v>12.79</v>
      </c>
      <c r="I423">
        <v>15.81</v>
      </c>
      <c r="J423" s="4">
        <v>0.8911</v>
      </c>
      <c r="K423">
        <v>130000</v>
      </c>
      <c r="L423" s="2">
        <v>45827</v>
      </c>
      <c r="M423" t="str">
        <f t="shared" si="30"/>
        <v>Admis</v>
      </c>
      <c r="N423" t="str">
        <f t="shared" si="31"/>
        <v>Eligible</v>
      </c>
      <c r="O423" t="str">
        <f t="shared" si="32"/>
        <v>RAS</v>
      </c>
      <c r="P423" t="str">
        <f t="shared" si="33"/>
        <v>Hors Data</v>
      </c>
      <c r="Q423">
        <f t="shared" si="34"/>
        <v>15.1975</v>
      </c>
      <c r="R423" t="str" cm="1">
        <f t="array" ref="R423">_xlfn.IFS(Q423&gt;=16, "Excellent",Q423&gt;=14, "Très bien", Q423&gt;=12, "Bien", Q423&gt;=10, "Passable", Q423&lt;10, "Insuffisant")</f>
        <v>Très bien</v>
      </c>
    </row>
    <row r="424" spans="1:18">
      <c r="A424" t="s">
        <v>692</v>
      </c>
      <c r="B424" t="s">
        <v>655</v>
      </c>
      <c r="C424" t="s">
        <v>25</v>
      </c>
      <c r="D424" t="s">
        <v>38</v>
      </c>
      <c r="E424" t="s">
        <v>22</v>
      </c>
      <c r="F424">
        <v>10.76</v>
      </c>
      <c r="G424">
        <v>11.6</v>
      </c>
      <c r="H424">
        <v>12.5</v>
      </c>
      <c r="I424">
        <v>10.4</v>
      </c>
      <c r="J424" s="4">
        <v>0.83109999999999995</v>
      </c>
      <c r="K424">
        <v>130000</v>
      </c>
      <c r="L424" s="2">
        <v>45751</v>
      </c>
      <c r="M424" t="str">
        <f t="shared" si="30"/>
        <v>Admis</v>
      </c>
      <c r="N424" t="str">
        <f t="shared" si="31"/>
        <v>Non Eligible</v>
      </c>
      <c r="O424" t="str">
        <f t="shared" si="32"/>
        <v>RAS</v>
      </c>
      <c r="P424" t="str">
        <f t="shared" si="33"/>
        <v>Data</v>
      </c>
      <c r="Q424">
        <f t="shared" si="34"/>
        <v>11.315</v>
      </c>
      <c r="R424" t="str" cm="1">
        <f t="array" ref="R424">_xlfn.IFS(Q424&gt;=16, "Excellent",Q424&gt;=14, "Très bien", Q424&gt;=12, "Bien", Q424&gt;=10, "Passable", Q424&lt;10, "Insuffisant")</f>
        <v>Passable</v>
      </c>
    </row>
    <row r="425" spans="1:18">
      <c r="A425" t="s">
        <v>693</v>
      </c>
      <c r="B425" t="s">
        <v>455</v>
      </c>
      <c r="C425" t="s">
        <v>25</v>
      </c>
      <c r="D425" t="s">
        <v>26</v>
      </c>
      <c r="E425" t="s">
        <v>35</v>
      </c>
      <c r="F425">
        <v>10.55</v>
      </c>
      <c r="G425">
        <v>7.58</v>
      </c>
      <c r="H425">
        <v>10.050000000000001</v>
      </c>
      <c r="I425">
        <v>11.63</v>
      </c>
      <c r="J425" s="4">
        <v>0.75629999999999997</v>
      </c>
      <c r="K425">
        <v>130000</v>
      </c>
      <c r="L425" s="2">
        <v>45669</v>
      </c>
      <c r="M425" t="str">
        <f t="shared" si="30"/>
        <v>Admis</v>
      </c>
      <c r="N425" t="str">
        <f t="shared" si="31"/>
        <v>Non Eligible</v>
      </c>
      <c r="O425" t="str">
        <f t="shared" si="32"/>
        <v>RAS</v>
      </c>
      <c r="P425" t="str">
        <f t="shared" si="33"/>
        <v>Hors Data</v>
      </c>
      <c r="Q425">
        <f t="shared" si="34"/>
        <v>9.9525000000000006</v>
      </c>
      <c r="R425" t="str" cm="1">
        <f t="array" ref="R425">_xlfn.IFS(Q425&gt;=16, "Excellent",Q425&gt;=14, "Très bien", Q425&gt;=12, "Bien", Q425&gt;=10, "Passable", Q425&lt;10, "Insuffisant")</f>
        <v>Insuffisant</v>
      </c>
    </row>
    <row r="426" spans="1:18">
      <c r="A426" t="s">
        <v>694</v>
      </c>
      <c r="B426" t="s">
        <v>555</v>
      </c>
      <c r="C426" t="s">
        <v>20</v>
      </c>
      <c r="D426" t="s">
        <v>38</v>
      </c>
      <c r="E426" t="s">
        <v>48</v>
      </c>
      <c r="F426">
        <v>16.399999999999999</v>
      </c>
      <c r="G426">
        <v>17.86</v>
      </c>
      <c r="H426">
        <v>15.67</v>
      </c>
      <c r="I426">
        <v>18.760000000000002</v>
      </c>
      <c r="J426" s="4">
        <v>0.61680000000000001</v>
      </c>
      <c r="K426">
        <v>50000</v>
      </c>
      <c r="L426" s="2">
        <v>45921</v>
      </c>
      <c r="M426" t="str">
        <f t="shared" si="30"/>
        <v>Admis</v>
      </c>
      <c r="N426" t="str">
        <f t="shared" si="31"/>
        <v>Non Eligible</v>
      </c>
      <c r="O426" t="str">
        <f t="shared" si="32"/>
        <v>RAS</v>
      </c>
      <c r="P426" t="str">
        <f t="shared" si="33"/>
        <v>Hors Data</v>
      </c>
      <c r="Q426">
        <f t="shared" si="34"/>
        <v>17.172499999999999</v>
      </c>
      <c r="R426" t="str" cm="1">
        <f t="array" ref="R426">_xlfn.IFS(Q426&gt;=16, "Excellent",Q426&gt;=14, "Très bien", Q426&gt;=12, "Bien", Q426&gt;=10, "Passable", Q426&lt;10, "Insuffisant")</f>
        <v>Excellent</v>
      </c>
    </row>
    <row r="427" spans="1:18">
      <c r="A427" t="s">
        <v>695</v>
      </c>
      <c r="B427" t="s">
        <v>264</v>
      </c>
      <c r="C427" t="s">
        <v>20</v>
      </c>
      <c r="D427" t="s">
        <v>53</v>
      </c>
      <c r="E427" t="s">
        <v>27</v>
      </c>
      <c r="F427">
        <v>12.77</v>
      </c>
      <c r="G427">
        <v>10.91</v>
      </c>
      <c r="H427">
        <v>14.8</v>
      </c>
      <c r="I427">
        <v>7.79</v>
      </c>
      <c r="J427" s="4">
        <v>0.90069999999999995</v>
      </c>
      <c r="K427">
        <v>90000</v>
      </c>
      <c r="L427" s="2">
        <v>46164</v>
      </c>
      <c r="M427" t="str">
        <f t="shared" si="30"/>
        <v>Admis</v>
      </c>
      <c r="N427" t="str">
        <f t="shared" si="31"/>
        <v>Eligible</v>
      </c>
      <c r="O427" t="str">
        <f t="shared" si="32"/>
        <v>RAS</v>
      </c>
      <c r="P427" t="str">
        <f t="shared" si="33"/>
        <v>Hors Data</v>
      </c>
      <c r="Q427">
        <f t="shared" si="34"/>
        <v>11.567500000000001</v>
      </c>
      <c r="R427" t="str" cm="1">
        <f t="array" ref="R427">_xlfn.IFS(Q427&gt;=16, "Excellent",Q427&gt;=14, "Très bien", Q427&gt;=12, "Bien", Q427&gt;=10, "Passable", Q427&lt;10, "Insuffisant")</f>
        <v>Passable</v>
      </c>
    </row>
    <row r="428" spans="1:18">
      <c r="A428" t="s">
        <v>696</v>
      </c>
      <c r="B428" t="s">
        <v>697</v>
      </c>
      <c r="C428" t="s">
        <v>25</v>
      </c>
      <c r="D428" t="s">
        <v>26</v>
      </c>
      <c r="E428" t="s">
        <v>27</v>
      </c>
      <c r="F428">
        <v>12.83</v>
      </c>
      <c r="G428">
        <v>12.58</v>
      </c>
      <c r="H428">
        <v>15.77</v>
      </c>
      <c r="I428">
        <v>17.53</v>
      </c>
      <c r="J428" s="4">
        <v>0.89200000000000002</v>
      </c>
      <c r="K428">
        <v>130000</v>
      </c>
      <c r="L428" s="2">
        <v>46137</v>
      </c>
      <c r="M428" t="str">
        <f t="shared" si="30"/>
        <v>Admis</v>
      </c>
      <c r="N428" t="str">
        <f t="shared" si="31"/>
        <v>Eligible</v>
      </c>
      <c r="O428" t="str">
        <f t="shared" si="32"/>
        <v>RAS</v>
      </c>
      <c r="P428" t="str">
        <f t="shared" si="33"/>
        <v>Hors Data</v>
      </c>
      <c r="Q428">
        <f t="shared" si="34"/>
        <v>14.6775</v>
      </c>
      <c r="R428" t="str" cm="1">
        <f t="array" ref="R428">_xlfn.IFS(Q428&gt;=16, "Excellent",Q428&gt;=14, "Très bien", Q428&gt;=12, "Bien", Q428&gt;=10, "Passable", Q428&lt;10, "Insuffisant")</f>
        <v>Très bien</v>
      </c>
    </row>
    <row r="429" spans="1:18">
      <c r="A429" t="s">
        <v>698</v>
      </c>
      <c r="B429" t="s">
        <v>699</v>
      </c>
      <c r="C429" t="s">
        <v>25</v>
      </c>
      <c r="D429" t="s">
        <v>26</v>
      </c>
      <c r="E429" t="s">
        <v>27</v>
      </c>
      <c r="F429">
        <v>3.3</v>
      </c>
      <c r="G429">
        <v>11.82</v>
      </c>
      <c r="H429">
        <v>7.94</v>
      </c>
      <c r="I429">
        <v>7.39</v>
      </c>
      <c r="J429" s="4">
        <v>0.89590000000000003</v>
      </c>
      <c r="K429">
        <v>130000</v>
      </c>
      <c r="L429" s="2">
        <v>45713</v>
      </c>
      <c r="M429" t="str">
        <f t="shared" si="30"/>
        <v>Non admis</v>
      </c>
      <c r="N429" t="str">
        <f t="shared" si="31"/>
        <v>Non Eligible</v>
      </c>
      <c r="O429" t="str">
        <f t="shared" si="32"/>
        <v>A surveiller</v>
      </c>
      <c r="P429" t="str">
        <f t="shared" si="33"/>
        <v>Hors Data</v>
      </c>
      <c r="Q429">
        <f t="shared" si="34"/>
        <v>7.6125000000000007</v>
      </c>
      <c r="R429" t="str" cm="1">
        <f t="array" ref="R429">_xlfn.IFS(Q429&gt;=16, "Excellent",Q429&gt;=14, "Très bien", Q429&gt;=12, "Bien", Q429&gt;=10, "Passable", Q429&lt;10, "Insuffisant")</f>
        <v>Insuffisant</v>
      </c>
    </row>
    <row r="430" spans="1:18">
      <c r="A430" t="s">
        <v>700</v>
      </c>
      <c r="B430" t="s">
        <v>258</v>
      </c>
      <c r="C430" t="s">
        <v>20</v>
      </c>
      <c r="D430" t="s">
        <v>41</v>
      </c>
      <c r="E430" t="s">
        <v>27</v>
      </c>
      <c r="F430">
        <v>19.61</v>
      </c>
      <c r="G430">
        <v>20</v>
      </c>
      <c r="H430">
        <v>20</v>
      </c>
      <c r="I430">
        <v>19.79</v>
      </c>
      <c r="J430" s="4">
        <v>0.74160000000000004</v>
      </c>
      <c r="K430">
        <v>90000</v>
      </c>
      <c r="L430" s="2">
        <v>45870</v>
      </c>
      <c r="M430" t="str">
        <f t="shared" si="30"/>
        <v>Admis</v>
      </c>
      <c r="N430" t="str">
        <f t="shared" si="31"/>
        <v>Non Eligible</v>
      </c>
      <c r="O430" t="str">
        <f t="shared" si="32"/>
        <v>RAS</v>
      </c>
      <c r="P430" t="str">
        <f t="shared" si="33"/>
        <v>Hors Data</v>
      </c>
      <c r="Q430">
        <f t="shared" si="34"/>
        <v>19.850000000000001</v>
      </c>
      <c r="R430" t="str" cm="1">
        <f t="array" ref="R430">_xlfn.IFS(Q430&gt;=16, "Excellent",Q430&gt;=14, "Très bien", Q430&gt;=12, "Bien", Q430&gt;=10, "Passable", Q430&lt;10, "Insuffisant")</f>
        <v>Excellent</v>
      </c>
    </row>
    <row r="431" spans="1:18">
      <c r="A431" t="s">
        <v>701</v>
      </c>
      <c r="B431" t="s">
        <v>380</v>
      </c>
      <c r="C431" t="s">
        <v>25</v>
      </c>
      <c r="D431" t="s">
        <v>26</v>
      </c>
      <c r="E431" t="s">
        <v>27</v>
      </c>
      <c r="F431">
        <v>16.329999999999998</v>
      </c>
      <c r="G431">
        <v>15.52</v>
      </c>
      <c r="H431">
        <v>15.41</v>
      </c>
      <c r="I431">
        <v>16.45</v>
      </c>
      <c r="J431" s="4">
        <v>0.626</v>
      </c>
      <c r="K431">
        <v>130000</v>
      </c>
      <c r="L431" s="2">
        <v>46029</v>
      </c>
      <c r="M431" t="str">
        <f t="shared" si="30"/>
        <v>Admis</v>
      </c>
      <c r="N431" t="str">
        <f t="shared" si="31"/>
        <v>Non Eligible</v>
      </c>
      <c r="O431" t="str">
        <f t="shared" si="32"/>
        <v>RAS</v>
      </c>
      <c r="P431" t="str">
        <f t="shared" si="33"/>
        <v>Hors Data</v>
      </c>
      <c r="Q431">
        <f t="shared" si="34"/>
        <v>15.927499999999998</v>
      </c>
      <c r="R431" t="str" cm="1">
        <f t="array" ref="R431">_xlfn.IFS(Q431&gt;=16, "Excellent",Q431&gt;=14, "Très bien", Q431&gt;=12, "Bien", Q431&gt;=10, "Passable", Q431&lt;10, "Insuffisant")</f>
        <v>Très bien</v>
      </c>
    </row>
    <row r="432" spans="1:18">
      <c r="A432" t="s">
        <v>702</v>
      </c>
      <c r="B432" t="s">
        <v>467</v>
      </c>
      <c r="C432" t="s">
        <v>20</v>
      </c>
      <c r="D432" t="s">
        <v>21</v>
      </c>
      <c r="E432" t="s">
        <v>48</v>
      </c>
      <c r="F432">
        <v>12.55</v>
      </c>
      <c r="G432">
        <v>12.15</v>
      </c>
      <c r="H432">
        <v>14.03</v>
      </c>
      <c r="I432">
        <v>15.9</v>
      </c>
      <c r="J432" s="4">
        <v>0.67689999999999995</v>
      </c>
      <c r="K432">
        <v>120000</v>
      </c>
      <c r="L432" s="2">
        <v>45964</v>
      </c>
      <c r="M432" t="str">
        <f t="shared" si="30"/>
        <v>Admis</v>
      </c>
      <c r="N432" t="str">
        <f t="shared" si="31"/>
        <v>Non Eligible</v>
      </c>
      <c r="O432" t="str">
        <f t="shared" si="32"/>
        <v>RAS</v>
      </c>
      <c r="P432" t="str">
        <f t="shared" si="33"/>
        <v>Hors Data</v>
      </c>
      <c r="Q432">
        <f t="shared" si="34"/>
        <v>13.657500000000001</v>
      </c>
      <c r="R432" t="str" cm="1">
        <f t="array" ref="R432">_xlfn.IFS(Q432&gt;=16, "Excellent",Q432&gt;=14, "Très bien", Q432&gt;=12, "Bien", Q432&gt;=10, "Passable", Q432&lt;10, "Insuffisant")</f>
        <v>Bien</v>
      </c>
    </row>
    <row r="433" spans="1:18">
      <c r="A433" t="s">
        <v>703</v>
      </c>
      <c r="B433" t="s">
        <v>412</v>
      </c>
      <c r="C433" t="s">
        <v>25</v>
      </c>
      <c r="D433" t="s">
        <v>38</v>
      </c>
      <c r="E433" t="s">
        <v>22</v>
      </c>
      <c r="F433">
        <v>12.59</v>
      </c>
      <c r="G433">
        <v>16.16</v>
      </c>
      <c r="H433">
        <v>13.51</v>
      </c>
      <c r="I433">
        <v>14.78</v>
      </c>
      <c r="J433" s="4">
        <v>0.76980000000000004</v>
      </c>
      <c r="K433">
        <v>50000</v>
      </c>
      <c r="L433" s="2">
        <v>45583</v>
      </c>
      <c r="M433" t="str">
        <f t="shared" si="30"/>
        <v>Admis</v>
      </c>
      <c r="N433" t="str">
        <f t="shared" si="31"/>
        <v>Non Eligible</v>
      </c>
      <c r="O433" t="str">
        <f t="shared" si="32"/>
        <v>RAS</v>
      </c>
      <c r="P433" t="str">
        <f t="shared" si="33"/>
        <v>Data</v>
      </c>
      <c r="Q433">
        <f t="shared" si="34"/>
        <v>14.26</v>
      </c>
      <c r="R433" t="str" cm="1">
        <f t="array" ref="R433">_xlfn.IFS(Q433&gt;=16, "Excellent",Q433&gt;=14, "Très bien", Q433&gt;=12, "Bien", Q433&gt;=10, "Passable", Q433&lt;10, "Insuffisant")</f>
        <v>Très bien</v>
      </c>
    </row>
    <row r="434" spans="1:18">
      <c r="A434" t="s">
        <v>704</v>
      </c>
      <c r="B434" t="s">
        <v>412</v>
      </c>
      <c r="C434" t="s">
        <v>25</v>
      </c>
      <c r="D434" t="s">
        <v>38</v>
      </c>
      <c r="E434" t="s">
        <v>48</v>
      </c>
      <c r="F434">
        <v>9.75</v>
      </c>
      <c r="G434">
        <v>12.13</v>
      </c>
      <c r="H434">
        <v>14.31</v>
      </c>
      <c r="I434">
        <v>4.78</v>
      </c>
      <c r="J434" s="4">
        <v>0.55000000000000004</v>
      </c>
      <c r="K434">
        <v>120000</v>
      </c>
      <c r="L434" s="2">
        <v>45949</v>
      </c>
      <c r="M434" t="str">
        <f t="shared" si="30"/>
        <v>Admis</v>
      </c>
      <c r="N434" t="str">
        <f t="shared" si="31"/>
        <v>Non Eligible</v>
      </c>
      <c r="O434" t="str">
        <f t="shared" si="32"/>
        <v>A surveiller</v>
      </c>
      <c r="P434" t="str">
        <f t="shared" si="33"/>
        <v>Hors Data</v>
      </c>
      <c r="Q434">
        <f t="shared" si="34"/>
        <v>10.242500000000001</v>
      </c>
      <c r="R434" t="str" cm="1">
        <f t="array" ref="R434">_xlfn.IFS(Q434&gt;=16, "Excellent",Q434&gt;=14, "Très bien", Q434&gt;=12, "Bien", Q434&gt;=10, "Passable", Q434&lt;10, "Insuffisant")</f>
        <v>Passable</v>
      </c>
    </row>
    <row r="435" spans="1:18">
      <c r="A435" t="s">
        <v>705</v>
      </c>
      <c r="B435" t="s">
        <v>683</v>
      </c>
      <c r="C435" t="s">
        <v>20</v>
      </c>
      <c r="D435" t="s">
        <v>34</v>
      </c>
      <c r="E435" t="s">
        <v>48</v>
      </c>
      <c r="F435">
        <v>13.59</v>
      </c>
      <c r="G435">
        <v>15.39</v>
      </c>
      <c r="H435">
        <v>15.74</v>
      </c>
      <c r="I435">
        <v>16.84</v>
      </c>
      <c r="J435" s="4">
        <v>0.877</v>
      </c>
      <c r="K435">
        <v>100000</v>
      </c>
      <c r="L435" s="2">
        <v>45563</v>
      </c>
      <c r="M435" t="str">
        <f t="shared" si="30"/>
        <v>Admis</v>
      </c>
      <c r="N435" t="str">
        <f t="shared" si="31"/>
        <v>Eligible</v>
      </c>
      <c r="O435" t="str">
        <f t="shared" si="32"/>
        <v>RAS</v>
      </c>
      <c r="P435" t="str">
        <f t="shared" si="33"/>
        <v>Hors Data</v>
      </c>
      <c r="Q435">
        <f t="shared" si="34"/>
        <v>15.39</v>
      </c>
      <c r="R435" t="str" cm="1">
        <f t="array" ref="R435">_xlfn.IFS(Q435&gt;=16, "Excellent",Q435&gt;=14, "Très bien", Q435&gt;=12, "Bien", Q435&gt;=10, "Passable", Q435&lt;10, "Insuffisant")</f>
        <v>Très bien</v>
      </c>
    </row>
    <row r="436" spans="1:18">
      <c r="A436" t="s">
        <v>706</v>
      </c>
      <c r="B436" t="s">
        <v>157</v>
      </c>
      <c r="C436" t="s">
        <v>20</v>
      </c>
      <c r="D436" t="s">
        <v>21</v>
      </c>
      <c r="E436" t="s">
        <v>22</v>
      </c>
      <c r="F436">
        <v>10.33</v>
      </c>
      <c r="G436">
        <v>12.98</v>
      </c>
      <c r="H436">
        <v>16.22</v>
      </c>
      <c r="I436">
        <v>12.93</v>
      </c>
      <c r="J436" s="4">
        <v>0.77610000000000001</v>
      </c>
      <c r="K436">
        <v>90000</v>
      </c>
      <c r="L436" s="2">
        <v>45617</v>
      </c>
      <c r="M436" t="str">
        <f t="shared" si="30"/>
        <v>Admis</v>
      </c>
      <c r="N436" t="str">
        <f t="shared" si="31"/>
        <v>Non Eligible</v>
      </c>
      <c r="O436" t="str">
        <f t="shared" si="32"/>
        <v>RAS</v>
      </c>
      <c r="P436" t="str">
        <f t="shared" si="33"/>
        <v>Data</v>
      </c>
      <c r="Q436">
        <f t="shared" si="34"/>
        <v>13.115</v>
      </c>
      <c r="R436" t="str" cm="1">
        <f t="array" ref="R436">_xlfn.IFS(Q436&gt;=16, "Excellent",Q436&gt;=14, "Très bien", Q436&gt;=12, "Bien", Q436&gt;=10, "Passable", Q436&lt;10, "Insuffisant")</f>
        <v>Bien</v>
      </c>
    </row>
    <row r="437" spans="1:18">
      <c r="A437" t="s">
        <v>707</v>
      </c>
      <c r="B437" t="s">
        <v>92</v>
      </c>
      <c r="C437" t="s">
        <v>20</v>
      </c>
      <c r="D437" t="s">
        <v>21</v>
      </c>
      <c r="E437" t="s">
        <v>27</v>
      </c>
      <c r="F437">
        <v>11.28</v>
      </c>
      <c r="G437">
        <v>15.24</v>
      </c>
      <c r="H437">
        <v>12.71</v>
      </c>
      <c r="I437">
        <v>10.55</v>
      </c>
      <c r="J437" s="4">
        <v>0.7661</v>
      </c>
      <c r="K437">
        <v>60000</v>
      </c>
      <c r="L437" s="2">
        <v>45993</v>
      </c>
      <c r="M437" t="str">
        <f t="shared" si="30"/>
        <v>Admis</v>
      </c>
      <c r="N437" t="str">
        <f t="shared" si="31"/>
        <v>Non Eligible</v>
      </c>
      <c r="O437" t="str">
        <f t="shared" si="32"/>
        <v>RAS</v>
      </c>
      <c r="P437" t="str">
        <f t="shared" si="33"/>
        <v>Hors Data</v>
      </c>
      <c r="Q437">
        <f t="shared" si="34"/>
        <v>12.445</v>
      </c>
      <c r="R437" t="str" cm="1">
        <f t="array" ref="R437">_xlfn.IFS(Q437&gt;=16, "Excellent",Q437&gt;=14, "Très bien", Q437&gt;=12, "Bien", Q437&gt;=10, "Passable", Q437&lt;10, "Insuffisant")</f>
        <v>Bien</v>
      </c>
    </row>
    <row r="438" spans="1:18">
      <c r="A438" t="s">
        <v>708</v>
      </c>
      <c r="B438" t="s">
        <v>408</v>
      </c>
      <c r="C438" t="s">
        <v>25</v>
      </c>
      <c r="D438" t="s">
        <v>38</v>
      </c>
      <c r="E438" t="s">
        <v>48</v>
      </c>
      <c r="F438">
        <v>13.98</v>
      </c>
      <c r="G438">
        <v>8.26</v>
      </c>
      <c r="H438">
        <v>14.1</v>
      </c>
      <c r="I438">
        <v>12.35</v>
      </c>
      <c r="J438" s="4">
        <v>0.55000000000000004</v>
      </c>
      <c r="K438">
        <v>130000</v>
      </c>
      <c r="L438" s="2">
        <v>45607</v>
      </c>
      <c r="M438" t="str">
        <f t="shared" si="30"/>
        <v>Admis</v>
      </c>
      <c r="N438" t="str">
        <f t="shared" si="31"/>
        <v>Non Eligible</v>
      </c>
      <c r="O438" t="str">
        <f t="shared" si="32"/>
        <v>RAS</v>
      </c>
      <c r="P438" t="str">
        <f t="shared" si="33"/>
        <v>Hors Data</v>
      </c>
      <c r="Q438">
        <f t="shared" si="34"/>
        <v>12.172500000000001</v>
      </c>
      <c r="R438" t="str" cm="1">
        <f t="array" ref="R438">_xlfn.IFS(Q438&gt;=16, "Excellent",Q438&gt;=14, "Très bien", Q438&gt;=12, "Bien", Q438&gt;=10, "Passable", Q438&lt;10, "Insuffisant")</f>
        <v>Bien</v>
      </c>
    </row>
    <row r="439" spans="1:18">
      <c r="A439" t="s">
        <v>709</v>
      </c>
      <c r="B439" t="s">
        <v>710</v>
      </c>
      <c r="C439" t="s">
        <v>25</v>
      </c>
      <c r="D439" t="s">
        <v>21</v>
      </c>
      <c r="E439" t="s">
        <v>27</v>
      </c>
      <c r="F439">
        <v>11.08</v>
      </c>
      <c r="G439">
        <v>12.15</v>
      </c>
      <c r="H439">
        <v>13.69</v>
      </c>
      <c r="I439">
        <v>10.98</v>
      </c>
      <c r="J439" s="4">
        <v>0.71079999999999999</v>
      </c>
      <c r="K439">
        <v>75000</v>
      </c>
      <c r="L439" s="2">
        <v>45773</v>
      </c>
      <c r="M439" t="str">
        <f t="shared" si="30"/>
        <v>Admis</v>
      </c>
      <c r="N439" t="str">
        <f t="shared" si="31"/>
        <v>Non Eligible</v>
      </c>
      <c r="O439" t="str">
        <f t="shared" si="32"/>
        <v>RAS</v>
      </c>
      <c r="P439" t="str">
        <f t="shared" si="33"/>
        <v>Hors Data</v>
      </c>
      <c r="Q439">
        <f t="shared" si="34"/>
        <v>11.975000000000001</v>
      </c>
      <c r="R439" t="str" cm="1">
        <f t="array" ref="R439">_xlfn.IFS(Q439&gt;=16, "Excellent",Q439&gt;=14, "Très bien", Q439&gt;=12, "Bien", Q439&gt;=10, "Passable", Q439&lt;10, "Insuffisant")</f>
        <v>Passable</v>
      </c>
    </row>
    <row r="440" spans="1:18">
      <c r="A440" t="s">
        <v>711</v>
      </c>
      <c r="B440" t="s">
        <v>712</v>
      </c>
      <c r="C440" t="s">
        <v>20</v>
      </c>
      <c r="D440" t="s">
        <v>38</v>
      </c>
      <c r="E440" t="s">
        <v>22</v>
      </c>
      <c r="F440">
        <v>14.46</v>
      </c>
      <c r="G440">
        <v>14.9</v>
      </c>
      <c r="H440">
        <v>18.170000000000002</v>
      </c>
      <c r="I440">
        <v>12.39</v>
      </c>
      <c r="J440" s="4">
        <v>0.89910000000000001</v>
      </c>
      <c r="K440">
        <v>80000</v>
      </c>
      <c r="L440" s="2">
        <v>45947</v>
      </c>
      <c r="M440" t="str">
        <f t="shared" si="30"/>
        <v>Admis</v>
      </c>
      <c r="N440" t="str">
        <f t="shared" si="31"/>
        <v>Eligible</v>
      </c>
      <c r="O440" t="str">
        <f t="shared" si="32"/>
        <v>RAS</v>
      </c>
      <c r="P440" t="str">
        <f t="shared" si="33"/>
        <v>Data</v>
      </c>
      <c r="Q440">
        <f t="shared" si="34"/>
        <v>14.98</v>
      </c>
      <c r="R440" t="str" cm="1">
        <f t="array" ref="R440">_xlfn.IFS(Q440&gt;=16, "Excellent",Q440&gt;=14, "Très bien", Q440&gt;=12, "Bien", Q440&gt;=10, "Passable", Q440&lt;10, "Insuffisant")</f>
        <v>Très bien</v>
      </c>
    </row>
    <row r="441" spans="1:18">
      <c r="A441" t="s">
        <v>713</v>
      </c>
      <c r="B441" t="s">
        <v>378</v>
      </c>
      <c r="C441" t="s">
        <v>20</v>
      </c>
      <c r="D441" t="s">
        <v>53</v>
      </c>
      <c r="E441" t="s">
        <v>27</v>
      </c>
      <c r="F441">
        <v>18.52</v>
      </c>
      <c r="G441">
        <v>14.32</v>
      </c>
      <c r="H441">
        <v>12.57</v>
      </c>
      <c r="I441">
        <v>15.59</v>
      </c>
      <c r="J441" s="4">
        <v>0.98099999999999998</v>
      </c>
      <c r="K441">
        <v>75000</v>
      </c>
      <c r="L441" s="2">
        <v>45994</v>
      </c>
      <c r="M441" t="str">
        <f t="shared" si="30"/>
        <v>Admis</v>
      </c>
      <c r="N441" t="str">
        <f t="shared" si="31"/>
        <v>Eligible</v>
      </c>
      <c r="O441" t="str">
        <f t="shared" si="32"/>
        <v>RAS</v>
      </c>
      <c r="P441" t="str">
        <f t="shared" si="33"/>
        <v>Hors Data</v>
      </c>
      <c r="Q441">
        <f t="shared" si="34"/>
        <v>15.25</v>
      </c>
      <c r="R441" t="str" cm="1">
        <f t="array" ref="R441">_xlfn.IFS(Q441&gt;=16, "Excellent",Q441&gt;=14, "Très bien", Q441&gt;=12, "Bien", Q441&gt;=10, "Passable", Q441&lt;10, "Insuffisant")</f>
        <v>Très bien</v>
      </c>
    </row>
    <row r="442" spans="1:18">
      <c r="A442" t="s">
        <v>714</v>
      </c>
      <c r="B442" t="s">
        <v>52</v>
      </c>
      <c r="C442" t="s">
        <v>25</v>
      </c>
      <c r="D442" t="s">
        <v>53</v>
      </c>
      <c r="E442" t="s">
        <v>35</v>
      </c>
      <c r="F442">
        <v>16.100000000000001</v>
      </c>
      <c r="G442">
        <v>14.62</v>
      </c>
      <c r="H442">
        <v>17.89</v>
      </c>
      <c r="I442">
        <v>13.98</v>
      </c>
      <c r="J442" s="4">
        <v>0.55000000000000004</v>
      </c>
      <c r="K442">
        <v>130000</v>
      </c>
      <c r="L442" s="2">
        <v>45848</v>
      </c>
      <c r="M442" t="str">
        <f t="shared" si="30"/>
        <v>Admis</v>
      </c>
      <c r="N442" t="str">
        <f t="shared" si="31"/>
        <v>Non Eligible</v>
      </c>
      <c r="O442" t="str">
        <f t="shared" si="32"/>
        <v>RAS</v>
      </c>
      <c r="P442" t="str">
        <f t="shared" si="33"/>
        <v>Hors Data</v>
      </c>
      <c r="Q442">
        <f t="shared" si="34"/>
        <v>15.647500000000001</v>
      </c>
      <c r="R442" t="str" cm="1">
        <f t="array" ref="R442">_xlfn.IFS(Q442&gt;=16, "Excellent",Q442&gt;=14, "Très bien", Q442&gt;=12, "Bien", Q442&gt;=10, "Passable", Q442&lt;10, "Insuffisant")</f>
        <v>Très bien</v>
      </c>
    </row>
    <row r="443" spans="1:18">
      <c r="A443" t="s">
        <v>715</v>
      </c>
      <c r="B443" t="s">
        <v>632</v>
      </c>
      <c r="C443" t="s">
        <v>20</v>
      </c>
      <c r="D443" t="s">
        <v>34</v>
      </c>
      <c r="E443" t="s">
        <v>48</v>
      </c>
      <c r="F443">
        <v>14.22</v>
      </c>
      <c r="G443">
        <v>14.18</v>
      </c>
      <c r="H443">
        <v>17.739999999999998</v>
      </c>
      <c r="I443">
        <v>12.48</v>
      </c>
      <c r="J443" s="4">
        <v>0.84509999999999996</v>
      </c>
      <c r="K443">
        <v>85000</v>
      </c>
      <c r="L443" s="2">
        <v>45601</v>
      </c>
      <c r="M443" t="str">
        <f t="shared" si="30"/>
        <v>Admis</v>
      </c>
      <c r="N443" t="str">
        <f t="shared" si="31"/>
        <v>Eligible</v>
      </c>
      <c r="O443" t="str">
        <f t="shared" si="32"/>
        <v>RAS</v>
      </c>
      <c r="P443" t="str">
        <f t="shared" si="33"/>
        <v>Hors Data</v>
      </c>
      <c r="Q443">
        <f t="shared" si="34"/>
        <v>14.655000000000001</v>
      </c>
      <c r="R443" t="str" cm="1">
        <f t="array" ref="R443">_xlfn.IFS(Q443&gt;=16, "Excellent",Q443&gt;=14, "Très bien", Q443&gt;=12, "Bien", Q443&gt;=10, "Passable", Q443&lt;10, "Insuffisant")</f>
        <v>Très bien</v>
      </c>
    </row>
    <row r="444" spans="1:18">
      <c r="A444" t="s">
        <v>716</v>
      </c>
      <c r="B444" t="s">
        <v>135</v>
      </c>
      <c r="C444" t="s">
        <v>20</v>
      </c>
      <c r="D444" t="s">
        <v>21</v>
      </c>
      <c r="E444" t="s">
        <v>48</v>
      </c>
      <c r="F444">
        <v>14.12</v>
      </c>
      <c r="G444">
        <v>19.57</v>
      </c>
      <c r="H444">
        <v>14.57</v>
      </c>
      <c r="I444">
        <v>13.82</v>
      </c>
      <c r="J444" s="4">
        <v>0.69399999999999995</v>
      </c>
      <c r="K444">
        <v>60000</v>
      </c>
      <c r="L444" s="2">
        <v>46095</v>
      </c>
      <c r="M444" t="str">
        <f t="shared" si="30"/>
        <v>Admis</v>
      </c>
      <c r="N444" t="str">
        <f t="shared" si="31"/>
        <v>Non Eligible</v>
      </c>
      <c r="O444" t="str">
        <f t="shared" si="32"/>
        <v>RAS</v>
      </c>
      <c r="P444" t="str">
        <f t="shared" si="33"/>
        <v>Hors Data</v>
      </c>
      <c r="Q444">
        <f t="shared" si="34"/>
        <v>15.52</v>
      </c>
      <c r="R444" t="str" cm="1">
        <f t="array" ref="R444">_xlfn.IFS(Q444&gt;=16, "Excellent",Q444&gt;=14, "Très bien", Q444&gt;=12, "Bien", Q444&gt;=10, "Passable", Q444&lt;10, "Insuffisant")</f>
        <v>Très bien</v>
      </c>
    </row>
    <row r="445" spans="1:18">
      <c r="A445" t="s">
        <v>717</v>
      </c>
      <c r="B445" t="s">
        <v>718</v>
      </c>
      <c r="C445" t="s">
        <v>20</v>
      </c>
      <c r="D445" t="s">
        <v>53</v>
      </c>
      <c r="E445" t="s">
        <v>48</v>
      </c>
      <c r="F445">
        <v>11.02</v>
      </c>
      <c r="G445">
        <v>12.01</v>
      </c>
      <c r="H445">
        <v>12.6</v>
      </c>
      <c r="I445">
        <v>14.95</v>
      </c>
      <c r="J445" s="4">
        <v>0.89570000000000005</v>
      </c>
      <c r="K445">
        <v>50000</v>
      </c>
      <c r="L445" s="2">
        <v>46200</v>
      </c>
      <c r="M445" t="str">
        <f t="shared" si="30"/>
        <v>Admis</v>
      </c>
      <c r="N445" t="str">
        <f t="shared" si="31"/>
        <v>Non Eligible</v>
      </c>
      <c r="O445" t="str">
        <f t="shared" si="32"/>
        <v>RAS</v>
      </c>
      <c r="P445" t="str">
        <f t="shared" si="33"/>
        <v>Hors Data</v>
      </c>
      <c r="Q445">
        <f t="shared" si="34"/>
        <v>12.645</v>
      </c>
      <c r="R445" t="str" cm="1">
        <f t="array" ref="R445">_xlfn.IFS(Q445&gt;=16, "Excellent",Q445&gt;=14, "Très bien", Q445&gt;=12, "Bien", Q445&gt;=10, "Passable", Q445&lt;10, "Insuffisant")</f>
        <v>Bien</v>
      </c>
    </row>
    <row r="446" spans="1:18">
      <c r="A446" t="s">
        <v>719</v>
      </c>
      <c r="B446" t="s">
        <v>720</v>
      </c>
      <c r="C446" t="s">
        <v>25</v>
      </c>
      <c r="D446" t="s">
        <v>34</v>
      </c>
      <c r="E446" t="s">
        <v>27</v>
      </c>
      <c r="F446">
        <v>14.93</v>
      </c>
      <c r="G446">
        <v>20</v>
      </c>
      <c r="H446">
        <v>18.79</v>
      </c>
      <c r="I446">
        <v>19.55</v>
      </c>
      <c r="J446" s="4">
        <v>0.87239999999999995</v>
      </c>
      <c r="K446">
        <v>130000</v>
      </c>
      <c r="L446" s="2">
        <v>46158</v>
      </c>
      <c r="M446" t="str">
        <f t="shared" si="30"/>
        <v>Admis</v>
      </c>
      <c r="N446" t="str">
        <f t="shared" si="31"/>
        <v>Eligible</v>
      </c>
      <c r="O446" t="str">
        <f t="shared" si="32"/>
        <v>RAS</v>
      </c>
      <c r="P446" t="str">
        <f t="shared" si="33"/>
        <v>Hors Data</v>
      </c>
      <c r="Q446">
        <f t="shared" si="34"/>
        <v>18.317499999999999</v>
      </c>
      <c r="R446" t="str" cm="1">
        <f t="array" ref="R446">_xlfn.IFS(Q446&gt;=16, "Excellent",Q446&gt;=14, "Très bien", Q446&gt;=12, "Bien", Q446&gt;=10, "Passable", Q446&lt;10, "Insuffisant")</f>
        <v>Excellent</v>
      </c>
    </row>
    <row r="447" spans="1:18">
      <c r="A447" t="s">
        <v>721</v>
      </c>
      <c r="B447" t="s">
        <v>98</v>
      </c>
      <c r="C447" t="s">
        <v>25</v>
      </c>
      <c r="D447" t="s">
        <v>53</v>
      </c>
      <c r="E447" t="s">
        <v>22</v>
      </c>
      <c r="F447">
        <v>11.24</v>
      </c>
      <c r="G447">
        <v>13.9</v>
      </c>
      <c r="H447">
        <v>8.5500000000000007</v>
      </c>
      <c r="I447">
        <v>9.18</v>
      </c>
      <c r="J447" s="4">
        <v>0.71199999999999997</v>
      </c>
      <c r="K447">
        <v>70000</v>
      </c>
      <c r="L447" s="2">
        <v>46059</v>
      </c>
      <c r="M447" t="str">
        <f t="shared" si="30"/>
        <v>Non admis</v>
      </c>
      <c r="N447" t="str">
        <f t="shared" si="31"/>
        <v>Non Eligible</v>
      </c>
      <c r="O447" t="str">
        <f t="shared" si="32"/>
        <v>A surveiller</v>
      </c>
      <c r="P447" t="str">
        <f t="shared" si="33"/>
        <v>Data</v>
      </c>
      <c r="Q447">
        <f t="shared" si="34"/>
        <v>10.717499999999999</v>
      </c>
      <c r="R447" t="str" cm="1">
        <f t="array" ref="R447">_xlfn.IFS(Q447&gt;=16, "Excellent",Q447&gt;=14, "Très bien", Q447&gt;=12, "Bien", Q447&gt;=10, "Passable", Q447&lt;10, "Insuffisant")</f>
        <v>Passable</v>
      </c>
    </row>
    <row r="448" spans="1:18">
      <c r="A448" t="s">
        <v>722</v>
      </c>
      <c r="B448" t="s">
        <v>410</v>
      </c>
      <c r="C448" t="s">
        <v>20</v>
      </c>
      <c r="D448" t="s">
        <v>53</v>
      </c>
      <c r="E448" t="s">
        <v>48</v>
      </c>
      <c r="F448">
        <v>18.02</v>
      </c>
      <c r="G448">
        <v>16.22</v>
      </c>
      <c r="H448">
        <v>20</v>
      </c>
      <c r="I448">
        <v>15.96</v>
      </c>
      <c r="J448" s="4">
        <v>0.72119999999999995</v>
      </c>
      <c r="K448">
        <v>110000</v>
      </c>
      <c r="L448" s="2">
        <v>45817</v>
      </c>
      <c r="M448" t="str">
        <f t="shared" si="30"/>
        <v>Admis</v>
      </c>
      <c r="N448" t="str">
        <f t="shared" si="31"/>
        <v>Non Eligible</v>
      </c>
      <c r="O448" t="str">
        <f t="shared" si="32"/>
        <v>RAS</v>
      </c>
      <c r="P448" t="str">
        <f t="shared" si="33"/>
        <v>Hors Data</v>
      </c>
      <c r="Q448">
        <f t="shared" si="34"/>
        <v>17.549999999999997</v>
      </c>
      <c r="R448" t="str" cm="1">
        <f t="array" ref="R448">_xlfn.IFS(Q448&gt;=16, "Excellent",Q448&gt;=14, "Très bien", Q448&gt;=12, "Bien", Q448&gt;=10, "Passable", Q448&lt;10, "Insuffisant")</f>
        <v>Excellent</v>
      </c>
    </row>
    <row r="449" spans="1:18">
      <c r="A449" t="s">
        <v>723</v>
      </c>
      <c r="B449" t="s">
        <v>724</v>
      </c>
      <c r="C449" t="s">
        <v>25</v>
      </c>
      <c r="D449" t="s">
        <v>53</v>
      </c>
      <c r="E449" t="s">
        <v>27</v>
      </c>
      <c r="F449">
        <v>16.940000000000001</v>
      </c>
      <c r="G449">
        <v>20</v>
      </c>
      <c r="H449">
        <v>15.32</v>
      </c>
      <c r="I449">
        <v>18.25</v>
      </c>
      <c r="J449" s="4">
        <v>0.82889999999999997</v>
      </c>
      <c r="K449">
        <v>50000</v>
      </c>
      <c r="L449" s="2">
        <v>46149</v>
      </c>
      <c r="M449" t="str">
        <f t="shared" si="30"/>
        <v>Admis</v>
      </c>
      <c r="N449" t="str">
        <f t="shared" si="31"/>
        <v>Eligible</v>
      </c>
      <c r="O449" t="str">
        <f t="shared" si="32"/>
        <v>RAS</v>
      </c>
      <c r="P449" t="str">
        <f t="shared" si="33"/>
        <v>Hors Data</v>
      </c>
      <c r="Q449">
        <f t="shared" si="34"/>
        <v>17.627499999999998</v>
      </c>
      <c r="R449" t="str" cm="1">
        <f t="array" ref="R449">_xlfn.IFS(Q449&gt;=16, "Excellent",Q449&gt;=14, "Très bien", Q449&gt;=12, "Bien", Q449&gt;=10, "Passable", Q449&lt;10, "Insuffisant")</f>
        <v>Excellent</v>
      </c>
    </row>
    <row r="450" spans="1:18">
      <c r="A450" t="s">
        <v>725</v>
      </c>
      <c r="B450" t="s">
        <v>380</v>
      </c>
      <c r="C450" t="s">
        <v>25</v>
      </c>
      <c r="D450" t="s">
        <v>21</v>
      </c>
      <c r="E450" t="s">
        <v>22</v>
      </c>
      <c r="F450">
        <v>10.81</v>
      </c>
      <c r="G450">
        <v>11.53</v>
      </c>
      <c r="H450">
        <v>9.24</v>
      </c>
      <c r="I450">
        <v>13.98</v>
      </c>
      <c r="J450" s="4">
        <v>0.6764</v>
      </c>
      <c r="K450">
        <v>120000</v>
      </c>
      <c r="L450" s="2">
        <v>45877</v>
      </c>
      <c r="M450" t="str">
        <f t="shared" si="30"/>
        <v>Non admis</v>
      </c>
      <c r="N450" t="str">
        <f t="shared" si="31"/>
        <v>Non Eligible</v>
      </c>
      <c r="O450" t="str">
        <f t="shared" si="32"/>
        <v>A surveiller</v>
      </c>
      <c r="P450" t="str">
        <f t="shared" si="33"/>
        <v>Data</v>
      </c>
      <c r="Q450">
        <f t="shared" si="34"/>
        <v>11.39</v>
      </c>
      <c r="R450" t="str" cm="1">
        <f t="array" ref="R450">_xlfn.IFS(Q450&gt;=16, "Excellent",Q450&gt;=14, "Très bien", Q450&gt;=12, "Bien", Q450&gt;=10, "Passable", Q450&lt;10, "Insuffisant")</f>
        <v>Passable</v>
      </c>
    </row>
    <row r="451" spans="1:18">
      <c r="A451" t="s">
        <v>726</v>
      </c>
      <c r="B451" t="s">
        <v>581</v>
      </c>
      <c r="C451" t="s">
        <v>20</v>
      </c>
      <c r="D451" t="s">
        <v>41</v>
      </c>
      <c r="E451" t="s">
        <v>35</v>
      </c>
      <c r="F451">
        <v>20</v>
      </c>
      <c r="G451">
        <v>20</v>
      </c>
      <c r="H451">
        <v>20</v>
      </c>
      <c r="I451">
        <v>20</v>
      </c>
      <c r="J451" s="4">
        <v>0.55000000000000004</v>
      </c>
      <c r="K451">
        <v>100000</v>
      </c>
      <c r="L451" s="2">
        <v>45631</v>
      </c>
      <c r="M451" t="str">
        <f t="shared" ref="M451:M514" si="35">IF(H451&gt;=10,"Admis","Non admis")</f>
        <v>Admis</v>
      </c>
      <c r="N451" t="str">
        <f t="shared" ref="N451:N514" si="36">IF(AND(F451&gt;=12,H451&gt;=12,J451&gt;80%), "Eligible", "Non Eligible")</f>
        <v>Non Eligible</v>
      </c>
      <c r="O451" t="str">
        <f t="shared" ref="O451:O514" si="37">IF(OR(F451&lt;10,H451&lt;10), "A surveiller", "RAS")</f>
        <v>RAS</v>
      </c>
      <c r="P451" t="str">
        <f t="shared" ref="P451:P514" si="38">IF(NOT(E451="Data"), "Hors Data", "Data")</f>
        <v>Hors Data</v>
      </c>
      <c r="Q451">
        <f t="shared" ref="Q451:Q514" si="39">AVERAGE(F451:I451)</f>
        <v>20</v>
      </c>
      <c r="R451" t="str" cm="1">
        <f t="array" ref="R451">_xlfn.IFS(Q451&gt;=16, "Excellent",Q451&gt;=14, "Très bien", Q451&gt;=12, "Bien", Q451&gt;=10, "Passable", Q451&lt;10, "Insuffisant")</f>
        <v>Excellent</v>
      </c>
    </row>
    <row r="452" spans="1:18">
      <c r="A452" t="s">
        <v>727</v>
      </c>
      <c r="B452" t="s">
        <v>50</v>
      </c>
      <c r="C452" t="s">
        <v>25</v>
      </c>
      <c r="D452" t="s">
        <v>38</v>
      </c>
      <c r="E452" t="s">
        <v>35</v>
      </c>
      <c r="F452">
        <v>12.87</v>
      </c>
      <c r="G452">
        <v>18.34</v>
      </c>
      <c r="H452">
        <v>17.86</v>
      </c>
      <c r="I452">
        <v>17.7</v>
      </c>
      <c r="J452" s="4">
        <v>0.91100000000000003</v>
      </c>
      <c r="K452">
        <v>70000</v>
      </c>
      <c r="L452" s="2">
        <v>46131</v>
      </c>
      <c r="M452" t="str">
        <f t="shared" si="35"/>
        <v>Admis</v>
      </c>
      <c r="N452" t="str">
        <f t="shared" si="36"/>
        <v>Eligible</v>
      </c>
      <c r="O452" t="str">
        <f t="shared" si="37"/>
        <v>RAS</v>
      </c>
      <c r="P452" t="str">
        <f t="shared" si="38"/>
        <v>Hors Data</v>
      </c>
      <c r="Q452">
        <f t="shared" si="39"/>
        <v>16.692499999999999</v>
      </c>
      <c r="R452" t="str" cm="1">
        <f t="array" ref="R452">_xlfn.IFS(Q452&gt;=16, "Excellent",Q452&gt;=14, "Très bien", Q452&gt;=12, "Bien", Q452&gt;=10, "Passable", Q452&lt;10, "Insuffisant")</f>
        <v>Excellent</v>
      </c>
    </row>
    <row r="453" spans="1:18">
      <c r="A453" t="s">
        <v>728</v>
      </c>
      <c r="B453" t="s">
        <v>729</v>
      </c>
      <c r="C453" t="s">
        <v>25</v>
      </c>
      <c r="D453" t="s">
        <v>38</v>
      </c>
      <c r="E453" t="s">
        <v>48</v>
      </c>
      <c r="F453">
        <v>14.92</v>
      </c>
      <c r="G453">
        <v>17.29</v>
      </c>
      <c r="H453">
        <v>20</v>
      </c>
      <c r="I453">
        <v>17.45</v>
      </c>
      <c r="J453" s="4">
        <v>0.9627</v>
      </c>
      <c r="K453">
        <v>120000</v>
      </c>
      <c r="L453" s="2">
        <v>45760</v>
      </c>
      <c r="M453" t="str">
        <f t="shared" si="35"/>
        <v>Admis</v>
      </c>
      <c r="N453" t="str">
        <f t="shared" si="36"/>
        <v>Eligible</v>
      </c>
      <c r="O453" t="str">
        <f t="shared" si="37"/>
        <v>RAS</v>
      </c>
      <c r="P453" t="str">
        <f t="shared" si="38"/>
        <v>Hors Data</v>
      </c>
      <c r="Q453">
        <f t="shared" si="39"/>
        <v>17.414999999999999</v>
      </c>
      <c r="R453" t="str" cm="1">
        <f t="array" ref="R453">_xlfn.IFS(Q453&gt;=16, "Excellent",Q453&gt;=14, "Très bien", Q453&gt;=12, "Bien", Q453&gt;=10, "Passable", Q453&lt;10, "Insuffisant")</f>
        <v>Excellent</v>
      </c>
    </row>
    <row r="454" spans="1:18">
      <c r="A454" t="s">
        <v>730</v>
      </c>
      <c r="B454" t="s">
        <v>731</v>
      </c>
      <c r="C454" t="s">
        <v>20</v>
      </c>
      <c r="D454" t="s">
        <v>38</v>
      </c>
      <c r="E454" t="s">
        <v>27</v>
      </c>
      <c r="F454">
        <v>11.08</v>
      </c>
      <c r="G454">
        <v>13.83</v>
      </c>
      <c r="H454">
        <v>12.79</v>
      </c>
      <c r="I454">
        <v>10.44</v>
      </c>
      <c r="J454" s="4">
        <v>0.68140000000000001</v>
      </c>
      <c r="K454">
        <v>75000</v>
      </c>
      <c r="L454" s="2">
        <v>46193</v>
      </c>
      <c r="M454" t="str">
        <f t="shared" si="35"/>
        <v>Admis</v>
      </c>
      <c r="N454" t="str">
        <f t="shared" si="36"/>
        <v>Non Eligible</v>
      </c>
      <c r="O454" t="str">
        <f t="shared" si="37"/>
        <v>RAS</v>
      </c>
      <c r="P454" t="str">
        <f t="shared" si="38"/>
        <v>Hors Data</v>
      </c>
      <c r="Q454">
        <f t="shared" si="39"/>
        <v>12.035</v>
      </c>
      <c r="R454" t="str" cm="1">
        <f t="array" ref="R454">_xlfn.IFS(Q454&gt;=16, "Excellent",Q454&gt;=14, "Très bien", Q454&gt;=12, "Bien", Q454&gt;=10, "Passable", Q454&lt;10, "Insuffisant")</f>
        <v>Bien</v>
      </c>
    </row>
    <row r="455" spans="1:18">
      <c r="A455" t="s">
        <v>732</v>
      </c>
      <c r="B455" t="s">
        <v>640</v>
      </c>
      <c r="C455" t="s">
        <v>20</v>
      </c>
      <c r="D455" t="s">
        <v>21</v>
      </c>
      <c r="E455" t="s">
        <v>27</v>
      </c>
      <c r="F455">
        <v>16.79</v>
      </c>
      <c r="G455">
        <v>11.92</v>
      </c>
      <c r="H455">
        <v>13.37</v>
      </c>
      <c r="I455">
        <v>10.86</v>
      </c>
      <c r="J455" s="4">
        <v>0.86570000000000003</v>
      </c>
      <c r="K455">
        <v>130000</v>
      </c>
      <c r="L455" s="2">
        <v>45793</v>
      </c>
      <c r="M455" t="str">
        <f t="shared" si="35"/>
        <v>Admis</v>
      </c>
      <c r="N455" t="str">
        <f t="shared" si="36"/>
        <v>Eligible</v>
      </c>
      <c r="O455" t="str">
        <f t="shared" si="37"/>
        <v>RAS</v>
      </c>
      <c r="P455" t="str">
        <f t="shared" si="38"/>
        <v>Hors Data</v>
      </c>
      <c r="Q455">
        <f t="shared" si="39"/>
        <v>13.234999999999999</v>
      </c>
      <c r="R455" t="str" cm="1">
        <f t="array" ref="R455">_xlfn.IFS(Q455&gt;=16, "Excellent",Q455&gt;=14, "Très bien", Q455&gt;=12, "Bien", Q455&gt;=10, "Passable", Q455&lt;10, "Insuffisant")</f>
        <v>Bien</v>
      </c>
    </row>
    <row r="456" spans="1:18">
      <c r="A456" t="s">
        <v>733</v>
      </c>
      <c r="B456" t="s">
        <v>734</v>
      </c>
      <c r="C456" t="s">
        <v>25</v>
      </c>
      <c r="D456" t="s">
        <v>26</v>
      </c>
      <c r="E456" t="s">
        <v>27</v>
      </c>
      <c r="F456">
        <v>14.84</v>
      </c>
      <c r="G456">
        <v>13.48</v>
      </c>
      <c r="H456">
        <v>11.66</v>
      </c>
      <c r="I456">
        <v>12.36</v>
      </c>
      <c r="J456" s="4">
        <v>0.93779999999999997</v>
      </c>
      <c r="K456">
        <v>90000</v>
      </c>
      <c r="L456" s="2">
        <v>46144</v>
      </c>
      <c r="M456" t="str">
        <f t="shared" si="35"/>
        <v>Admis</v>
      </c>
      <c r="N456" t="str">
        <f t="shared" si="36"/>
        <v>Non Eligible</v>
      </c>
      <c r="O456" t="str">
        <f t="shared" si="37"/>
        <v>RAS</v>
      </c>
      <c r="P456" t="str">
        <f t="shared" si="38"/>
        <v>Hors Data</v>
      </c>
      <c r="Q456">
        <f t="shared" si="39"/>
        <v>13.085000000000001</v>
      </c>
      <c r="R456" t="str" cm="1">
        <f t="array" ref="R456">_xlfn.IFS(Q456&gt;=16, "Excellent",Q456&gt;=14, "Très bien", Q456&gt;=12, "Bien", Q456&gt;=10, "Passable", Q456&lt;10, "Insuffisant")</f>
        <v>Bien</v>
      </c>
    </row>
    <row r="457" spans="1:18">
      <c r="A457" t="s">
        <v>735</v>
      </c>
      <c r="B457" t="s">
        <v>104</v>
      </c>
      <c r="C457" t="s">
        <v>25</v>
      </c>
      <c r="D457" t="s">
        <v>38</v>
      </c>
      <c r="E457" t="s">
        <v>35</v>
      </c>
      <c r="F457">
        <v>9.75</v>
      </c>
      <c r="G457">
        <v>16.97</v>
      </c>
      <c r="H457">
        <v>15.11</v>
      </c>
      <c r="I457">
        <v>12.9</v>
      </c>
      <c r="J457" s="4">
        <v>0.68189999999999995</v>
      </c>
      <c r="K457">
        <v>80000</v>
      </c>
      <c r="L457" s="2">
        <v>45912</v>
      </c>
      <c r="M457" t="str">
        <f t="shared" si="35"/>
        <v>Admis</v>
      </c>
      <c r="N457" t="str">
        <f t="shared" si="36"/>
        <v>Non Eligible</v>
      </c>
      <c r="O457" t="str">
        <f t="shared" si="37"/>
        <v>A surveiller</v>
      </c>
      <c r="P457" t="str">
        <f t="shared" si="38"/>
        <v>Hors Data</v>
      </c>
      <c r="Q457">
        <f t="shared" si="39"/>
        <v>13.682499999999999</v>
      </c>
      <c r="R457" t="str" cm="1">
        <f t="array" ref="R457">_xlfn.IFS(Q457&gt;=16, "Excellent",Q457&gt;=14, "Très bien", Q457&gt;=12, "Bien", Q457&gt;=10, "Passable", Q457&lt;10, "Insuffisant")</f>
        <v>Bien</v>
      </c>
    </row>
    <row r="458" spans="1:18">
      <c r="A458" t="s">
        <v>736</v>
      </c>
      <c r="B458" t="s">
        <v>737</v>
      </c>
      <c r="C458" t="s">
        <v>20</v>
      </c>
      <c r="D458" t="s">
        <v>34</v>
      </c>
      <c r="E458" t="s">
        <v>48</v>
      </c>
      <c r="F458">
        <v>14.09</v>
      </c>
      <c r="G458">
        <v>17.79</v>
      </c>
      <c r="H458">
        <v>13.72</v>
      </c>
      <c r="I458">
        <v>14.98</v>
      </c>
      <c r="J458" s="4">
        <v>0.67410000000000003</v>
      </c>
      <c r="K458">
        <v>50000</v>
      </c>
      <c r="L458" s="2">
        <v>45863</v>
      </c>
      <c r="M458" t="str">
        <f t="shared" si="35"/>
        <v>Admis</v>
      </c>
      <c r="N458" t="str">
        <f t="shared" si="36"/>
        <v>Non Eligible</v>
      </c>
      <c r="O458" t="str">
        <f t="shared" si="37"/>
        <v>RAS</v>
      </c>
      <c r="P458" t="str">
        <f t="shared" si="38"/>
        <v>Hors Data</v>
      </c>
      <c r="Q458">
        <f t="shared" si="39"/>
        <v>15.145</v>
      </c>
      <c r="R458" t="str" cm="1">
        <f t="array" ref="R458">_xlfn.IFS(Q458&gt;=16, "Excellent",Q458&gt;=14, "Très bien", Q458&gt;=12, "Bien", Q458&gt;=10, "Passable", Q458&lt;10, "Insuffisant")</f>
        <v>Très bien</v>
      </c>
    </row>
    <row r="459" spans="1:18">
      <c r="A459" t="s">
        <v>738</v>
      </c>
      <c r="B459" t="s">
        <v>218</v>
      </c>
      <c r="C459" t="s">
        <v>25</v>
      </c>
      <c r="D459" t="s">
        <v>41</v>
      </c>
      <c r="E459" t="s">
        <v>22</v>
      </c>
      <c r="F459">
        <v>13.72</v>
      </c>
      <c r="G459">
        <v>13.71</v>
      </c>
      <c r="H459">
        <v>15.71</v>
      </c>
      <c r="I459">
        <v>9.7899999999999991</v>
      </c>
      <c r="J459" s="4">
        <v>0.86150000000000004</v>
      </c>
      <c r="K459">
        <v>70000</v>
      </c>
      <c r="L459" s="2">
        <v>45743</v>
      </c>
      <c r="M459" t="str">
        <f t="shared" si="35"/>
        <v>Admis</v>
      </c>
      <c r="N459" t="str">
        <f t="shared" si="36"/>
        <v>Eligible</v>
      </c>
      <c r="O459" t="str">
        <f t="shared" si="37"/>
        <v>RAS</v>
      </c>
      <c r="P459" t="str">
        <f t="shared" si="38"/>
        <v>Data</v>
      </c>
      <c r="Q459">
        <f t="shared" si="39"/>
        <v>13.2325</v>
      </c>
      <c r="R459" t="str" cm="1">
        <f t="array" ref="R459">_xlfn.IFS(Q459&gt;=16, "Excellent",Q459&gt;=14, "Très bien", Q459&gt;=12, "Bien", Q459&gt;=10, "Passable", Q459&lt;10, "Insuffisant")</f>
        <v>Bien</v>
      </c>
    </row>
    <row r="460" spans="1:18">
      <c r="A460" t="s">
        <v>739</v>
      </c>
      <c r="B460" t="s">
        <v>471</v>
      </c>
      <c r="C460" t="s">
        <v>25</v>
      </c>
      <c r="D460" t="s">
        <v>41</v>
      </c>
      <c r="E460" t="s">
        <v>35</v>
      </c>
      <c r="F460">
        <v>9.91</v>
      </c>
      <c r="G460">
        <v>10.8</v>
      </c>
      <c r="H460">
        <v>11.86</v>
      </c>
      <c r="I460">
        <v>7.89</v>
      </c>
      <c r="J460" s="4">
        <v>0.55000000000000004</v>
      </c>
      <c r="K460">
        <v>50000</v>
      </c>
      <c r="L460" s="2">
        <v>46120</v>
      </c>
      <c r="M460" t="str">
        <f t="shared" si="35"/>
        <v>Admis</v>
      </c>
      <c r="N460" t="str">
        <f t="shared" si="36"/>
        <v>Non Eligible</v>
      </c>
      <c r="O460" t="str">
        <f t="shared" si="37"/>
        <v>A surveiller</v>
      </c>
      <c r="P460" t="str">
        <f t="shared" si="38"/>
        <v>Hors Data</v>
      </c>
      <c r="Q460">
        <f t="shared" si="39"/>
        <v>10.115</v>
      </c>
      <c r="R460" t="str" cm="1">
        <f t="array" ref="R460">_xlfn.IFS(Q460&gt;=16, "Excellent",Q460&gt;=14, "Très bien", Q460&gt;=12, "Bien", Q460&gt;=10, "Passable", Q460&lt;10, "Insuffisant")</f>
        <v>Passable</v>
      </c>
    </row>
    <row r="461" spans="1:18">
      <c r="A461" t="s">
        <v>740</v>
      </c>
      <c r="B461" t="s">
        <v>285</v>
      </c>
      <c r="C461" t="s">
        <v>20</v>
      </c>
      <c r="D461" t="s">
        <v>34</v>
      </c>
      <c r="E461" t="s">
        <v>22</v>
      </c>
      <c r="F461">
        <v>12.89</v>
      </c>
      <c r="G461">
        <v>18.39</v>
      </c>
      <c r="H461">
        <v>15.88</v>
      </c>
      <c r="I461">
        <v>15.14</v>
      </c>
      <c r="J461" s="4">
        <v>0.99160000000000004</v>
      </c>
      <c r="K461">
        <v>120000</v>
      </c>
      <c r="L461" s="2">
        <v>45578</v>
      </c>
      <c r="M461" t="str">
        <f t="shared" si="35"/>
        <v>Admis</v>
      </c>
      <c r="N461" t="str">
        <f t="shared" si="36"/>
        <v>Eligible</v>
      </c>
      <c r="O461" t="str">
        <f t="shared" si="37"/>
        <v>RAS</v>
      </c>
      <c r="P461" t="str">
        <f t="shared" si="38"/>
        <v>Data</v>
      </c>
      <c r="Q461">
        <f t="shared" si="39"/>
        <v>15.575000000000001</v>
      </c>
      <c r="R461" t="str" cm="1">
        <f t="array" ref="R461">_xlfn.IFS(Q461&gt;=16, "Excellent",Q461&gt;=14, "Très bien", Q461&gt;=12, "Bien", Q461&gt;=10, "Passable", Q461&lt;10, "Insuffisant")</f>
        <v>Très bien</v>
      </c>
    </row>
    <row r="462" spans="1:18">
      <c r="A462" t="s">
        <v>741</v>
      </c>
      <c r="B462" t="s">
        <v>148</v>
      </c>
      <c r="C462" t="s">
        <v>25</v>
      </c>
      <c r="D462" t="s">
        <v>26</v>
      </c>
      <c r="E462" t="s">
        <v>22</v>
      </c>
      <c r="F462">
        <v>20</v>
      </c>
      <c r="G462">
        <v>19.170000000000002</v>
      </c>
      <c r="H462">
        <v>15.42</v>
      </c>
      <c r="I462">
        <v>15.83</v>
      </c>
      <c r="J462" s="4">
        <v>0.55000000000000004</v>
      </c>
      <c r="K462">
        <v>60000</v>
      </c>
      <c r="L462" s="2">
        <v>45864</v>
      </c>
      <c r="M462" t="str">
        <f t="shared" si="35"/>
        <v>Admis</v>
      </c>
      <c r="N462" t="str">
        <f t="shared" si="36"/>
        <v>Non Eligible</v>
      </c>
      <c r="O462" t="str">
        <f t="shared" si="37"/>
        <v>RAS</v>
      </c>
      <c r="P462" t="str">
        <f t="shared" si="38"/>
        <v>Data</v>
      </c>
      <c r="Q462">
        <f t="shared" si="39"/>
        <v>17.605</v>
      </c>
      <c r="R462" t="str" cm="1">
        <f t="array" ref="R462">_xlfn.IFS(Q462&gt;=16, "Excellent",Q462&gt;=14, "Très bien", Q462&gt;=12, "Bien", Q462&gt;=10, "Passable", Q462&lt;10, "Insuffisant")</f>
        <v>Excellent</v>
      </c>
    </row>
    <row r="463" spans="1:18">
      <c r="A463" t="s">
        <v>742</v>
      </c>
      <c r="B463" t="s">
        <v>600</v>
      </c>
      <c r="C463" t="s">
        <v>20</v>
      </c>
      <c r="D463" t="s">
        <v>41</v>
      </c>
      <c r="E463" t="s">
        <v>27</v>
      </c>
      <c r="F463">
        <v>16.02</v>
      </c>
      <c r="G463">
        <v>14.27</v>
      </c>
      <c r="H463">
        <v>13.56</v>
      </c>
      <c r="I463">
        <v>13.49</v>
      </c>
      <c r="J463" s="4">
        <v>0.83799999999999997</v>
      </c>
      <c r="K463">
        <v>60000</v>
      </c>
      <c r="L463" s="2">
        <v>45794</v>
      </c>
      <c r="M463" t="str">
        <f t="shared" si="35"/>
        <v>Admis</v>
      </c>
      <c r="N463" t="str">
        <f t="shared" si="36"/>
        <v>Eligible</v>
      </c>
      <c r="O463" t="str">
        <f t="shared" si="37"/>
        <v>RAS</v>
      </c>
      <c r="P463" t="str">
        <f t="shared" si="38"/>
        <v>Hors Data</v>
      </c>
      <c r="Q463">
        <f t="shared" si="39"/>
        <v>14.335000000000001</v>
      </c>
      <c r="R463" t="str" cm="1">
        <f t="array" ref="R463">_xlfn.IFS(Q463&gt;=16, "Excellent",Q463&gt;=14, "Très bien", Q463&gt;=12, "Bien", Q463&gt;=10, "Passable", Q463&lt;10, "Insuffisant")</f>
        <v>Très bien</v>
      </c>
    </row>
    <row r="464" spans="1:18">
      <c r="A464" t="s">
        <v>743</v>
      </c>
      <c r="B464" t="s">
        <v>744</v>
      </c>
      <c r="C464" t="s">
        <v>25</v>
      </c>
      <c r="D464" t="s">
        <v>26</v>
      </c>
      <c r="E464" t="s">
        <v>27</v>
      </c>
      <c r="F464">
        <v>16.63</v>
      </c>
      <c r="G464">
        <v>14.52</v>
      </c>
      <c r="H464">
        <v>17.39</v>
      </c>
      <c r="I464">
        <v>15.66</v>
      </c>
      <c r="J464" s="4">
        <v>0.98150000000000004</v>
      </c>
      <c r="K464">
        <v>60000</v>
      </c>
      <c r="L464" s="2">
        <v>45916</v>
      </c>
      <c r="M464" t="str">
        <f t="shared" si="35"/>
        <v>Admis</v>
      </c>
      <c r="N464" t="str">
        <f t="shared" si="36"/>
        <v>Eligible</v>
      </c>
      <c r="O464" t="str">
        <f t="shared" si="37"/>
        <v>RAS</v>
      </c>
      <c r="P464" t="str">
        <f t="shared" si="38"/>
        <v>Hors Data</v>
      </c>
      <c r="Q464">
        <f t="shared" si="39"/>
        <v>16.05</v>
      </c>
      <c r="R464" t="str" cm="1">
        <f t="array" ref="R464">_xlfn.IFS(Q464&gt;=16, "Excellent",Q464&gt;=14, "Très bien", Q464&gt;=12, "Bien", Q464&gt;=10, "Passable", Q464&lt;10, "Insuffisant")</f>
        <v>Excellent</v>
      </c>
    </row>
    <row r="465" spans="1:18">
      <c r="A465" t="s">
        <v>745</v>
      </c>
      <c r="B465" t="s">
        <v>137</v>
      </c>
      <c r="C465" t="s">
        <v>20</v>
      </c>
      <c r="D465" t="s">
        <v>38</v>
      </c>
      <c r="E465" t="s">
        <v>48</v>
      </c>
      <c r="F465">
        <v>11.22</v>
      </c>
      <c r="G465">
        <v>13.98</v>
      </c>
      <c r="H465">
        <v>10.37</v>
      </c>
      <c r="I465">
        <v>11.69</v>
      </c>
      <c r="J465" s="4">
        <v>0.89729999999999999</v>
      </c>
      <c r="K465">
        <v>130000</v>
      </c>
      <c r="L465" s="2">
        <v>45714</v>
      </c>
      <c r="M465" t="str">
        <f t="shared" si="35"/>
        <v>Admis</v>
      </c>
      <c r="N465" t="str">
        <f t="shared" si="36"/>
        <v>Non Eligible</v>
      </c>
      <c r="O465" t="str">
        <f t="shared" si="37"/>
        <v>RAS</v>
      </c>
      <c r="P465" t="str">
        <f t="shared" si="38"/>
        <v>Hors Data</v>
      </c>
      <c r="Q465">
        <f t="shared" si="39"/>
        <v>11.815</v>
      </c>
      <c r="R465" t="str" cm="1">
        <f t="array" ref="R465">_xlfn.IFS(Q465&gt;=16, "Excellent",Q465&gt;=14, "Très bien", Q465&gt;=12, "Bien", Q465&gt;=10, "Passable", Q465&lt;10, "Insuffisant")</f>
        <v>Passable</v>
      </c>
    </row>
    <row r="466" spans="1:18">
      <c r="A466" t="s">
        <v>746</v>
      </c>
      <c r="B466" t="s">
        <v>19</v>
      </c>
      <c r="C466" t="s">
        <v>20</v>
      </c>
      <c r="D466" t="s">
        <v>53</v>
      </c>
      <c r="E466" t="s">
        <v>22</v>
      </c>
      <c r="F466">
        <v>12.49</v>
      </c>
      <c r="G466">
        <v>14.66</v>
      </c>
      <c r="H466">
        <v>12.23</v>
      </c>
      <c r="I466">
        <v>13.2</v>
      </c>
      <c r="J466" s="4">
        <v>0.82530000000000003</v>
      </c>
      <c r="K466">
        <v>130000</v>
      </c>
      <c r="L466" s="2">
        <v>46001</v>
      </c>
      <c r="M466" t="str">
        <f t="shared" si="35"/>
        <v>Admis</v>
      </c>
      <c r="N466" t="str">
        <f t="shared" si="36"/>
        <v>Eligible</v>
      </c>
      <c r="O466" t="str">
        <f t="shared" si="37"/>
        <v>RAS</v>
      </c>
      <c r="P466" t="str">
        <f t="shared" si="38"/>
        <v>Data</v>
      </c>
      <c r="Q466">
        <f t="shared" si="39"/>
        <v>13.145</v>
      </c>
      <c r="R466" t="str" cm="1">
        <f t="array" ref="R466">_xlfn.IFS(Q466&gt;=16, "Excellent",Q466&gt;=14, "Très bien", Q466&gt;=12, "Bien", Q466&gt;=10, "Passable", Q466&lt;10, "Insuffisant")</f>
        <v>Bien</v>
      </c>
    </row>
    <row r="467" spans="1:18">
      <c r="A467" t="s">
        <v>747</v>
      </c>
      <c r="B467" t="s">
        <v>748</v>
      </c>
      <c r="C467" t="s">
        <v>25</v>
      </c>
      <c r="D467" t="s">
        <v>53</v>
      </c>
      <c r="E467" t="s">
        <v>22</v>
      </c>
      <c r="F467">
        <v>10.23</v>
      </c>
      <c r="G467">
        <v>13.99</v>
      </c>
      <c r="H467">
        <v>15.83</v>
      </c>
      <c r="I467">
        <v>10.61</v>
      </c>
      <c r="J467" s="4">
        <v>0.78610000000000002</v>
      </c>
      <c r="K467">
        <v>100000</v>
      </c>
      <c r="L467" s="2">
        <v>45806</v>
      </c>
      <c r="M467" t="str">
        <f t="shared" si="35"/>
        <v>Admis</v>
      </c>
      <c r="N467" t="str">
        <f t="shared" si="36"/>
        <v>Non Eligible</v>
      </c>
      <c r="O467" t="str">
        <f t="shared" si="37"/>
        <v>RAS</v>
      </c>
      <c r="P467" t="str">
        <f t="shared" si="38"/>
        <v>Data</v>
      </c>
      <c r="Q467">
        <f t="shared" si="39"/>
        <v>12.664999999999999</v>
      </c>
      <c r="R467" t="str" cm="1">
        <f t="array" ref="R467">_xlfn.IFS(Q467&gt;=16, "Excellent",Q467&gt;=14, "Très bien", Q467&gt;=12, "Bien", Q467&gt;=10, "Passable", Q467&lt;10, "Insuffisant")</f>
        <v>Bien</v>
      </c>
    </row>
    <row r="468" spans="1:18">
      <c r="A468" t="s">
        <v>749</v>
      </c>
      <c r="B468" t="s">
        <v>532</v>
      </c>
      <c r="C468" t="s">
        <v>20</v>
      </c>
      <c r="D468" t="s">
        <v>41</v>
      </c>
      <c r="E468" t="s">
        <v>22</v>
      </c>
      <c r="F468">
        <v>8.3000000000000007</v>
      </c>
      <c r="G468">
        <v>6.57</v>
      </c>
      <c r="H468">
        <v>12.39</v>
      </c>
      <c r="I468">
        <v>10.35</v>
      </c>
      <c r="J468" s="4">
        <v>0.74929999999999997</v>
      </c>
      <c r="K468">
        <v>50000</v>
      </c>
      <c r="L468" s="2">
        <v>45667</v>
      </c>
      <c r="M468" t="str">
        <f t="shared" si="35"/>
        <v>Admis</v>
      </c>
      <c r="N468" t="str">
        <f t="shared" si="36"/>
        <v>Non Eligible</v>
      </c>
      <c r="O468" t="str">
        <f t="shared" si="37"/>
        <v>A surveiller</v>
      </c>
      <c r="P468" t="str">
        <f t="shared" si="38"/>
        <v>Data</v>
      </c>
      <c r="Q468">
        <f t="shared" si="39"/>
        <v>9.4024999999999999</v>
      </c>
      <c r="R468" t="str" cm="1">
        <f t="array" ref="R468">_xlfn.IFS(Q468&gt;=16, "Excellent",Q468&gt;=14, "Très bien", Q468&gt;=12, "Bien", Q468&gt;=10, "Passable", Q468&lt;10, "Insuffisant")</f>
        <v>Insuffisant</v>
      </c>
    </row>
    <row r="469" spans="1:18">
      <c r="A469" t="s">
        <v>750</v>
      </c>
      <c r="B469" t="s">
        <v>751</v>
      </c>
      <c r="C469" t="s">
        <v>25</v>
      </c>
      <c r="D469" t="s">
        <v>34</v>
      </c>
      <c r="E469" t="s">
        <v>48</v>
      </c>
      <c r="F469">
        <v>15.51</v>
      </c>
      <c r="G469">
        <v>13.98</v>
      </c>
      <c r="H469">
        <v>11.05</v>
      </c>
      <c r="I469">
        <v>14.51</v>
      </c>
      <c r="J469" s="4">
        <v>0.94889999999999997</v>
      </c>
      <c r="K469">
        <v>85000</v>
      </c>
      <c r="L469" s="2">
        <v>45673</v>
      </c>
      <c r="M469" t="str">
        <f t="shared" si="35"/>
        <v>Admis</v>
      </c>
      <c r="N469" t="str">
        <f t="shared" si="36"/>
        <v>Non Eligible</v>
      </c>
      <c r="O469" t="str">
        <f t="shared" si="37"/>
        <v>RAS</v>
      </c>
      <c r="P469" t="str">
        <f t="shared" si="38"/>
        <v>Hors Data</v>
      </c>
      <c r="Q469">
        <f t="shared" si="39"/>
        <v>13.762500000000001</v>
      </c>
      <c r="R469" t="str" cm="1">
        <f t="array" ref="R469">_xlfn.IFS(Q469&gt;=16, "Excellent",Q469&gt;=14, "Très bien", Q469&gt;=12, "Bien", Q469&gt;=10, "Passable", Q469&lt;10, "Insuffisant")</f>
        <v>Bien</v>
      </c>
    </row>
    <row r="470" spans="1:18">
      <c r="A470" t="s">
        <v>752</v>
      </c>
      <c r="B470" t="s">
        <v>155</v>
      </c>
      <c r="C470" t="s">
        <v>20</v>
      </c>
      <c r="D470" t="s">
        <v>38</v>
      </c>
      <c r="E470" t="s">
        <v>22</v>
      </c>
      <c r="F470">
        <v>9.68</v>
      </c>
      <c r="G470">
        <v>11.62</v>
      </c>
      <c r="H470">
        <v>12.29</v>
      </c>
      <c r="I470">
        <v>10.08</v>
      </c>
      <c r="J470" s="4">
        <v>0.93579999999999997</v>
      </c>
      <c r="K470">
        <v>130000</v>
      </c>
      <c r="L470" s="2">
        <v>46023</v>
      </c>
      <c r="M470" t="str">
        <f t="shared" si="35"/>
        <v>Admis</v>
      </c>
      <c r="N470" t="str">
        <f t="shared" si="36"/>
        <v>Non Eligible</v>
      </c>
      <c r="O470" t="str">
        <f t="shared" si="37"/>
        <v>A surveiller</v>
      </c>
      <c r="P470" t="str">
        <f t="shared" si="38"/>
        <v>Data</v>
      </c>
      <c r="Q470">
        <f t="shared" si="39"/>
        <v>10.917499999999999</v>
      </c>
      <c r="R470" t="str" cm="1">
        <f t="array" ref="R470">_xlfn.IFS(Q470&gt;=16, "Excellent",Q470&gt;=14, "Très bien", Q470&gt;=12, "Bien", Q470&gt;=10, "Passable", Q470&lt;10, "Insuffisant")</f>
        <v>Passable</v>
      </c>
    </row>
    <row r="471" spans="1:18">
      <c r="A471" t="s">
        <v>753</v>
      </c>
      <c r="B471" t="s">
        <v>744</v>
      </c>
      <c r="C471" t="s">
        <v>25</v>
      </c>
      <c r="D471" t="s">
        <v>21</v>
      </c>
      <c r="E471" t="s">
        <v>35</v>
      </c>
      <c r="F471">
        <v>15.78</v>
      </c>
      <c r="G471">
        <v>12.08</v>
      </c>
      <c r="H471">
        <v>13.4</v>
      </c>
      <c r="I471">
        <v>11.97</v>
      </c>
      <c r="J471" s="4">
        <v>0.97750000000000004</v>
      </c>
      <c r="K471">
        <v>60000</v>
      </c>
      <c r="L471" s="2">
        <v>45719</v>
      </c>
      <c r="M471" t="str">
        <f t="shared" si="35"/>
        <v>Admis</v>
      </c>
      <c r="N471" t="str">
        <f t="shared" si="36"/>
        <v>Eligible</v>
      </c>
      <c r="O471" t="str">
        <f t="shared" si="37"/>
        <v>RAS</v>
      </c>
      <c r="P471" t="str">
        <f t="shared" si="38"/>
        <v>Hors Data</v>
      </c>
      <c r="Q471">
        <f t="shared" si="39"/>
        <v>13.307499999999999</v>
      </c>
      <c r="R471" t="str" cm="1">
        <f t="array" ref="R471">_xlfn.IFS(Q471&gt;=16, "Excellent",Q471&gt;=14, "Très bien", Q471&gt;=12, "Bien", Q471&gt;=10, "Passable", Q471&lt;10, "Insuffisant")</f>
        <v>Bien</v>
      </c>
    </row>
    <row r="472" spans="1:18">
      <c r="A472" t="s">
        <v>754</v>
      </c>
      <c r="B472" t="s">
        <v>310</v>
      </c>
      <c r="C472" t="s">
        <v>25</v>
      </c>
      <c r="D472" t="s">
        <v>38</v>
      </c>
      <c r="E472" t="s">
        <v>27</v>
      </c>
      <c r="F472">
        <v>5.63</v>
      </c>
      <c r="G472">
        <v>9.15</v>
      </c>
      <c r="H472">
        <v>5.27</v>
      </c>
      <c r="I472">
        <v>2.41</v>
      </c>
      <c r="J472" s="4">
        <v>0.72319999999999995</v>
      </c>
      <c r="K472">
        <v>110000</v>
      </c>
      <c r="L472" s="2">
        <v>45751</v>
      </c>
      <c r="M472" t="str">
        <f t="shared" si="35"/>
        <v>Non admis</v>
      </c>
      <c r="N472" t="str">
        <f t="shared" si="36"/>
        <v>Non Eligible</v>
      </c>
      <c r="O472" t="str">
        <f t="shared" si="37"/>
        <v>A surveiller</v>
      </c>
      <c r="P472" t="str">
        <f t="shared" si="38"/>
        <v>Hors Data</v>
      </c>
      <c r="Q472">
        <f t="shared" si="39"/>
        <v>5.6150000000000002</v>
      </c>
      <c r="R472" t="str" cm="1">
        <f t="array" ref="R472">_xlfn.IFS(Q472&gt;=16, "Excellent",Q472&gt;=14, "Très bien", Q472&gt;=12, "Bien", Q472&gt;=10, "Passable", Q472&lt;10, "Insuffisant")</f>
        <v>Insuffisant</v>
      </c>
    </row>
    <row r="473" spans="1:18">
      <c r="A473" t="s">
        <v>755</v>
      </c>
      <c r="B473" t="s">
        <v>125</v>
      </c>
      <c r="C473" t="s">
        <v>25</v>
      </c>
      <c r="D473" t="s">
        <v>26</v>
      </c>
      <c r="E473" t="s">
        <v>27</v>
      </c>
      <c r="F473">
        <v>12.83</v>
      </c>
      <c r="G473">
        <v>7.28</v>
      </c>
      <c r="H473">
        <v>7.13</v>
      </c>
      <c r="I473">
        <v>9.67</v>
      </c>
      <c r="J473" s="4">
        <v>0.86040000000000005</v>
      </c>
      <c r="K473">
        <v>50000</v>
      </c>
      <c r="L473" s="2">
        <v>45974</v>
      </c>
      <c r="M473" t="str">
        <f t="shared" si="35"/>
        <v>Non admis</v>
      </c>
      <c r="N473" t="str">
        <f t="shared" si="36"/>
        <v>Non Eligible</v>
      </c>
      <c r="O473" t="str">
        <f t="shared" si="37"/>
        <v>A surveiller</v>
      </c>
      <c r="P473" t="str">
        <f t="shared" si="38"/>
        <v>Hors Data</v>
      </c>
      <c r="Q473">
        <f t="shared" si="39"/>
        <v>9.2274999999999991</v>
      </c>
      <c r="R473" t="str" cm="1">
        <f t="array" ref="R473">_xlfn.IFS(Q473&gt;=16, "Excellent",Q473&gt;=14, "Très bien", Q473&gt;=12, "Bien", Q473&gt;=10, "Passable", Q473&lt;10, "Insuffisant")</f>
        <v>Insuffisant</v>
      </c>
    </row>
    <row r="474" spans="1:18">
      <c r="A474" t="s">
        <v>756</v>
      </c>
      <c r="B474" t="s">
        <v>757</v>
      </c>
      <c r="C474" t="s">
        <v>20</v>
      </c>
      <c r="D474" t="s">
        <v>34</v>
      </c>
      <c r="E474" t="s">
        <v>27</v>
      </c>
      <c r="F474">
        <v>14.27</v>
      </c>
      <c r="G474">
        <v>13.48</v>
      </c>
      <c r="H474">
        <v>17.690000000000001</v>
      </c>
      <c r="I474">
        <v>14.9</v>
      </c>
      <c r="J474" s="4">
        <v>0.93049999999999999</v>
      </c>
      <c r="K474">
        <v>110000</v>
      </c>
      <c r="L474" s="2">
        <v>45766</v>
      </c>
      <c r="M474" t="str">
        <f t="shared" si="35"/>
        <v>Admis</v>
      </c>
      <c r="N474" t="str">
        <f t="shared" si="36"/>
        <v>Eligible</v>
      </c>
      <c r="O474" t="str">
        <f t="shared" si="37"/>
        <v>RAS</v>
      </c>
      <c r="P474" t="str">
        <f t="shared" si="38"/>
        <v>Hors Data</v>
      </c>
      <c r="Q474">
        <f t="shared" si="39"/>
        <v>15.084999999999999</v>
      </c>
      <c r="R474" t="str" cm="1">
        <f t="array" ref="R474">_xlfn.IFS(Q474&gt;=16, "Excellent",Q474&gt;=14, "Très bien", Q474&gt;=12, "Bien", Q474&gt;=10, "Passable", Q474&lt;10, "Insuffisant")</f>
        <v>Très bien</v>
      </c>
    </row>
    <row r="475" spans="1:18">
      <c r="A475" t="s">
        <v>758</v>
      </c>
      <c r="B475" t="s">
        <v>759</v>
      </c>
      <c r="C475" t="s">
        <v>20</v>
      </c>
      <c r="D475" t="s">
        <v>41</v>
      </c>
      <c r="E475" t="s">
        <v>35</v>
      </c>
      <c r="F475">
        <v>9.61</v>
      </c>
      <c r="G475">
        <v>10.220000000000001</v>
      </c>
      <c r="H475">
        <v>11.82</v>
      </c>
      <c r="I475">
        <v>12.38</v>
      </c>
      <c r="J475" s="4">
        <v>0.85699999999999998</v>
      </c>
      <c r="K475">
        <v>85000</v>
      </c>
      <c r="L475" s="2">
        <v>45807</v>
      </c>
      <c r="M475" t="str">
        <f t="shared" si="35"/>
        <v>Admis</v>
      </c>
      <c r="N475" t="str">
        <f t="shared" si="36"/>
        <v>Non Eligible</v>
      </c>
      <c r="O475" t="str">
        <f t="shared" si="37"/>
        <v>A surveiller</v>
      </c>
      <c r="P475" t="str">
        <f t="shared" si="38"/>
        <v>Hors Data</v>
      </c>
      <c r="Q475">
        <f t="shared" si="39"/>
        <v>11.0075</v>
      </c>
      <c r="R475" t="str" cm="1">
        <f t="array" ref="R475">_xlfn.IFS(Q475&gt;=16, "Excellent",Q475&gt;=14, "Très bien", Q475&gt;=12, "Bien", Q475&gt;=10, "Passable", Q475&lt;10, "Insuffisant")</f>
        <v>Passable</v>
      </c>
    </row>
    <row r="476" spans="1:18">
      <c r="A476" t="s">
        <v>760</v>
      </c>
      <c r="B476" t="s">
        <v>761</v>
      </c>
      <c r="C476" t="s">
        <v>25</v>
      </c>
      <c r="D476" t="s">
        <v>38</v>
      </c>
      <c r="E476" t="s">
        <v>48</v>
      </c>
      <c r="F476">
        <v>11.95</v>
      </c>
      <c r="G476">
        <v>15.54</v>
      </c>
      <c r="H476">
        <v>18.920000000000002</v>
      </c>
      <c r="I476">
        <v>11.46</v>
      </c>
      <c r="J476" s="4">
        <v>0.70750000000000002</v>
      </c>
      <c r="K476">
        <v>120000</v>
      </c>
      <c r="L476" s="2">
        <v>45707</v>
      </c>
      <c r="M476" t="str">
        <f t="shared" si="35"/>
        <v>Admis</v>
      </c>
      <c r="N476" t="str">
        <f t="shared" si="36"/>
        <v>Non Eligible</v>
      </c>
      <c r="O476" t="str">
        <f t="shared" si="37"/>
        <v>RAS</v>
      </c>
      <c r="P476" t="str">
        <f t="shared" si="38"/>
        <v>Hors Data</v>
      </c>
      <c r="Q476">
        <f t="shared" si="39"/>
        <v>14.467499999999999</v>
      </c>
      <c r="R476" t="str" cm="1">
        <f t="array" ref="R476">_xlfn.IFS(Q476&gt;=16, "Excellent",Q476&gt;=14, "Très bien", Q476&gt;=12, "Bien", Q476&gt;=10, "Passable", Q476&lt;10, "Insuffisant")</f>
        <v>Très bien</v>
      </c>
    </row>
    <row r="477" spans="1:18">
      <c r="A477" t="s">
        <v>762</v>
      </c>
      <c r="B477" t="s">
        <v>618</v>
      </c>
      <c r="C477" t="s">
        <v>25</v>
      </c>
      <c r="D477" t="s">
        <v>21</v>
      </c>
      <c r="E477" t="s">
        <v>22</v>
      </c>
      <c r="F477">
        <v>10.16</v>
      </c>
      <c r="G477">
        <v>11.37</v>
      </c>
      <c r="H477">
        <v>9.25</v>
      </c>
      <c r="I477">
        <v>9.5399999999999991</v>
      </c>
      <c r="J477" s="4">
        <v>0.9546</v>
      </c>
      <c r="K477">
        <v>80000</v>
      </c>
      <c r="L477" s="2">
        <v>45777</v>
      </c>
      <c r="M477" t="str">
        <f t="shared" si="35"/>
        <v>Non admis</v>
      </c>
      <c r="N477" t="str">
        <f t="shared" si="36"/>
        <v>Non Eligible</v>
      </c>
      <c r="O477" t="str">
        <f t="shared" si="37"/>
        <v>A surveiller</v>
      </c>
      <c r="P477" t="str">
        <f t="shared" si="38"/>
        <v>Data</v>
      </c>
      <c r="Q477">
        <f t="shared" si="39"/>
        <v>10.08</v>
      </c>
      <c r="R477" t="str" cm="1">
        <f t="array" ref="R477">_xlfn.IFS(Q477&gt;=16, "Excellent",Q477&gt;=14, "Très bien", Q477&gt;=12, "Bien", Q477&gt;=10, "Passable", Q477&lt;10, "Insuffisant")</f>
        <v>Passable</v>
      </c>
    </row>
    <row r="478" spans="1:18">
      <c r="A478" t="s">
        <v>763</v>
      </c>
      <c r="B478" t="s">
        <v>173</v>
      </c>
      <c r="C478" t="s">
        <v>25</v>
      </c>
      <c r="D478" t="s">
        <v>53</v>
      </c>
      <c r="E478" t="s">
        <v>27</v>
      </c>
      <c r="F478">
        <v>17.670000000000002</v>
      </c>
      <c r="G478">
        <v>18.89</v>
      </c>
      <c r="H478">
        <v>20</v>
      </c>
      <c r="I478">
        <v>18.690000000000001</v>
      </c>
      <c r="J478" s="4">
        <v>0.74709999999999999</v>
      </c>
      <c r="K478">
        <v>110000</v>
      </c>
      <c r="L478" s="2">
        <v>46020</v>
      </c>
      <c r="M478" t="str">
        <f t="shared" si="35"/>
        <v>Admis</v>
      </c>
      <c r="N478" t="str">
        <f t="shared" si="36"/>
        <v>Non Eligible</v>
      </c>
      <c r="O478" t="str">
        <f t="shared" si="37"/>
        <v>RAS</v>
      </c>
      <c r="P478" t="str">
        <f t="shared" si="38"/>
        <v>Hors Data</v>
      </c>
      <c r="Q478">
        <f t="shared" si="39"/>
        <v>18.8125</v>
      </c>
      <c r="R478" t="str" cm="1">
        <f t="array" ref="R478">_xlfn.IFS(Q478&gt;=16, "Excellent",Q478&gt;=14, "Très bien", Q478&gt;=12, "Bien", Q478&gt;=10, "Passable", Q478&lt;10, "Insuffisant")</f>
        <v>Excellent</v>
      </c>
    </row>
    <row r="479" spans="1:18">
      <c r="A479" t="s">
        <v>764</v>
      </c>
      <c r="B479" t="s">
        <v>607</v>
      </c>
      <c r="C479" t="s">
        <v>20</v>
      </c>
      <c r="D479" t="s">
        <v>41</v>
      </c>
      <c r="E479" t="s">
        <v>22</v>
      </c>
      <c r="F479">
        <v>12.08</v>
      </c>
      <c r="G479">
        <v>16.079999999999998</v>
      </c>
      <c r="H479">
        <v>10.51</v>
      </c>
      <c r="I479">
        <v>14.99</v>
      </c>
      <c r="J479" s="4">
        <v>0.75880000000000003</v>
      </c>
      <c r="K479">
        <v>120000</v>
      </c>
      <c r="L479" s="2">
        <v>45909</v>
      </c>
      <c r="M479" t="str">
        <f t="shared" si="35"/>
        <v>Admis</v>
      </c>
      <c r="N479" t="str">
        <f t="shared" si="36"/>
        <v>Non Eligible</v>
      </c>
      <c r="O479" t="str">
        <f t="shared" si="37"/>
        <v>RAS</v>
      </c>
      <c r="P479" t="str">
        <f t="shared" si="38"/>
        <v>Data</v>
      </c>
      <c r="Q479">
        <f t="shared" si="39"/>
        <v>13.414999999999999</v>
      </c>
      <c r="R479" t="str" cm="1">
        <f t="array" ref="R479">_xlfn.IFS(Q479&gt;=16, "Excellent",Q479&gt;=14, "Très bien", Q479&gt;=12, "Bien", Q479&gt;=10, "Passable", Q479&lt;10, "Insuffisant")</f>
        <v>Bien</v>
      </c>
    </row>
    <row r="480" spans="1:18">
      <c r="A480" t="s">
        <v>765</v>
      </c>
      <c r="B480" t="s">
        <v>50</v>
      </c>
      <c r="C480" t="s">
        <v>25</v>
      </c>
      <c r="D480" t="s">
        <v>34</v>
      </c>
      <c r="E480" t="s">
        <v>48</v>
      </c>
      <c r="F480">
        <v>12.08</v>
      </c>
      <c r="G480">
        <v>10.83</v>
      </c>
      <c r="H480">
        <v>12.25</v>
      </c>
      <c r="I480">
        <v>12.53</v>
      </c>
      <c r="J480" s="4">
        <v>0.8881</v>
      </c>
      <c r="K480">
        <v>75000</v>
      </c>
      <c r="L480" s="2">
        <v>46234</v>
      </c>
      <c r="M480" t="str">
        <f t="shared" si="35"/>
        <v>Admis</v>
      </c>
      <c r="N480" t="str">
        <f t="shared" si="36"/>
        <v>Eligible</v>
      </c>
      <c r="O480" t="str">
        <f t="shared" si="37"/>
        <v>RAS</v>
      </c>
      <c r="P480" t="str">
        <f t="shared" si="38"/>
        <v>Hors Data</v>
      </c>
      <c r="Q480">
        <f t="shared" si="39"/>
        <v>11.922499999999999</v>
      </c>
      <c r="R480" t="str" cm="1">
        <f t="array" ref="R480">_xlfn.IFS(Q480&gt;=16, "Excellent",Q480&gt;=14, "Très bien", Q480&gt;=12, "Bien", Q480&gt;=10, "Passable", Q480&lt;10, "Insuffisant")</f>
        <v>Passable</v>
      </c>
    </row>
    <row r="481" spans="1:18">
      <c r="A481" t="s">
        <v>766</v>
      </c>
      <c r="B481" t="s">
        <v>220</v>
      </c>
      <c r="C481" t="s">
        <v>20</v>
      </c>
      <c r="D481" t="s">
        <v>34</v>
      </c>
      <c r="E481" t="s">
        <v>48</v>
      </c>
      <c r="F481">
        <v>17.23</v>
      </c>
      <c r="G481">
        <v>20</v>
      </c>
      <c r="H481">
        <v>20</v>
      </c>
      <c r="I481">
        <v>19.95</v>
      </c>
      <c r="J481" s="4">
        <v>0.87219999999999998</v>
      </c>
      <c r="K481">
        <v>100000</v>
      </c>
      <c r="L481" s="2">
        <v>46076</v>
      </c>
      <c r="M481" t="str">
        <f t="shared" si="35"/>
        <v>Admis</v>
      </c>
      <c r="N481" t="str">
        <f t="shared" si="36"/>
        <v>Eligible</v>
      </c>
      <c r="O481" t="str">
        <f t="shared" si="37"/>
        <v>RAS</v>
      </c>
      <c r="P481" t="str">
        <f t="shared" si="38"/>
        <v>Hors Data</v>
      </c>
      <c r="Q481">
        <f t="shared" si="39"/>
        <v>19.295000000000002</v>
      </c>
      <c r="R481" t="str" cm="1">
        <f t="array" ref="R481">_xlfn.IFS(Q481&gt;=16, "Excellent",Q481&gt;=14, "Très bien", Q481&gt;=12, "Bien", Q481&gt;=10, "Passable", Q481&lt;10, "Insuffisant")</f>
        <v>Excellent</v>
      </c>
    </row>
    <row r="482" spans="1:18">
      <c r="A482" t="s">
        <v>767</v>
      </c>
      <c r="B482" t="s">
        <v>178</v>
      </c>
      <c r="C482" t="s">
        <v>20</v>
      </c>
      <c r="D482" t="s">
        <v>21</v>
      </c>
      <c r="E482" t="s">
        <v>27</v>
      </c>
      <c r="F482">
        <v>17.64</v>
      </c>
      <c r="G482">
        <v>17.46</v>
      </c>
      <c r="H482">
        <v>20</v>
      </c>
      <c r="I482">
        <v>18.05</v>
      </c>
      <c r="J482" s="4">
        <v>0.89580000000000004</v>
      </c>
      <c r="K482">
        <v>85000</v>
      </c>
      <c r="L482" s="2">
        <v>45547</v>
      </c>
      <c r="M482" t="str">
        <f t="shared" si="35"/>
        <v>Admis</v>
      </c>
      <c r="N482" t="str">
        <f t="shared" si="36"/>
        <v>Eligible</v>
      </c>
      <c r="O482" t="str">
        <f t="shared" si="37"/>
        <v>RAS</v>
      </c>
      <c r="P482" t="str">
        <f t="shared" si="38"/>
        <v>Hors Data</v>
      </c>
      <c r="Q482">
        <f t="shared" si="39"/>
        <v>18.287500000000001</v>
      </c>
      <c r="R482" t="str" cm="1">
        <f t="array" ref="R482">_xlfn.IFS(Q482&gt;=16, "Excellent",Q482&gt;=14, "Très bien", Q482&gt;=12, "Bien", Q482&gt;=10, "Passable", Q482&lt;10, "Insuffisant")</f>
        <v>Excellent</v>
      </c>
    </row>
    <row r="483" spans="1:18">
      <c r="A483" t="s">
        <v>768</v>
      </c>
      <c r="B483" t="s">
        <v>611</v>
      </c>
      <c r="C483" t="s">
        <v>25</v>
      </c>
      <c r="D483" t="s">
        <v>38</v>
      </c>
      <c r="E483" t="s">
        <v>35</v>
      </c>
      <c r="F483">
        <v>11.62</v>
      </c>
      <c r="G483">
        <v>14.65</v>
      </c>
      <c r="H483">
        <v>10.74</v>
      </c>
      <c r="I483">
        <v>15.95</v>
      </c>
      <c r="J483" s="4">
        <v>0.83789999999999998</v>
      </c>
      <c r="K483">
        <v>80000</v>
      </c>
      <c r="L483" s="2">
        <v>45801</v>
      </c>
      <c r="M483" t="str">
        <f t="shared" si="35"/>
        <v>Admis</v>
      </c>
      <c r="N483" t="str">
        <f t="shared" si="36"/>
        <v>Non Eligible</v>
      </c>
      <c r="O483" t="str">
        <f t="shared" si="37"/>
        <v>RAS</v>
      </c>
      <c r="P483" t="str">
        <f t="shared" si="38"/>
        <v>Hors Data</v>
      </c>
      <c r="Q483">
        <f t="shared" si="39"/>
        <v>13.239999999999998</v>
      </c>
      <c r="R483" t="str" cm="1">
        <f t="array" ref="R483">_xlfn.IFS(Q483&gt;=16, "Excellent",Q483&gt;=14, "Très bien", Q483&gt;=12, "Bien", Q483&gt;=10, "Passable", Q483&lt;10, "Insuffisant")</f>
        <v>Bien</v>
      </c>
    </row>
    <row r="484" spans="1:18">
      <c r="A484" t="s">
        <v>769</v>
      </c>
      <c r="B484" t="s">
        <v>770</v>
      </c>
      <c r="C484" t="s">
        <v>20</v>
      </c>
      <c r="D484" t="s">
        <v>41</v>
      </c>
      <c r="E484" t="s">
        <v>22</v>
      </c>
      <c r="F484">
        <v>10.33</v>
      </c>
      <c r="G484">
        <v>9.33</v>
      </c>
      <c r="H484">
        <v>12.09</v>
      </c>
      <c r="I484">
        <v>8.48</v>
      </c>
      <c r="J484" s="4">
        <v>0.61839999999999995</v>
      </c>
      <c r="K484">
        <v>110000</v>
      </c>
      <c r="L484" s="2">
        <v>45738</v>
      </c>
      <c r="M484" t="str">
        <f t="shared" si="35"/>
        <v>Admis</v>
      </c>
      <c r="N484" t="str">
        <f t="shared" si="36"/>
        <v>Non Eligible</v>
      </c>
      <c r="O484" t="str">
        <f t="shared" si="37"/>
        <v>RAS</v>
      </c>
      <c r="P484" t="str">
        <f t="shared" si="38"/>
        <v>Data</v>
      </c>
      <c r="Q484">
        <f t="shared" si="39"/>
        <v>10.057500000000001</v>
      </c>
      <c r="R484" t="str" cm="1">
        <f t="array" ref="R484">_xlfn.IFS(Q484&gt;=16, "Excellent",Q484&gt;=14, "Très bien", Q484&gt;=12, "Bien", Q484&gt;=10, "Passable", Q484&lt;10, "Insuffisant")</f>
        <v>Passable</v>
      </c>
    </row>
    <row r="485" spans="1:18">
      <c r="A485" t="s">
        <v>771</v>
      </c>
      <c r="B485" t="s">
        <v>243</v>
      </c>
      <c r="C485" t="s">
        <v>25</v>
      </c>
      <c r="D485" t="s">
        <v>21</v>
      </c>
      <c r="E485" t="s">
        <v>27</v>
      </c>
      <c r="F485">
        <v>15.99</v>
      </c>
      <c r="G485">
        <v>13</v>
      </c>
      <c r="H485">
        <v>9.75</v>
      </c>
      <c r="I485">
        <v>10.48</v>
      </c>
      <c r="J485" s="4">
        <v>0.68830000000000002</v>
      </c>
      <c r="K485">
        <v>70000</v>
      </c>
      <c r="L485" s="2">
        <v>45947</v>
      </c>
      <c r="M485" t="str">
        <f t="shared" si="35"/>
        <v>Non admis</v>
      </c>
      <c r="N485" t="str">
        <f t="shared" si="36"/>
        <v>Non Eligible</v>
      </c>
      <c r="O485" t="str">
        <f t="shared" si="37"/>
        <v>A surveiller</v>
      </c>
      <c r="P485" t="str">
        <f t="shared" si="38"/>
        <v>Hors Data</v>
      </c>
      <c r="Q485">
        <f t="shared" si="39"/>
        <v>12.305</v>
      </c>
      <c r="R485" t="str" cm="1">
        <f t="array" ref="R485">_xlfn.IFS(Q485&gt;=16, "Excellent",Q485&gt;=14, "Très bien", Q485&gt;=12, "Bien", Q485&gt;=10, "Passable", Q485&lt;10, "Insuffisant")</f>
        <v>Bien</v>
      </c>
    </row>
    <row r="486" spans="1:18">
      <c r="A486" t="s">
        <v>772</v>
      </c>
      <c r="B486" t="s">
        <v>106</v>
      </c>
      <c r="C486" t="s">
        <v>20</v>
      </c>
      <c r="D486" t="s">
        <v>26</v>
      </c>
      <c r="E486" t="s">
        <v>48</v>
      </c>
      <c r="F486">
        <v>14.75</v>
      </c>
      <c r="G486">
        <v>15.85</v>
      </c>
      <c r="H486">
        <v>14.73</v>
      </c>
      <c r="I486">
        <v>20</v>
      </c>
      <c r="J486" s="4">
        <v>0.73089999999999999</v>
      </c>
      <c r="K486">
        <v>60000</v>
      </c>
      <c r="L486" s="2">
        <v>45721</v>
      </c>
      <c r="M486" t="str">
        <f t="shared" si="35"/>
        <v>Admis</v>
      </c>
      <c r="N486" t="str">
        <f t="shared" si="36"/>
        <v>Non Eligible</v>
      </c>
      <c r="O486" t="str">
        <f t="shared" si="37"/>
        <v>RAS</v>
      </c>
      <c r="P486" t="str">
        <f t="shared" si="38"/>
        <v>Hors Data</v>
      </c>
      <c r="Q486">
        <f t="shared" si="39"/>
        <v>16.3325</v>
      </c>
      <c r="R486" t="str" cm="1">
        <f t="array" ref="R486">_xlfn.IFS(Q486&gt;=16, "Excellent",Q486&gt;=14, "Très bien", Q486&gt;=12, "Bien", Q486&gt;=10, "Passable", Q486&lt;10, "Insuffisant")</f>
        <v>Excellent</v>
      </c>
    </row>
    <row r="487" spans="1:18">
      <c r="A487" t="s">
        <v>773</v>
      </c>
      <c r="B487" t="s">
        <v>372</v>
      </c>
      <c r="C487" t="s">
        <v>20</v>
      </c>
      <c r="D487" t="s">
        <v>53</v>
      </c>
      <c r="E487" t="s">
        <v>35</v>
      </c>
      <c r="F487">
        <v>16</v>
      </c>
      <c r="G487">
        <v>16.149999999999999</v>
      </c>
      <c r="H487">
        <v>15.25</v>
      </c>
      <c r="I487">
        <v>12.5</v>
      </c>
      <c r="J487" s="4">
        <v>0.97099999999999997</v>
      </c>
      <c r="K487">
        <v>85000</v>
      </c>
      <c r="L487" s="2">
        <v>46212</v>
      </c>
      <c r="M487" t="str">
        <f t="shared" si="35"/>
        <v>Admis</v>
      </c>
      <c r="N487" t="str">
        <f t="shared" si="36"/>
        <v>Eligible</v>
      </c>
      <c r="O487" t="str">
        <f t="shared" si="37"/>
        <v>RAS</v>
      </c>
      <c r="P487" t="str">
        <f t="shared" si="38"/>
        <v>Hors Data</v>
      </c>
      <c r="Q487">
        <f t="shared" si="39"/>
        <v>14.975</v>
      </c>
      <c r="R487" t="str" cm="1">
        <f t="array" ref="R487">_xlfn.IFS(Q487&gt;=16, "Excellent",Q487&gt;=14, "Très bien", Q487&gt;=12, "Bien", Q487&gt;=10, "Passable", Q487&lt;10, "Insuffisant")</f>
        <v>Très bien</v>
      </c>
    </row>
    <row r="488" spans="1:18">
      <c r="A488" t="s">
        <v>774</v>
      </c>
      <c r="B488" t="s">
        <v>340</v>
      </c>
      <c r="C488" t="s">
        <v>20</v>
      </c>
      <c r="D488" t="s">
        <v>38</v>
      </c>
      <c r="E488" t="s">
        <v>35</v>
      </c>
      <c r="F488">
        <v>11.22</v>
      </c>
      <c r="G488">
        <v>9.31</v>
      </c>
      <c r="H488">
        <v>11.64</v>
      </c>
      <c r="I488">
        <v>8.1300000000000008</v>
      </c>
      <c r="J488" s="4">
        <v>0.55000000000000004</v>
      </c>
      <c r="K488">
        <v>120000</v>
      </c>
      <c r="L488" s="2">
        <v>45745</v>
      </c>
      <c r="M488" t="str">
        <f t="shared" si="35"/>
        <v>Admis</v>
      </c>
      <c r="N488" t="str">
        <f t="shared" si="36"/>
        <v>Non Eligible</v>
      </c>
      <c r="O488" t="str">
        <f t="shared" si="37"/>
        <v>RAS</v>
      </c>
      <c r="P488" t="str">
        <f t="shared" si="38"/>
        <v>Hors Data</v>
      </c>
      <c r="Q488">
        <f t="shared" si="39"/>
        <v>10.075000000000001</v>
      </c>
      <c r="R488" t="str" cm="1">
        <f t="array" ref="R488">_xlfn.IFS(Q488&gt;=16, "Excellent",Q488&gt;=14, "Très bien", Q488&gt;=12, "Bien", Q488&gt;=10, "Passable", Q488&lt;10, "Insuffisant")</f>
        <v>Passable</v>
      </c>
    </row>
    <row r="489" spans="1:18">
      <c r="A489" t="s">
        <v>775</v>
      </c>
      <c r="B489" t="s">
        <v>71</v>
      </c>
      <c r="C489" t="s">
        <v>25</v>
      </c>
      <c r="D489" t="s">
        <v>26</v>
      </c>
      <c r="E489" t="s">
        <v>35</v>
      </c>
      <c r="F489">
        <v>18.149999999999999</v>
      </c>
      <c r="G489">
        <v>18.079999999999998</v>
      </c>
      <c r="H489">
        <v>17.260000000000002</v>
      </c>
      <c r="I489">
        <v>16.23</v>
      </c>
      <c r="J489" s="4">
        <v>0.87280000000000002</v>
      </c>
      <c r="K489">
        <v>60000</v>
      </c>
      <c r="L489" s="2">
        <v>45901</v>
      </c>
      <c r="M489" t="str">
        <f t="shared" si="35"/>
        <v>Admis</v>
      </c>
      <c r="N489" t="str">
        <f t="shared" si="36"/>
        <v>Eligible</v>
      </c>
      <c r="O489" t="str">
        <f t="shared" si="37"/>
        <v>RAS</v>
      </c>
      <c r="P489" t="str">
        <f t="shared" si="38"/>
        <v>Hors Data</v>
      </c>
      <c r="Q489">
        <f t="shared" si="39"/>
        <v>17.43</v>
      </c>
      <c r="R489" t="str" cm="1">
        <f t="array" ref="R489">_xlfn.IFS(Q489&gt;=16, "Excellent",Q489&gt;=14, "Très bien", Q489&gt;=12, "Bien", Q489&gt;=10, "Passable", Q489&lt;10, "Insuffisant")</f>
        <v>Excellent</v>
      </c>
    </row>
    <row r="490" spans="1:18">
      <c r="A490" t="s">
        <v>776</v>
      </c>
      <c r="B490" t="s">
        <v>777</v>
      </c>
      <c r="C490" t="s">
        <v>25</v>
      </c>
      <c r="D490" t="s">
        <v>53</v>
      </c>
      <c r="E490" t="s">
        <v>35</v>
      </c>
      <c r="F490">
        <v>13.06</v>
      </c>
      <c r="G490">
        <v>11.19</v>
      </c>
      <c r="H490">
        <v>10.89</v>
      </c>
      <c r="I490">
        <v>6.99</v>
      </c>
      <c r="J490" s="4">
        <v>0.55000000000000004</v>
      </c>
      <c r="K490">
        <v>75000</v>
      </c>
      <c r="L490" s="2">
        <v>45622</v>
      </c>
      <c r="M490" t="str">
        <f t="shared" si="35"/>
        <v>Admis</v>
      </c>
      <c r="N490" t="str">
        <f t="shared" si="36"/>
        <v>Non Eligible</v>
      </c>
      <c r="O490" t="str">
        <f t="shared" si="37"/>
        <v>RAS</v>
      </c>
      <c r="P490" t="str">
        <f t="shared" si="38"/>
        <v>Hors Data</v>
      </c>
      <c r="Q490">
        <f t="shared" si="39"/>
        <v>10.532500000000001</v>
      </c>
      <c r="R490" t="str" cm="1">
        <f t="array" ref="R490">_xlfn.IFS(Q490&gt;=16, "Excellent",Q490&gt;=14, "Très bien", Q490&gt;=12, "Bien", Q490&gt;=10, "Passable", Q490&lt;10, "Insuffisant")</f>
        <v>Passable</v>
      </c>
    </row>
    <row r="491" spans="1:18">
      <c r="A491" t="s">
        <v>778</v>
      </c>
      <c r="B491" t="s">
        <v>43</v>
      </c>
      <c r="C491" t="s">
        <v>25</v>
      </c>
      <c r="D491" t="s">
        <v>53</v>
      </c>
      <c r="E491" t="s">
        <v>35</v>
      </c>
      <c r="F491">
        <v>16.2</v>
      </c>
      <c r="G491">
        <v>20</v>
      </c>
      <c r="H491">
        <v>18.71</v>
      </c>
      <c r="I491">
        <v>20</v>
      </c>
      <c r="J491" s="4">
        <v>0.75860000000000005</v>
      </c>
      <c r="K491">
        <v>100000</v>
      </c>
      <c r="L491" s="2">
        <v>46172</v>
      </c>
      <c r="M491" t="str">
        <f t="shared" si="35"/>
        <v>Admis</v>
      </c>
      <c r="N491" t="str">
        <f t="shared" si="36"/>
        <v>Non Eligible</v>
      </c>
      <c r="O491" t="str">
        <f t="shared" si="37"/>
        <v>RAS</v>
      </c>
      <c r="P491" t="str">
        <f t="shared" si="38"/>
        <v>Hors Data</v>
      </c>
      <c r="Q491">
        <f t="shared" si="39"/>
        <v>18.727499999999999</v>
      </c>
      <c r="R491" t="str" cm="1">
        <f t="array" ref="R491">_xlfn.IFS(Q491&gt;=16, "Excellent",Q491&gt;=14, "Très bien", Q491&gt;=12, "Bien", Q491&gt;=10, "Passable", Q491&lt;10, "Insuffisant")</f>
        <v>Excellent</v>
      </c>
    </row>
    <row r="492" spans="1:18">
      <c r="A492" t="s">
        <v>779</v>
      </c>
      <c r="B492" t="s">
        <v>653</v>
      </c>
      <c r="C492" t="s">
        <v>25</v>
      </c>
      <c r="D492" t="s">
        <v>26</v>
      </c>
      <c r="E492" t="s">
        <v>35</v>
      </c>
      <c r="F492">
        <v>16.899999999999999</v>
      </c>
      <c r="G492">
        <v>15.86</v>
      </c>
      <c r="H492">
        <v>17.82</v>
      </c>
      <c r="I492">
        <v>15.44</v>
      </c>
      <c r="J492" s="4">
        <v>0.59540000000000004</v>
      </c>
      <c r="K492">
        <v>85000</v>
      </c>
      <c r="L492" s="2">
        <v>46174</v>
      </c>
      <c r="M492" t="str">
        <f t="shared" si="35"/>
        <v>Admis</v>
      </c>
      <c r="N492" t="str">
        <f t="shared" si="36"/>
        <v>Non Eligible</v>
      </c>
      <c r="O492" t="str">
        <f t="shared" si="37"/>
        <v>RAS</v>
      </c>
      <c r="P492" t="str">
        <f t="shared" si="38"/>
        <v>Hors Data</v>
      </c>
      <c r="Q492">
        <f t="shared" si="39"/>
        <v>16.504999999999999</v>
      </c>
      <c r="R492" t="str" cm="1">
        <f t="array" ref="R492">_xlfn.IFS(Q492&gt;=16, "Excellent",Q492&gt;=14, "Très bien", Q492&gt;=12, "Bien", Q492&gt;=10, "Passable", Q492&lt;10, "Insuffisant")</f>
        <v>Excellent</v>
      </c>
    </row>
    <row r="493" spans="1:18">
      <c r="A493" t="s">
        <v>780</v>
      </c>
      <c r="B493" t="s">
        <v>781</v>
      </c>
      <c r="C493" t="s">
        <v>25</v>
      </c>
      <c r="D493" t="s">
        <v>38</v>
      </c>
      <c r="E493" t="s">
        <v>35</v>
      </c>
      <c r="F493">
        <v>18.2</v>
      </c>
      <c r="G493">
        <v>20</v>
      </c>
      <c r="H493">
        <v>18.86</v>
      </c>
      <c r="I493">
        <v>16.39</v>
      </c>
      <c r="J493" s="4">
        <v>0.89380000000000004</v>
      </c>
      <c r="K493">
        <v>90000</v>
      </c>
      <c r="L493" s="2">
        <v>46091</v>
      </c>
      <c r="M493" t="str">
        <f t="shared" si="35"/>
        <v>Admis</v>
      </c>
      <c r="N493" t="str">
        <f t="shared" si="36"/>
        <v>Eligible</v>
      </c>
      <c r="O493" t="str">
        <f t="shared" si="37"/>
        <v>RAS</v>
      </c>
      <c r="P493" t="str">
        <f t="shared" si="38"/>
        <v>Hors Data</v>
      </c>
      <c r="Q493">
        <f t="shared" si="39"/>
        <v>18.362500000000001</v>
      </c>
      <c r="R493" t="str" cm="1">
        <f t="array" ref="R493">_xlfn.IFS(Q493&gt;=16, "Excellent",Q493&gt;=14, "Très bien", Q493&gt;=12, "Bien", Q493&gt;=10, "Passable", Q493&lt;10, "Insuffisant")</f>
        <v>Excellent</v>
      </c>
    </row>
    <row r="494" spans="1:18">
      <c r="A494" t="s">
        <v>782</v>
      </c>
      <c r="B494" t="s">
        <v>729</v>
      </c>
      <c r="C494" t="s">
        <v>25</v>
      </c>
      <c r="D494" t="s">
        <v>38</v>
      </c>
      <c r="E494" t="s">
        <v>22</v>
      </c>
      <c r="F494">
        <v>16.14</v>
      </c>
      <c r="G494">
        <v>13.72</v>
      </c>
      <c r="H494">
        <v>12.5</v>
      </c>
      <c r="I494">
        <v>13.36</v>
      </c>
      <c r="J494" s="4">
        <v>0.81130000000000002</v>
      </c>
      <c r="K494">
        <v>85000</v>
      </c>
      <c r="L494" s="2">
        <v>45782</v>
      </c>
      <c r="M494" t="str">
        <f t="shared" si="35"/>
        <v>Admis</v>
      </c>
      <c r="N494" t="str">
        <f t="shared" si="36"/>
        <v>Eligible</v>
      </c>
      <c r="O494" t="str">
        <f t="shared" si="37"/>
        <v>RAS</v>
      </c>
      <c r="P494" t="str">
        <f t="shared" si="38"/>
        <v>Data</v>
      </c>
      <c r="Q494">
        <f t="shared" si="39"/>
        <v>13.93</v>
      </c>
      <c r="R494" t="str" cm="1">
        <f t="array" ref="R494">_xlfn.IFS(Q494&gt;=16, "Excellent",Q494&gt;=14, "Très bien", Q494&gt;=12, "Bien", Q494&gt;=10, "Passable", Q494&lt;10, "Insuffisant")</f>
        <v>Bien</v>
      </c>
    </row>
    <row r="495" spans="1:18">
      <c r="A495" t="s">
        <v>783</v>
      </c>
      <c r="B495" t="s">
        <v>224</v>
      </c>
      <c r="C495" t="s">
        <v>25</v>
      </c>
      <c r="D495" t="s">
        <v>34</v>
      </c>
      <c r="E495" t="s">
        <v>27</v>
      </c>
      <c r="F495">
        <v>14.54</v>
      </c>
      <c r="G495">
        <v>18.64</v>
      </c>
      <c r="H495">
        <v>15.7</v>
      </c>
      <c r="I495">
        <v>18.13</v>
      </c>
      <c r="J495" s="4">
        <v>0.92859999999999998</v>
      </c>
      <c r="K495">
        <v>110000</v>
      </c>
      <c r="L495" s="2">
        <v>45577</v>
      </c>
      <c r="M495" t="str">
        <f t="shared" si="35"/>
        <v>Admis</v>
      </c>
      <c r="N495" t="str">
        <f t="shared" si="36"/>
        <v>Eligible</v>
      </c>
      <c r="O495" t="str">
        <f t="shared" si="37"/>
        <v>RAS</v>
      </c>
      <c r="P495" t="str">
        <f t="shared" si="38"/>
        <v>Hors Data</v>
      </c>
      <c r="Q495">
        <f t="shared" si="39"/>
        <v>16.752499999999998</v>
      </c>
      <c r="R495" t="str" cm="1">
        <f t="array" ref="R495">_xlfn.IFS(Q495&gt;=16, "Excellent",Q495&gt;=14, "Très bien", Q495&gt;=12, "Bien", Q495&gt;=10, "Passable", Q495&lt;10, "Insuffisant")</f>
        <v>Excellent</v>
      </c>
    </row>
    <row r="496" spans="1:18">
      <c r="A496" t="s">
        <v>784</v>
      </c>
      <c r="B496" t="s">
        <v>106</v>
      </c>
      <c r="C496" t="s">
        <v>20</v>
      </c>
      <c r="D496" t="s">
        <v>38</v>
      </c>
      <c r="E496" t="s">
        <v>22</v>
      </c>
      <c r="F496">
        <v>11.11</v>
      </c>
      <c r="G496">
        <v>14.87</v>
      </c>
      <c r="H496">
        <v>8.16</v>
      </c>
      <c r="I496">
        <v>7.52</v>
      </c>
      <c r="J496" s="4">
        <v>0.81899999999999995</v>
      </c>
      <c r="K496">
        <v>120000</v>
      </c>
      <c r="L496" s="2">
        <v>46033</v>
      </c>
      <c r="M496" t="str">
        <f t="shared" si="35"/>
        <v>Non admis</v>
      </c>
      <c r="N496" t="str">
        <f t="shared" si="36"/>
        <v>Non Eligible</v>
      </c>
      <c r="O496" t="str">
        <f t="shared" si="37"/>
        <v>A surveiller</v>
      </c>
      <c r="P496" t="str">
        <f t="shared" si="38"/>
        <v>Data</v>
      </c>
      <c r="Q496">
        <f t="shared" si="39"/>
        <v>10.414999999999999</v>
      </c>
      <c r="R496" t="str" cm="1">
        <f t="array" ref="R496">_xlfn.IFS(Q496&gt;=16, "Excellent",Q496&gt;=14, "Très bien", Q496&gt;=12, "Bien", Q496&gt;=10, "Passable", Q496&lt;10, "Insuffisant")</f>
        <v>Passable</v>
      </c>
    </row>
    <row r="497" spans="1:18">
      <c r="A497" t="s">
        <v>785</v>
      </c>
      <c r="B497" t="s">
        <v>251</v>
      </c>
      <c r="C497" t="s">
        <v>20</v>
      </c>
      <c r="D497" t="s">
        <v>53</v>
      </c>
      <c r="E497" t="s">
        <v>22</v>
      </c>
      <c r="F497">
        <v>9.1999999999999993</v>
      </c>
      <c r="G497">
        <v>7.89</v>
      </c>
      <c r="H497">
        <v>9.08</v>
      </c>
      <c r="I497">
        <v>8.1</v>
      </c>
      <c r="J497" s="4">
        <v>0.80289999999999995</v>
      </c>
      <c r="K497">
        <v>80000</v>
      </c>
      <c r="L497" s="2">
        <v>45836</v>
      </c>
      <c r="M497" t="str">
        <f t="shared" si="35"/>
        <v>Non admis</v>
      </c>
      <c r="N497" t="str">
        <f t="shared" si="36"/>
        <v>Non Eligible</v>
      </c>
      <c r="O497" t="str">
        <f t="shared" si="37"/>
        <v>A surveiller</v>
      </c>
      <c r="P497" t="str">
        <f t="shared" si="38"/>
        <v>Data</v>
      </c>
      <c r="Q497">
        <f t="shared" si="39"/>
        <v>8.5675000000000008</v>
      </c>
      <c r="R497" t="str" cm="1">
        <f t="array" ref="R497">_xlfn.IFS(Q497&gt;=16, "Excellent",Q497&gt;=14, "Très bien", Q497&gt;=12, "Bien", Q497&gt;=10, "Passable", Q497&lt;10, "Insuffisant")</f>
        <v>Insuffisant</v>
      </c>
    </row>
    <row r="498" spans="1:18">
      <c r="A498" t="s">
        <v>786</v>
      </c>
      <c r="B498" t="s">
        <v>683</v>
      </c>
      <c r="C498" t="s">
        <v>20</v>
      </c>
      <c r="D498" t="s">
        <v>53</v>
      </c>
      <c r="E498" t="s">
        <v>22</v>
      </c>
      <c r="F498">
        <v>17.510000000000002</v>
      </c>
      <c r="G498">
        <v>16.53</v>
      </c>
      <c r="H498">
        <v>17.98</v>
      </c>
      <c r="I498">
        <v>14.19</v>
      </c>
      <c r="J498" s="4">
        <v>0.80859999999999999</v>
      </c>
      <c r="K498">
        <v>80000</v>
      </c>
      <c r="L498" s="2">
        <v>46229</v>
      </c>
      <c r="M498" t="str">
        <f t="shared" si="35"/>
        <v>Admis</v>
      </c>
      <c r="N498" t="str">
        <f t="shared" si="36"/>
        <v>Eligible</v>
      </c>
      <c r="O498" t="str">
        <f t="shared" si="37"/>
        <v>RAS</v>
      </c>
      <c r="P498" t="str">
        <f t="shared" si="38"/>
        <v>Data</v>
      </c>
      <c r="Q498">
        <f t="shared" si="39"/>
        <v>16.552500000000002</v>
      </c>
      <c r="R498" t="str" cm="1">
        <f t="array" ref="R498">_xlfn.IFS(Q498&gt;=16, "Excellent",Q498&gt;=14, "Très bien", Q498&gt;=12, "Bien", Q498&gt;=10, "Passable", Q498&lt;10, "Insuffisant")</f>
        <v>Excellent</v>
      </c>
    </row>
    <row r="499" spans="1:18">
      <c r="A499" t="s">
        <v>787</v>
      </c>
      <c r="B499" t="s">
        <v>100</v>
      </c>
      <c r="C499" t="s">
        <v>20</v>
      </c>
      <c r="D499" t="s">
        <v>53</v>
      </c>
      <c r="E499" t="s">
        <v>27</v>
      </c>
      <c r="F499">
        <v>16.95</v>
      </c>
      <c r="G499">
        <v>18.78</v>
      </c>
      <c r="H499">
        <v>16.149999999999999</v>
      </c>
      <c r="I499">
        <v>14.51</v>
      </c>
      <c r="J499" s="4">
        <v>0.95950000000000002</v>
      </c>
      <c r="K499">
        <v>75000</v>
      </c>
      <c r="L499" s="2">
        <v>46024</v>
      </c>
      <c r="M499" t="str">
        <f t="shared" si="35"/>
        <v>Admis</v>
      </c>
      <c r="N499" t="str">
        <f t="shared" si="36"/>
        <v>Eligible</v>
      </c>
      <c r="O499" t="str">
        <f t="shared" si="37"/>
        <v>RAS</v>
      </c>
      <c r="P499" t="str">
        <f t="shared" si="38"/>
        <v>Hors Data</v>
      </c>
      <c r="Q499">
        <f t="shared" si="39"/>
        <v>16.5975</v>
      </c>
      <c r="R499" t="str" cm="1">
        <f t="array" ref="R499">_xlfn.IFS(Q499&gt;=16, "Excellent",Q499&gt;=14, "Très bien", Q499&gt;=12, "Bien", Q499&gt;=10, "Passable", Q499&lt;10, "Insuffisant")</f>
        <v>Excellent</v>
      </c>
    </row>
    <row r="500" spans="1:18">
      <c r="A500" t="s">
        <v>788</v>
      </c>
      <c r="B500" t="s">
        <v>270</v>
      </c>
      <c r="C500" t="s">
        <v>25</v>
      </c>
      <c r="D500" t="s">
        <v>53</v>
      </c>
      <c r="E500" t="s">
        <v>35</v>
      </c>
      <c r="F500">
        <v>14.42</v>
      </c>
      <c r="G500">
        <v>13.44</v>
      </c>
      <c r="H500">
        <v>17.97</v>
      </c>
      <c r="I500">
        <v>12.87</v>
      </c>
      <c r="J500" s="4">
        <v>0.90559999999999996</v>
      </c>
      <c r="K500">
        <v>80000</v>
      </c>
      <c r="L500" s="2">
        <v>45913</v>
      </c>
      <c r="M500" t="str">
        <f t="shared" si="35"/>
        <v>Admis</v>
      </c>
      <c r="N500" t="str">
        <f t="shared" si="36"/>
        <v>Eligible</v>
      </c>
      <c r="O500" t="str">
        <f t="shared" si="37"/>
        <v>RAS</v>
      </c>
      <c r="P500" t="str">
        <f t="shared" si="38"/>
        <v>Hors Data</v>
      </c>
      <c r="Q500">
        <f t="shared" si="39"/>
        <v>14.674999999999999</v>
      </c>
      <c r="R500" t="str" cm="1">
        <f t="array" ref="R500">_xlfn.IFS(Q500&gt;=16, "Excellent",Q500&gt;=14, "Très bien", Q500&gt;=12, "Bien", Q500&gt;=10, "Passable", Q500&lt;10, "Insuffisant")</f>
        <v>Très bien</v>
      </c>
    </row>
    <row r="501" spans="1:18">
      <c r="A501" t="s">
        <v>789</v>
      </c>
      <c r="B501" t="s">
        <v>372</v>
      </c>
      <c r="C501" t="s">
        <v>20</v>
      </c>
      <c r="D501" t="s">
        <v>26</v>
      </c>
      <c r="E501" t="s">
        <v>35</v>
      </c>
      <c r="F501">
        <v>12.89</v>
      </c>
      <c r="G501">
        <v>7.63</v>
      </c>
      <c r="H501">
        <v>9.89</v>
      </c>
      <c r="I501">
        <v>7.02</v>
      </c>
      <c r="J501" s="4">
        <v>0.86729999999999996</v>
      </c>
      <c r="K501">
        <v>120000</v>
      </c>
      <c r="L501" s="2">
        <v>46226</v>
      </c>
      <c r="M501" t="str">
        <f t="shared" si="35"/>
        <v>Non admis</v>
      </c>
      <c r="N501" t="str">
        <f t="shared" si="36"/>
        <v>Non Eligible</v>
      </c>
      <c r="O501" t="str">
        <f t="shared" si="37"/>
        <v>A surveiller</v>
      </c>
      <c r="P501" t="str">
        <f t="shared" si="38"/>
        <v>Hors Data</v>
      </c>
      <c r="Q501">
        <f t="shared" si="39"/>
        <v>9.3574999999999999</v>
      </c>
      <c r="R501" t="str" cm="1">
        <f t="array" ref="R501">_xlfn.IFS(Q501&gt;=16, "Excellent",Q501&gt;=14, "Très bien", Q501&gt;=12, "Bien", Q501&gt;=10, "Passable", Q501&lt;10, "Insuffisant")</f>
        <v>Insuffisant</v>
      </c>
    </row>
    <row r="502" spans="1:18">
      <c r="A502" t="s">
        <v>790</v>
      </c>
      <c r="B502" t="s">
        <v>295</v>
      </c>
      <c r="C502" t="s">
        <v>20</v>
      </c>
      <c r="D502" t="s">
        <v>38</v>
      </c>
      <c r="E502" t="s">
        <v>35</v>
      </c>
      <c r="F502">
        <v>12.24</v>
      </c>
      <c r="G502">
        <v>12.17</v>
      </c>
      <c r="H502">
        <v>9.81</v>
      </c>
      <c r="I502">
        <v>10.06</v>
      </c>
      <c r="J502" s="4">
        <v>0.85519999999999996</v>
      </c>
      <c r="K502">
        <v>85000</v>
      </c>
      <c r="L502" s="2">
        <v>46096</v>
      </c>
      <c r="M502" t="str">
        <f t="shared" si="35"/>
        <v>Non admis</v>
      </c>
      <c r="N502" t="str">
        <f t="shared" si="36"/>
        <v>Non Eligible</v>
      </c>
      <c r="O502" t="str">
        <f t="shared" si="37"/>
        <v>A surveiller</v>
      </c>
      <c r="P502" t="str">
        <f t="shared" si="38"/>
        <v>Hors Data</v>
      </c>
      <c r="Q502">
        <f t="shared" si="39"/>
        <v>11.07</v>
      </c>
      <c r="R502" t="str" cm="1">
        <f t="array" ref="R502">_xlfn.IFS(Q502&gt;=16, "Excellent",Q502&gt;=14, "Très bien", Q502&gt;=12, "Bien", Q502&gt;=10, "Passable", Q502&lt;10, "Insuffisant")</f>
        <v>Passable</v>
      </c>
    </row>
    <row r="503" spans="1:18">
      <c r="A503" t="s">
        <v>791</v>
      </c>
      <c r="B503" t="s">
        <v>237</v>
      </c>
      <c r="C503" t="s">
        <v>25</v>
      </c>
      <c r="D503" t="s">
        <v>53</v>
      </c>
      <c r="E503" t="s">
        <v>22</v>
      </c>
      <c r="F503">
        <v>11.19</v>
      </c>
      <c r="G503">
        <v>7.27</v>
      </c>
      <c r="H503">
        <v>11.11</v>
      </c>
      <c r="I503">
        <v>9.08</v>
      </c>
      <c r="J503" s="4">
        <v>0.75849999999999995</v>
      </c>
      <c r="K503">
        <v>100000</v>
      </c>
      <c r="L503" s="2">
        <v>45856</v>
      </c>
      <c r="M503" t="str">
        <f t="shared" si="35"/>
        <v>Admis</v>
      </c>
      <c r="N503" t="str">
        <f t="shared" si="36"/>
        <v>Non Eligible</v>
      </c>
      <c r="O503" t="str">
        <f t="shared" si="37"/>
        <v>RAS</v>
      </c>
      <c r="P503" t="str">
        <f t="shared" si="38"/>
        <v>Data</v>
      </c>
      <c r="Q503">
        <f t="shared" si="39"/>
        <v>9.6624999999999996</v>
      </c>
      <c r="R503" t="str" cm="1">
        <f t="array" ref="R503">_xlfn.IFS(Q503&gt;=16, "Excellent",Q503&gt;=14, "Très bien", Q503&gt;=12, "Bien", Q503&gt;=10, "Passable", Q503&lt;10, "Insuffisant")</f>
        <v>Insuffisant</v>
      </c>
    </row>
    <row r="504" spans="1:18">
      <c r="A504" t="s">
        <v>792</v>
      </c>
      <c r="B504" t="s">
        <v>793</v>
      </c>
      <c r="C504" t="s">
        <v>25</v>
      </c>
      <c r="D504" t="s">
        <v>53</v>
      </c>
      <c r="E504" t="s">
        <v>35</v>
      </c>
      <c r="F504">
        <v>5.42</v>
      </c>
      <c r="G504">
        <v>8.56</v>
      </c>
      <c r="H504">
        <v>2.87</v>
      </c>
      <c r="I504">
        <v>9.66</v>
      </c>
      <c r="J504" s="4">
        <v>0.71250000000000002</v>
      </c>
      <c r="K504">
        <v>80000</v>
      </c>
      <c r="L504" s="2">
        <v>45549</v>
      </c>
      <c r="M504" t="str">
        <f t="shared" si="35"/>
        <v>Non admis</v>
      </c>
      <c r="N504" t="str">
        <f t="shared" si="36"/>
        <v>Non Eligible</v>
      </c>
      <c r="O504" t="str">
        <f t="shared" si="37"/>
        <v>A surveiller</v>
      </c>
      <c r="P504" t="str">
        <f t="shared" si="38"/>
        <v>Hors Data</v>
      </c>
      <c r="Q504">
        <f t="shared" si="39"/>
        <v>6.6275000000000004</v>
      </c>
      <c r="R504" t="str" cm="1">
        <f t="array" ref="R504">_xlfn.IFS(Q504&gt;=16, "Excellent",Q504&gt;=14, "Très bien", Q504&gt;=12, "Bien", Q504&gt;=10, "Passable", Q504&lt;10, "Insuffisant")</f>
        <v>Insuffisant</v>
      </c>
    </row>
    <row r="505" spans="1:18">
      <c r="A505" t="s">
        <v>794</v>
      </c>
      <c r="B505" t="s">
        <v>63</v>
      </c>
      <c r="C505" t="s">
        <v>25</v>
      </c>
      <c r="D505" t="s">
        <v>21</v>
      </c>
      <c r="E505" t="s">
        <v>22</v>
      </c>
      <c r="F505">
        <v>12.28</v>
      </c>
      <c r="G505">
        <v>14.12</v>
      </c>
      <c r="H505">
        <v>14.46</v>
      </c>
      <c r="I505">
        <v>14.15</v>
      </c>
      <c r="J505" s="4">
        <v>0.55000000000000004</v>
      </c>
      <c r="K505">
        <v>100000</v>
      </c>
      <c r="L505" s="2">
        <v>45600</v>
      </c>
      <c r="M505" t="str">
        <f t="shared" si="35"/>
        <v>Admis</v>
      </c>
      <c r="N505" t="str">
        <f t="shared" si="36"/>
        <v>Non Eligible</v>
      </c>
      <c r="O505" t="str">
        <f t="shared" si="37"/>
        <v>RAS</v>
      </c>
      <c r="P505" t="str">
        <f t="shared" si="38"/>
        <v>Data</v>
      </c>
      <c r="Q505">
        <f t="shared" si="39"/>
        <v>13.7525</v>
      </c>
      <c r="R505" t="str" cm="1">
        <f t="array" ref="R505">_xlfn.IFS(Q505&gt;=16, "Excellent",Q505&gt;=14, "Très bien", Q505&gt;=12, "Bien", Q505&gt;=10, "Passable", Q505&lt;10, "Insuffisant")</f>
        <v>Bien</v>
      </c>
    </row>
    <row r="506" spans="1:18">
      <c r="A506" t="s">
        <v>795</v>
      </c>
      <c r="B506" t="s">
        <v>248</v>
      </c>
      <c r="C506" t="s">
        <v>20</v>
      </c>
      <c r="D506" t="s">
        <v>41</v>
      </c>
      <c r="E506" t="s">
        <v>27</v>
      </c>
      <c r="F506">
        <v>14.44</v>
      </c>
      <c r="G506">
        <v>18.62</v>
      </c>
      <c r="H506">
        <v>16.739999999999998</v>
      </c>
      <c r="I506">
        <v>17</v>
      </c>
      <c r="J506" s="4">
        <v>0.73099999999999998</v>
      </c>
      <c r="K506">
        <v>100000</v>
      </c>
      <c r="L506" s="2">
        <v>45846</v>
      </c>
      <c r="M506" t="str">
        <f t="shared" si="35"/>
        <v>Admis</v>
      </c>
      <c r="N506" t="str">
        <f t="shared" si="36"/>
        <v>Non Eligible</v>
      </c>
      <c r="O506" t="str">
        <f t="shared" si="37"/>
        <v>RAS</v>
      </c>
      <c r="P506" t="str">
        <f t="shared" si="38"/>
        <v>Hors Data</v>
      </c>
      <c r="Q506">
        <f t="shared" si="39"/>
        <v>16.7</v>
      </c>
      <c r="R506" t="str" cm="1">
        <f t="array" ref="R506">_xlfn.IFS(Q506&gt;=16, "Excellent",Q506&gt;=14, "Très bien", Q506&gt;=12, "Bien", Q506&gt;=10, "Passable", Q506&lt;10, "Insuffisant")</f>
        <v>Excellent</v>
      </c>
    </row>
    <row r="507" spans="1:18">
      <c r="A507" t="s">
        <v>796</v>
      </c>
      <c r="B507" t="s">
        <v>770</v>
      </c>
      <c r="C507" t="s">
        <v>20</v>
      </c>
      <c r="D507" t="s">
        <v>21</v>
      </c>
      <c r="E507" t="s">
        <v>22</v>
      </c>
      <c r="F507">
        <v>15.06</v>
      </c>
      <c r="G507">
        <v>12.48</v>
      </c>
      <c r="H507">
        <v>16.93</v>
      </c>
      <c r="I507">
        <v>10.18</v>
      </c>
      <c r="J507" s="4">
        <v>0.55000000000000004</v>
      </c>
      <c r="K507">
        <v>85000</v>
      </c>
      <c r="L507" s="2">
        <v>45929</v>
      </c>
      <c r="M507" t="str">
        <f t="shared" si="35"/>
        <v>Admis</v>
      </c>
      <c r="N507" t="str">
        <f t="shared" si="36"/>
        <v>Non Eligible</v>
      </c>
      <c r="O507" t="str">
        <f t="shared" si="37"/>
        <v>RAS</v>
      </c>
      <c r="P507" t="str">
        <f t="shared" si="38"/>
        <v>Data</v>
      </c>
      <c r="Q507">
        <f t="shared" si="39"/>
        <v>13.6625</v>
      </c>
      <c r="R507" t="str" cm="1">
        <f t="array" ref="R507">_xlfn.IFS(Q507&gt;=16, "Excellent",Q507&gt;=14, "Très bien", Q507&gt;=12, "Bien", Q507&gt;=10, "Passable", Q507&lt;10, "Insuffisant")</f>
        <v>Bien</v>
      </c>
    </row>
    <row r="508" spans="1:18">
      <c r="A508" t="s">
        <v>797</v>
      </c>
      <c r="B508" t="s">
        <v>404</v>
      </c>
      <c r="C508" t="s">
        <v>25</v>
      </c>
      <c r="D508" t="s">
        <v>53</v>
      </c>
      <c r="E508" t="s">
        <v>35</v>
      </c>
      <c r="F508">
        <v>7.55</v>
      </c>
      <c r="G508">
        <v>6.06</v>
      </c>
      <c r="H508">
        <v>9.49</v>
      </c>
      <c r="I508">
        <v>8.15</v>
      </c>
      <c r="J508" s="4">
        <v>0.79430000000000001</v>
      </c>
      <c r="K508">
        <v>130000</v>
      </c>
      <c r="L508" s="2">
        <v>45557</v>
      </c>
      <c r="M508" t="str">
        <f t="shared" si="35"/>
        <v>Non admis</v>
      </c>
      <c r="N508" t="str">
        <f t="shared" si="36"/>
        <v>Non Eligible</v>
      </c>
      <c r="O508" t="str">
        <f t="shared" si="37"/>
        <v>A surveiller</v>
      </c>
      <c r="P508" t="str">
        <f t="shared" si="38"/>
        <v>Hors Data</v>
      </c>
      <c r="Q508">
        <f t="shared" si="39"/>
        <v>7.8125</v>
      </c>
      <c r="R508" t="str" cm="1">
        <f t="array" ref="R508">_xlfn.IFS(Q508&gt;=16, "Excellent",Q508&gt;=14, "Très bien", Q508&gt;=12, "Bien", Q508&gt;=10, "Passable", Q508&lt;10, "Insuffisant")</f>
        <v>Insuffisant</v>
      </c>
    </row>
    <row r="509" spans="1:18">
      <c r="A509" t="s">
        <v>798</v>
      </c>
      <c r="B509" t="s">
        <v>620</v>
      </c>
      <c r="C509" t="s">
        <v>20</v>
      </c>
      <c r="D509" t="s">
        <v>38</v>
      </c>
      <c r="E509" t="s">
        <v>27</v>
      </c>
      <c r="F509">
        <v>9.91</v>
      </c>
      <c r="G509">
        <v>13.58</v>
      </c>
      <c r="H509">
        <v>10.67</v>
      </c>
      <c r="I509">
        <v>12.14</v>
      </c>
      <c r="J509" s="4">
        <v>0.87590000000000001</v>
      </c>
      <c r="K509">
        <v>120000</v>
      </c>
      <c r="L509" s="2">
        <v>45624</v>
      </c>
      <c r="M509" t="str">
        <f t="shared" si="35"/>
        <v>Admis</v>
      </c>
      <c r="N509" t="str">
        <f t="shared" si="36"/>
        <v>Non Eligible</v>
      </c>
      <c r="O509" t="str">
        <f t="shared" si="37"/>
        <v>A surveiller</v>
      </c>
      <c r="P509" t="str">
        <f t="shared" si="38"/>
        <v>Hors Data</v>
      </c>
      <c r="Q509">
        <f t="shared" si="39"/>
        <v>11.575000000000001</v>
      </c>
      <c r="R509" t="str" cm="1">
        <f t="array" ref="R509">_xlfn.IFS(Q509&gt;=16, "Excellent",Q509&gt;=14, "Très bien", Q509&gt;=12, "Bien", Q509&gt;=10, "Passable", Q509&lt;10, "Insuffisant")</f>
        <v>Passable</v>
      </c>
    </row>
    <row r="510" spans="1:18">
      <c r="A510" t="s">
        <v>799</v>
      </c>
      <c r="B510" t="s">
        <v>194</v>
      </c>
      <c r="C510" t="s">
        <v>20</v>
      </c>
      <c r="D510" t="s">
        <v>21</v>
      </c>
      <c r="E510" t="s">
        <v>27</v>
      </c>
      <c r="F510">
        <v>12.63</v>
      </c>
      <c r="G510">
        <v>15.66</v>
      </c>
      <c r="H510">
        <v>15.98</v>
      </c>
      <c r="I510">
        <v>12.58</v>
      </c>
      <c r="J510" s="4">
        <v>0.89390000000000003</v>
      </c>
      <c r="K510">
        <v>60000</v>
      </c>
      <c r="L510" s="2">
        <v>46029</v>
      </c>
      <c r="M510" t="str">
        <f t="shared" si="35"/>
        <v>Admis</v>
      </c>
      <c r="N510" t="str">
        <f t="shared" si="36"/>
        <v>Eligible</v>
      </c>
      <c r="O510" t="str">
        <f t="shared" si="37"/>
        <v>RAS</v>
      </c>
      <c r="P510" t="str">
        <f t="shared" si="38"/>
        <v>Hors Data</v>
      </c>
      <c r="Q510">
        <f t="shared" si="39"/>
        <v>14.212499999999999</v>
      </c>
      <c r="R510" t="str" cm="1">
        <f t="array" ref="R510">_xlfn.IFS(Q510&gt;=16, "Excellent",Q510&gt;=14, "Très bien", Q510&gt;=12, "Bien", Q510&gt;=10, "Passable", Q510&lt;10, "Insuffisant")</f>
        <v>Très bien</v>
      </c>
    </row>
    <row r="511" spans="1:18">
      <c r="A511" t="s">
        <v>800</v>
      </c>
      <c r="B511" t="s">
        <v>532</v>
      </c>
      <c r="C511" t="s">
        <v>20</v>
      </c>
      <c r="D511" t="s">
        <v>38</v>
      </c>
      <c r="E511" t="s">
        <v>48</v>
      </c>
      <c r="F511">
        <v>16.079999999999998</v>
      </c>
      <c r="G511">
        <v>20</v>
      </c>
      <c r="H511">
        <v>18.989999999999998</v>
      </c>
      <c r="I511">
        <v>20</v>
      </c>
      <c r="J511" s="4">
        <v>0.90200000000000002</v>
      </c>
      <c r="K511">
        <v>70000</v>
      </c>
      <c r="L511" s="2">
        <v>46062</v>
      </c>
      <c r="M511" t="str">
        <f t="shared" si="35"/>
        <v>Admis</v>
      </c>
      <c r="N511" t="str">
        <f t="shared" si="36"/>
        <v>Eligible</v>
      </c>
      <c r="O511" t="str">
        <f t="shared" si="37"/>
        <v>RAS</v>
      </c>
      <c r="P511" t="str">
        <f t="shared" si="38"/>
        <v>Hors Data</v>
      </c>
      <c r="Q511">
        <f t="shared" si="39"/>
        <v>18.767499999999998</v>
      </c>
      <c r="R511" t="str" cm="1">
        <f t="array" ref="R511">_xlfn.IFS(Q511&gt;=16, "Excellent",Q511&gt;=14, "Très bien", Q511&gt;=12, "Bien", Q511&gt;=10, "Passable", Q511&lt;10, "Insuffisant")</f>
        <v>Excellent</v>
      </c>
    </row>
    <row r="512" spans="1:18">
      <c r="A512" t="s">
        <v>801</v>
      </c>
      <c r="B512" t="s">
        <v>541</v>
      </c>
      <c r="C512" t="s">
        <v>25</v>
      </c>
      <c r="D512" t="s">
        <v>41</v>
      </c>
      <c r="E512" t="s">
        <v>22</v>
      </c>
      <c r="F512">
        <v>9.3000000000000007</v>
      </c>
      <c r="G512">
        <v>6.5</v>
      </c>
      <c r="H512">
        <v>7.63</v>
      </c>
      <c r="I512">
        <v>7.74</v>
      </c>
      <c r="J512" s="4">
        <v>0.84670000000000001</v>
      </c>
      <c r="K512">
        <v>130000</v>
      </c>
      <c r="L512" s="2">
        <v>45556</v>
      </c>
      <c r="M512" t="str">
        <f t="shared" si="35"/>
        <v>Non admis</v>
      </c>
      <c r="N512" t="str">
        <f t="shared" si="36"/>
        <v>Non Eligible</v>
      </c>
      <c r="O512" t="str">
        <f t="shared" si="37"/>
        <v>A surveiller</v>
      </c>
      <c r="P512" t="str">
        <f t="shared" si="38"/>
        <v>Data</v>
      </c>
      <c r="Q512">
        <f t="shared" si="39"/>
        <v>7.7925000000000004</v>
      </c>
      <c r="R512" t="str" cm="1">
        <f t="array" ref="R512">_xlfn.IFS(Q512&gt;=16, "Excellent",Q512&gt;=14, "Très bien", Q512&gt;=12, "Bien", Q512&gt;=10, "Passable", Q512&lt;10, "Insuffisant")</f>
        <v>Insuffisant</v>
      </c>
    </row>
    <row r="513" spans="1:18">
      <c r="A513" t="s">
        <v>802</v>
      </c>
      <c r="B513" t="s">
        <v>803</v>
      </c>
      <c r="C513" t="s">
        <v>25</v>
      </c>
      <c r="D513" t="s">
        <v>26</v>
      </c>
      <c r="E513" t="s">
        <v>35</v>
      </c>
      <c r="F513">
        <v>8.76</v>
      </c>
      <c r="G513">
        <v>13.5</v>
      </c>
      <c r="H513">
        <v>13.04</v>
      </c>
      <c r="I513">
        <v>15.28</v>
      </c>
      <c r="J513" s="4">
        <v>0.95030000000000003</v>
      </c>
      <c r="K513">
        <v>80000</v>
      </c>
      <c r="L513" s="2">
        <v>45891</v>
      </c>
      <c r="M513" t="str">
        <f t="shared" si="35"/>
        <v>Admis</v>
      </c>
      <c r="N513" t="str">
        <f t="shared" si="36"/>
        <v>Non Eligible</v>
      </c>
      <c r="O513" t="str">
        <f t="shared" si="37"/>
        <v>A surveiller</v>
      </c>
      <c r="P513" t="str">
        <f t="shared" si="38"/>
        <v>Hors Data</v>
      </c>
      <c r="Q513">
        <f t="shared" si="39"/>
        <v>12.645</v>
      </c>
      <c r="R513" t="str" cm="1">
        <f t="array" ref="R513">_xlfn.IFS(Q513&gt;=16, "Excellent",Q513&gt;=14, "Très bien", Q513&gt;=12, "Bien", Q513&gt;=10, "Passable", Q513&lt;10, "Insuffisant")</f>
        <v>Bien</v>
      </c>
    </row>
    <row r="514" spans="1:18">
      <c r="A514" t="s">
        <v>804</v>
      </c>
      <c r="B514" t="s">
        <v>805</v>
      </c>
      <c r="C514" t="s">
        <v>25</v>
      </c>
      <c r="D514" t="s">
        <v>21</v>
      </c>
      <c r="E514" t="s">
        <v>22</v>
      </c>
      <c r="F514">
        <v>19.440000000000001</v>
      </c>
      <c r="G514">
        <v>16.29</v>
      </c>
      <c r="H514">
        <v>18.03</v>
      </c>
      <c r="I514">
        <v>20</v>
      </c>
      <c r="J514" s="4">
        <v>0.64149999999999996</v>
      </c>
      <c r="K514">
        <v>75000</v>
      </c>
      <c r="L514" s="2">
        <v>45592</v>
      </c>
      <c r="M514" t="str">
        <f t="shared" si="35"/>
        <v>Admis</v>
      </c>
      <c r="N514" t="str">
        <f t="shared" si="36"/>
        <v>Non Eligible</v>
      </c>
      <c r="O514" t="str">
        <f t="shared" si="37"/>
        <v>RAS</v>
      </c>
      <c r="P514" t="str">
        <f t="shared" si="38"/>
        <v>Data</v>
      </c>
      <c r="Q514">
        <f t="shared" si="39"/>
        <v>18.440000000000001</v>
      </c>
      <c r="R514" t="str" cm="1">
        <f t="array" ref="R514">_xlfn.IFS(Q514&gt;=16, "Excellent",Q514&gt;=14, "Très bien", Q514&gt;=12, "Bien", Q514&gt;=10, "Passable", Q514&lt;10, "Insuffisant")</f>
        <v>Excellent</v>
      </c>
    </row>
    <row r="515" spans="1:18">
      <c r="A515" t="s">
        <v>806</v>
      </c>
      <c r="B515" t="s">
        <v>96</v>
      </c>
      <c r="C515" t="s">
        <v>25</v>
      </c>
      <c r="D515" t="s">
        <v>41</v>
      </c>
      <c r="E515" t="s">
        <v>48</v>
      </c>
      <c r="F515">
        <v>15.59</v>
      </c>
      <c r="G515">
        <v>17.399999999999999</v>
      </c>
      <c r="H515">
        <v>18.34</v>
      </c>
      <c r="I515">
        <v>16.32</v>
      </c>
      <c r="J515" s="4">
        <v>0.79949999999999999</v>
      </c>
      <c r="K515">
        <v>110000</v>
      </c>
      <c r="L515" s="2">
        <v>46042</v>
      </c>
      <c r="M515" t="str">
        <f t="shared" ref="M515:M578" si="40">IF(H515&gt;=10,"Admis","Non admis")</f>
        <v>Admis</v>
      </c>
      <c r="N515" t="str">
        <f t="shared" ref="N515:N578" si="41">IF(AND(F515&gt;=12,H515&gt;=12,J515&gt;80%), "Eligible", "Non Eligible")</f>
        <v>Non Eligible</v>
      </c>
      <c r="O515" t="str">
        <f t="shared" ref="O515:O578" si="42">IF(OR(F515&lt;10,H515&lt;10), "A surveiller", "RAS")</f>
        <v>RAS</v>
      </c>
      <c r="P515" t="str">
        <f t="shared" ref="P515:P578" si="43">IF(NOT(E515="Data"), "Hors Data", "Data")</f>
        <v>Hors Data</v>
      </c>
      <c r="Q515">
        <f t="shared" ref="Q515:Q578" si="44">AVERAGE(F515:I515)</f>
        <v>16.912500000000001</v>
      </c>
      <c r="R515" t="str" cm="1">
        <f t="array" ref="R515">_xlfn.IFS(Q515&gt;=16, "Excellent",Q515&gt;=14, "Très bien", Q515&gt;=12, "Bien", Q515&gt;=10, "Passable", Q515&lt;10, "Insuffisant")</f>
        <v>Excellent</v>
      </c>
    </row>
    <row r="516" spans="1:18">
      <c r="A516" t="s">
        <v>807</v>
      </c>
      <c r="B516" t="s">
        <v>342</v>
      </c>
      <c r="C516" t="s">
        <v>25</v>
      </c>
      <c r="D516" t="s">
        <v>38</v>
      </c>
      <c r="E516" t="s">
        <v>35</v>
      </c>
      <c r="F516">
        <v>19.27</v>
      </c>
      <c r="G516">
        <v>13.41</v>
      </c>
      <c r="H516">
        <v>16.03</v>
      </c>
      <c r="I516">
        <v>12.82</v>
      </c>
      <c r="J516" s="4">
        <v>0.90680000000000005</v>
      </c>
      <c r="K516">
        <v>90000</v>
      </c>
      <c r="L516" s="2">
        <v>46119</v>
      </c>
      <c r="M516" t="str">
        <f t="shared" si="40"/>
        <v>Admis</v>
      </c>
      <c r="N516" t="str">
        <f t="shared" si="41"/>
        <v>Eligible</v>
      </c>
      <c r="O516" t="str">
        <f t="shared" si="42"/>
        <v>RAS</v>
      </c>
      <c r="P516" t="str">
        <f t="shared" si="43"/>
        <v>Hors Data</v>
      </c>
      <c r="Q516">
        <f t="shared" si="44"/>
        <v>15.3825</v>
      </c>
      <c r="R516" t="str" cm="1">
        <f t="array" ref="R516">_xlfn.IFS(Q516&gt;=16, "Excellent",Q516&gt;=14, "Très bien", Q516&gt;=12, "Bien", Q516&gt;=10, "Passable", Q516&lt;10, "Insuffisant")</f>
        <v>Très bien</v>
      </c>
    </row>
    <row r="517" spans="1:18">
      <c r="A517" t="s">
        <v>808</v>
      </c>
      <c r="B517" t="s">
        <v>737</v>
      </c>
      <c r="C517" t="s">
        <v>20</v>
      </c>
      <c r="D517" t="s">
        <v>53</v>
      </c>
      <c r="E517" t="s">
        <v>48</v>
      </c>
      <c r="F517">
        <v>15.69</v>
      </c>
      <c r="G517">
        <v>12.74</v>
      </c>
      <c r="H517">
        <v>14.47</v>
      </c>
      <c r="I517">
        <v>8.91</v>
      </c>
      <c r="J517" s="4">
        <v>0.81320000000000003</v>
      </c>
      <c r="K517">
        <v>60000</v>
      </c>
      <c r="L517" s="2">
        <v>46144</v>
      </c>
      <c r="M517" t="str">
        <f t="shared" si="40"/>
        <v>Admis</v>
      </c>
      <c r="N517" t="str">
        <f t="shared" si="41"/>
        <v>Eligible</v>
      </c>
      <c r="O517" t="str">
        <f t="shared" si="42"/>
        <v>RAS</v>
      </c>
      <c r="P517" t="str">
        <f t="shared" si="43"/>
        <v>Hors Data</v>
      </c>
      <c r="Q517">
        <f t="shared" si="44"/>
        <v>12.952500000000001</v>
      </c>
      <c r="R517" t="str" cm="1">
        <f t="array" ref="R517">_xlfn.IFS(Q517&gt;=16, "Excellent",Q517&gt;=14, "Très bien", Q517&gt;=12, "Bien", Q517&gt;=10, "Passable", Q517&lt;10, "Insuffisant")</f>
        <v>Bien</v>
      </c>
    </row>
    <row r="518" spans="1:18">
      <c r="A518" t="s">
        <v>809</v>
      </c>
      <c r="B518" t="s">
        <v>204</v>
      </c>
      <c r="C518" t="s">
        <v>25</v>
      </c>
      <c r="D518" t="s">
        <v>41</v>
      </c>
      <c r="E518" t="s">
        <v>48</v>
      </c>
      <c r="F518">
        <v>13.49</v>
      </c>
      <c r="G518">
        <v>13.53</v>
      </c>
      <c r="H518">
        <v>16.61</v>
      </c>
      <c r="I518">
        <v>16.7</v>
      </c>
      <c r="J518" s="4">
        <v>0.86909999999999998</v>
      </c>
      <c r="K518">
        <v>60000</v>
      </c>
      <c r="L518" s="2">
        <v>45954</v>
      </c>
      <c r="M518" t="str">
        <f t="shared" si="40"/>
        <v>Admis</v>
      </c>
      <c r="N518" t="str">
        <f t="shared" si="41"/>
        <v>Eligible</v>
      </c>
      <c r="O518" t="str">
        <f t="shared" si="42"/>
        <v>RAS</v>
      </c>
      <c r="P518" t="str">
        <f t="shared" si="43"/>
        <v>Hors Data</v>
      </c>
      <c r="Q518">
        <f t="shared" si="44"/>
        <v>15.0825</v>
      </c>
      <c r="R518" t="str" cm="1">
        <f t="array" ref="R518">_xlfn.IFS(Q518&gt;=16, "Excellent",Q518&gt;=14, "Très bien", Q518&gt;=12, "Bien", Q518&gt;=10, "Passable", Q518&lt;10, "Insuffisant")</f>
        <v>Très bien</v>
      </c>
    </row>
    <row r="519" spans="1:18">
      <c r="A519" t="s">
        <v>810</v>
      </c>
      <c r="B519" t="s">
        <v>492</v>
      </c>
      <c r="C519" t="s">
        <v>20</v>
      </c>
      <c r="D519" t="s">
        <v>41</v>
      </c>
      <c r="E519" t="s">
        <v>27</v>
      </c>
      <c r="F519">
        <v>17.48</v>
      </c>
      <c r="G519">
        <v>15.91</v>
      </c>
      <c r="H519">
        <v>18.28</v>
      </c>
      <c r="I519">
        <v>15.82</v>
      </c>
      <c r="J519" s="4">
        <v>0.94379999999999997</v>
      </c>
      <c r="K519">
        <v>110000</v>
      </c>
      <c r="L519" s="2">
        <v>45976</v>
      </c>
      <c r="M519" t="str">
        <f t="shared" si="40"/>
        <v>Admis</v>
      </c>
      <c r="N519" t="str">
        <f t="shared" si="41"/>
        <v>Eligible</v>
      </c>
      <c r="O519" t="str">
        <f t="shared" si="42"/>
        <v>RAS</v>
      </c>
      <c r="P519" t="str">
        <f t="shared" si="43"/>
        <v>Hors Data</v>
      </c>
      <c r="Q519">
        <f t="shared" si="44"/>
        <v>16.872500000000002</v>
      </c>
      <c r="R519" t="str" cm="1">
        <f t="array" ref="R519">_xlfn.IFS(Q519&gt;=16, "Excellent",Q519&gt;=14, "Très bien", Q519&gt;=12, "Bien", Q519&gt;=10, "Passable", Q519&lt;10, "Insuffisant")</f>
        <v>Excellent</v>
      </c>
    </row>
    <row r="520" spans="1:18">
      <c r="A520" t="s">
        <v>811</v>
      </c>
      <c r="B520" t="s">
        <v>467</v>
      </c>
      <c r="C520" t="s">
        <v>20</v>
      </c>
      <c r="D520" t="s">
        <v>38</v>
      </c>
      <c r="E520" t="s">
        <v>35</v>
      </c>
      <c r="F520">
        <v>8.16</v>
      </c>
      <c r="G520">
        <v>12.34</v>
      </c>
      <c r="H520">
        <v>13.16</v>
      </c>
      <c r="I520">
        <v>9.49</v>
      </c>
      <c r="J520" s="4">
        <v>0.71540000000000004</v>
      </c>
      <c r="K520">
        <v>110000</v>
      </c>
      <c r="L520" s="2">
        <v>46184</v>
      </c>
      <c r="M520" t="str">
        <f t="shared" si="40"/>
        <v>Admis</v>
      </c>
      <c r="N520" t="str">
        <f t="shared" si="41"/>
        <v>Non Eligible</v>
      </c>
      <c r="O520" t="str">
        <f t="shared" si="42"/>
        <v>A surveiller</v>
      </c>
      <c r="P520" t="str">
        <f t="shared" si="43"/>
        <v>Hors Data</v>
      </c>
      <c r="Q520">
        <f t="shared" si="44"/>
        <v>10.7875</v>
      </c>
      <c r="R520" t="str" cm="1">
        <f t="array" ref="R520">_xlfn.IFS(Q520&gt;=16, "Excellent",Q520&gt;=14, "Très bien", Q520&gt;=12, "Bien", Q520&gt;=10, "Passable", Q520&lt;10, "Insuffisant")</f>
        <v>Passable</v>
      </c>
    </row>
    <row r="521" spans="1:18">
      <c r="A521" t="s">
        <v>812</v>
      </c>
      <c r="B521" t="s">
        <v>270</v>
      </c>
      <c r="C521" t="s">
        <v>25</v>
      </c>
      <c r="D521" t="s">
        <v>34</v>
      </c>
      <c r="E521" t="s">
        <v>27</v>
      </c>
      <c r="F521">
        <v>13.84</v>
      </c>
      <c r="G521">
        <v>17.420000000000002</v>
      </c>
      <c r="H521">
        <v>19.28</v>
      </c>
      <c r="I521">
        <v>18.440000000000001</v>
      </c>
      <c r="J521" s="4">
        <v>0.58179999999999998</v>
      </c>
      <c r="K521">
        <v>75000</v>
      </c>
      <c r="L521" s="2">
        <v>45964</v>
      </c>
      <c r="M521" t="str">
        <f t="shared" si="40"/>
        <v>Admis</v>
      </c>
      <c r="N521" t="str">
        <f t="shared" si="41"/>
        <v>Non Eligible</v>
      </c>
      <c r="O521" t="str">
        <f t="shared" si="42"/>
        <v>RAS</v>
      </c>
      <c r="P521" t="str">
        <f t="shared" si="43"/>
        <v>Hors Data</v>
      </c>
      <c r="Q521">
        <f t="shared" si="44"/>
        <v>17.245000000000001</v>
      </c>
      <c r="R521" t="str" cm="1">
        <f t="array" ref="R521">_xlfn.IFS(Q521&gt;=16, "Excellent",Q521&gt;=14, "Très bien", Q521&gt;=12, "Bien", Q521&gt;=10, "Passable", Q521&lt;10, "Insuffisant")</f>
        <v>Excellent</v>
      </c>
    </row>
    <row r="522" spans="1:18">
      <c r="A522" t="s">
        <v>813</v>
      </c>
      <c r="B522" t="s">
        <v>291</v>
      </c>
      <c r="C522" t="s">
        <v>20</v>
      </c>
      <c r="D522" t="s">
        <v>38</v>
      </c>
      <c r="E522" t="s">
        <v>35</v>
      </c>
      <c r="F522">
        <v>10.39</v>
      </c>
      <c r="G522">
        <v>10.039999999999999</v>
      </c>
      <c r="H522">
        <v>11.19</v>
      </c>
      <c r="I522">
        <v>7.66</v>
      </c>
      <c r="J522" s="4">
        <v>0.92800000000000005</v>
      </c>
      <c r="K522">
        <v>120000</v>
      </c>
      <c r="L522" s="2">
        <v>45848</v>
      </c>
      <c r="M522" t="str">
        <f t="shared" si="40"/>
        <v>Admis</v>
      </c>
      <c r="N522" t="str">
        <f t="shared" si="41"/>
        <v>Non Eligible</v>
      </c>
      <c r="O522" t="str">
        <f t="shared" si="42"/>
        <v>RAS</v>
      </c>
      <c r="P522" t="str">
        <f t="shared" si="43"/>
        <v>Hors Data</v>
      </c>
      <c r="Q522">
        <f t="shared" si="44"/>
        <v>9.82</v>
      </c>
      <c r="R522" t="str" cm="1">
        <f t="array" ref="R522">_xlfn.IFS(Q522&gt;=16, "Excellent",Q522&gt;=14, "Très bien", Q522&gt;=12, "Bien", Q522&gt;=10, "Passable", Q522&lt;10, "Insuffisant")</f>
        <v>Insuffisant</v>
      </c>
    </row>
    <row r="523" spans="1:18">
      <c r="A523" t="s">
        <v>814</v>
      </c>
      <c r="B523" t="s">
        <v>274</v>
      </c>
      <c r="C523" t="s">
        <v>20</v>
      </c>
      <c r="D523" t="s">
        <v>34</v>
      </c>
      <c r="E523" t="s">
        <v>48</v>
      </c>
      <c r="F523">
        <v>9.67</v>
      </c>
      <c r="G523">
        <v>11.89</v>
      </c>
      <c r="H523">
        <v>14.99</v>
      </c>
      <c r="I523">
        <v>13.39</v>
      </c>
      <c r="J523" s="4">
        <v>0.94699999999999995</v>
      </c>
      <c r="K523">
        <v>60000</v>
      </c>
      <c r="L523" s="2">
        <v>46064</v>
      </c>
      <c r="M523" t="str">
        <f t="shared" si="40"/>
        <v>Admis</v>
      </c>
      <c r="N523" t="str">
        <f t="shared" si="41"/>
        <v>Non Eligible</v>
      </c>
      <c r="O523" t="str">
        <f t="shared" si="42"/>
        <v>A surveiller</v>
      </c>
      <c r="P523" t="str">
        <f t="shared" si="43"/>
        <v>Hors Data</v>
      </c>
      <c r="Q523">
        <f t="shared" si="44"/>
        <v>12.485000000000001</v>
      </c>
      <c r="R523" t="str" cm="1">
        <f t="array" ref="R523">_xlfn.IFS(Q523&gt;=16, "Excellent",Q523&gt;=14, "Très bien", Q523&gt;=12, "Bien", Q523&gt;=10, "Passable", Q523&lt;10, "Insuffisant")</f>
        <v>Bien</v>
      </c>
    </row>
    <row r="524" spans="1:18">
      <c r="A524" t="s">
        <v>815</v>
      </c>
      <c r="B524" t="s">
        <v>581</v>
      </c>
      <c r="C524" t="s">
        <v>20</v>
      </c>
      <c r="D524" t="s">
        <v>26</v>
      </c>
      <c r="E524" t="s">
        <v>48</v>
      </c>
      <c r="F524">
        <v>13.92</v>
      </c>
      <c r="G524">
        <v>16</v>
      </c>
      <c r="H524">
        <v>16.93</v>
      </c>
      <c r="I524">
        <v>15.06</v>
      </c>
      <c r="J524" s="4">
        <v>0.82799999999999996</v>
      </c>
      <c r="K524">
        <v>120000</v>
      </c>
      <c r="L524" s="2">
        <v>45949</v>
      </c>
      <c r="M524" t="str">
        <f t="shared" si="40"/>
        <v>Admis</v>
      </c>
      <c r="N524" t="str">
        <f t="shared" si="41"/>
        <v>Eligible</v>
      </c>
      <c r="O524" t="str">
        <f t="shared" si="42"/>
        <v>RAS</v>
      </c>
      <c r="P524" t="str">
        <f t="shared" si="43"/>
        <v>Hors Data</v>
      </c>
      <c r="Q524">
        <f t="shared" si="44"/>
        <v>15.477500000000001</v>
      </c>
      <c r="R524" t="str" cm="1">
        <f t="array" ref="R524">_xlfn.IFS(Q524&gt;=16, "Excellent",Q524&gt;=14, "Très bien", Q524&gt;=12, "Bien", Q524&gt;=10, "Passable", Q524&lt;10, "Insuffisant")</f>
        <v>Très bien</v>
      </c>
    </row>
    <row r="525" spans="1:18">
      <c r="A525" t="s">
        <v>816</v>
      </c>
      <c r="B525" t="s">
        <v>200</v>
      </c>
      <c r="C525" t="s">
        <v>25</v>
      </c>
      <c r="D525" t="s">
        <v>26</v>
      </c>
      <c r="E525" t="s">
        <v>27</v>
      </c>
      <c r="F525">
        <v>9.5299999999999994</v>
      </c>
      <c r="G525">
        <v>12.06</v>
      </c>
      <c r="H525">
        <v>11.77</v>
      </c>
      <c r="I525">
        <v>9.2200000000000006</v>
      </c>
      <c r="J525" s="4">
        <v>0.91100000000000003</v>
      </c>
      <c r="K525">
        <v>50000</v>
      </c>
      <c r="L525" s="2">
        <v>46125</v>
      </c>
      <c r="M525" t="str">
        <f t="shared" si="40"/>
        <v>Admis</v>
      </c>
      <c r="N525" t="str">
        <f t="shared" si="41"/>
        <v>Non Eligible</v>
      </c>
      <c r="O525" t="str">
        <f t="shared" si="42"/>
        <v>A surveiller</v>
      </c>
      <c r="P525" t="str">
        <f t="shared" si="43"/>
        <v>Hors Data</v>
      </c>
      <c r="Q525">
        <f t="shared" si="44"/>
        <v>10.645</v>
      </c>
      <c r="R525" t="str" cm="1">
        <f t="array" ref="R525">_xlfn.IFS(Q525&gt;=16, "Excellent",Q525&gt;=14, "Très bien", Q525&gt;=12, "Bien", Q525&gt;=10, "Passable", Q525&lt;10, "Insuffisant")</f>
        <v>Passable</v>
      </c>
    </row>
    <row r="526" spans="1:18">
      <c r="A526" t="s">
        <v>817</v>
      </c>
      <c r="B526" t="s">
        <v>562</v>
      </c>
      <c r="C526" t="s">
        <v>20</v>
      </c>
      <c r="D526" t="s">
        <v>34</v>
      </c>
      <c r="E526" t="s">
        <v>35</v>
      </c>
      <c r="F526">
        <v>13.66</v>
      </c>
      <c r="G526">
        <v>16.39</v>
      </c>
      <c r="H526">
        <v>13.71</v>
      </c>
      <c r="I526">
        <v>13.1</v>
      </c>
      <c r="J526" s="4">
        <v>0.75600000000000001</v>
      </c>
      <c r="K526">
        <v>90000</v>
      </c>
      <c r="L526" s="2">
        <v>45903</v>
      </c>
      <c r="M526" t="str">
        <f t="shared" si="40"/>
        <v>Admis</v>
      </c>
      <c r="N526" t="str">
        <f t="shared" si="41"/>
        <v>Non Eligible</v>
      </c>
      <c r="O526" t="str">
        <f t="shared" si="42"/>
        <v>RAS</v>
      </c>
      <c r="P526" t="str">
        <f t="shared" si="43"/>
        <v>Hors Data</v>
      </c>
      <c r="Q526">
        <f t="shared" si="44"/>
        <v>14.215000000000002</v>
      </c>
      <c r="R526" t="str" cm="1">
        <f t="array" ref="R526">_xlfn.IFS(Q526&gt;=16, "Excellent",Q526&gt;=14, "Très bien", Q526&gt;=12, "Bien", Q526&gt;=10, "Passable", Q526&lt;10, "Insuffisant")</f>
        <v>Très bien</v>
      </c>
    </row>
    <row r="527" spans="1:18">
      <c r="A527" t="s">
        <v>818</v>
      </c>
      <c r="B527" t="s">
        <v>137</v>
      </c>
      <c r="C527" t="s">
        <v>20</v>
      </c>
      <c r="D527" t="s">
        <v>26</v>
      </c>
      <c r="E527" t="s">
        <v>27</v>
      </c>
      <c r="F527">
        <v>9.39</v>
      </c>
      <c r="G527">
        <v>10.6</v>
      </c>
      <c r="H527">
        <v>15.74</v>
      </c>
      <c r="I527">
        <v>14.05</v>
      </c>
      <c r="J527" s="4">
        <v>0.92679999999999996</v>
      </c>
      <c r="K527">
        <v>120000</v>
      </c>
      <c r="L527" s="2">
        <v>46144</v>
      </c>
      <c r="M527" t="str">
        <f t="shared" si="40"/>
        <v>Admis</v>
      </c>
      <c r="N527" t="str">
        <f t="shared" si="41"/>
        <v>Non Eligible</v>
      </c>
      <c r="O527" t="str">
        <f t="shared" si="42"/>
        <v>A surveiller</v>
      </c>
      <c r="P527" t="str">
        <f t="shared" si="43"/>
        <v>Hors Data</v>
      </c>
      <c r="Q527">
        <f t="shared" si="44"/>
        <v>12.445</v>
      </c>
      <c r="R527" t="str" cm="1">
        <f t="array" ref="R527">_xlfn.IFS(Q527&gt;=16, "Excellent",Q527&gt;=14, "Très bien", Q527&gt;=12, "Bien", Q527&gt;=10, "Passable", Q527&lt;10, "Insuffisant")</f>
        <v>Bien</v>
      </c>
    </row>
    <row r="528" spans="1:18">
      <c r="A528" t="s">
        <v>819</v>
      </c>
      <c r="B528" t="s">
        <v>820</v>
      </c>
      <c r="C528" t="s">
        <v>25</v>
      </c>
      <c r="D528" t="s">
        <v>34</v>
      </c>
      <c r="E528" t="s">
        <v>35</v>
      </c>
      <c r="F528">
        <v>11.43</v>
      </c>
      <c r="G528">
        <v>7.37</v>
      </c>
      <c r="H528">
        <v>14.27</v>
      </c>
      <c r="I528">
        <v>10.86</v>
      </c>
      <c r="J528" s="4">
        <v>0.89890000000000003</v>
      </c>
      <c r="K528">
        <v>90000</v>
      </c>
      <c r="L528" s="2">
        <v>45567</v>
      </c>
      <c r="M528" t="str">
        <f t="shared" si="40"/>
        <v>Admis</v>
      </c>
      <c r="N528" t="str">
        <f t="shared" si="41"/>
        <v>Non Eligible</v>
      </c>
      <c r="O528" t="str">
        <f t="shared" si="42"/>
        <v>RAS</v>
      </c>
      <c r="P528" t="str">
        <f t="shared" si="43"/>
        <v>Hors Data</v>
      </c>
      <c r="Q528">
        <f t="shared" si="44"/>
        <v>10.9825</v>
      </c>
      <c r="R528" t="str" cm="1">
        <f t="array" ref="R528">_xlfn.IFS(Q528&gt;=16, "Excellent",Q528&gt;=14, "Très bien", Q528&gt;=12, "Bien", Q528&gt;=10, "Passable", Q528&lt;10, "Insuffisant")</f>
        <v>Passable</v>
      </c>
    </row>
    <row r="529" spans="1:18">
      <c r="A529" t="s">
        <v>821</v>
      </c>
      <c r="B529" t="s">
        <v>822</v>
      </c>
      <c r="C529" t="s">
        <v>20</v>
      </c>
      <c r="D529" t="s">
        <v>26</v>
      </c>
      <c r="E529" t="s">
        <v>35</v>
      </c>
      <c r="F529">
        <v>12.55</v>
      </c>
      <c r="G529">
        <v>12.84</v>
      </c>
      <c r="H529">
        <v>12.69</v>
      </c>
      <c r="I529">
        <v>15.15</v>
      </c>
      <c r="J529" s="4">
        <v>0.84360000000000002</v>
      </c>
      <c r="K529">
        <v>110000</v>
      </c>
      <c r="L529" s="2">
        <v>45561</v>
      </c>
      <c r="M529" t="str">
        <f t="shared" si="40"/>
        <v>Admis</v>
      </c>
      <c r="N529" t="str">
        <f t="shared" si="41"/>
        <v>Eligible</v>
      </c>
      <c r="O529" t="str">
        <f t="shared" si="42"/>
        <v>RAS</v>
      </c>
      <c r="P529" t="str">
        <f t="shared" si="43"/>
        <v>Hors Data</v>
      </c>
      <c r="Q529">
        <f t="shared" si="44"/>
        <v>13.307499999999999</v>
      </c>
      <c r="R529" t="str" cm="1">
        <f t="array" ref="R529">_xlfn.IFS(Q529&gt;=16, "Excellent",Q529&gt;=14, "Très bien", Q529&gt;=12, "Bien", Q529&gt;=10, "Passable", Q529&lt;10, "Insuffisant")</f>
        <v>Bien</v>
      </c>
    </row>
    <row r="530" spans="1:18">
      <c r="A530" t="s">
        <v>823</v>
      </c>
      <c r="B530" t="s">
        <v>344</v>
      </c>
      <c r="C530" t="s">
        <v>25</v>
      </c>
      <c r="D530" t="s">
        <v>38</v>
      </c>
      <c r="E530" t="s">
        <v>35</v>
      </c>
      <c r="F530">
        <v>13.49</v>
      </c>
      <c r="G530">
        <v>13.66</v>
      </c>
      <c r="H530">
        <v>9.61</v>
      </c>
      <c r="I530">
        <v>12.8</v>
      </c>
      <c r="J530" s="4">
        <v>0.68110000000000004</v>
      </c>
      <c r="K530">
        <v>75000</v>
      </c>
      <c r="L530" s="2">
        <v>45605</v>
      </c>
      <c r="M530" t="str">
        <f t="shared" si="40"/>
        <v>Non admis</v>
      </c>
      <c r="N530" t="str">
        <f t="shared" si="41"/>
        <v>Non Eligible</v>
      </c>
      <c r="O530" t="str">
        <f t="shared" si="42"/>
        <v>A surveiller</v>
      </c>
      <c r="P530" t="str">
        <f t="shared" si="43"/>
        <v>Hors Data</v>
      </c>
      <c r="Q530">
        <f t="shared" si="44"/>
        <v>12.39</v>
      </c>
      <c r="R530" t="str" cm="1">
        <f t="array" ref="R530">_xlfn.IFS(Q530&gt;=16, "Excellent",Q530&gt;=14, "Très bien", Q530&gt;=12, "Bien", Q530&gt;=10, "Passable", Q530&lt;10, "Insuffisant")</f>
        <v>Bien</v>
      </c>
    </row>
    <row r="531" spans="1:18">
      <c r="A531" t="s">
        <v>824</v>
      </c>
      <c r="B531" t="s">
        <v>825</v>
      </c>
      <c r="C531" t="s">
        <v>25</v>
      </c>
      <c r="D531" t="s">
        <v>21</v>
      </c>
      <c r="E531" t="s">
        <v>48</v>
      </c>
      <c r="F531">
        <v>14.42</v>
      </c>
      <c r="G531">
        <v>15.16</v>
      </c>
      <c r="H531">
        <v>17.82</v>
      </c>
      <c r="I531">
        <v>14.32</v>
      </c>
      <c r="J531" s="4">
        <v>0.81059999999999999</v>
      </c>
      <c r="K531">
        <v>75000</v>
      </c>
      <c r="L531" s="2">
        <v>45925</v>
      </c>
      <c r="M531" t="str">
        <f t="shared" si="40"/>
        <v>Admis</v>
      </c>
      <c r="N531" t="str">
        <f t="shared" si="41"/>
        <v>Eligible</v>
      </c>
      <c r="O531" t="str">
        <f t="shared" si="42"/>
        <v>RAS</v>
      </c>
      <c r="P531" t="str">
        <f t="shared" si="43"/>
        <v>Hors Data</v>
      </c>
      <c r="Q531">
        <f t="shared" si="44"/>
        <v>15.43</v>
      </c>
      <c r="R531" t="str" cm="1">
        <f t="array" ref="R531">_xlfn.IFS(Q531&gt;=16, "Excellent",Q531&gt;=14, "Très bien", Q531&gt;=12, "Bien", Q531&gt;=10, "Passable", Q531&lt;10, "Insuffisant")</f>
        <v>Très bien</v>
      </c>
    </row>
    <row r="532" spans="1:18">
      <c r="A532" t="s">
        <v>826</v>
      </c>
      <c r="B532" t="s">
        <v>729</v>
      </c>
      <c r="C532" t="s">
        <v>25</v>
      </c>
      <c r="D532" t="s">
        <v>21</v>
      </c>
      <c r="E532" t="s">
        <v>48</v>
      </c>
      <c r="F532">
        <v>8.59</v>
      </c>
      <c r="G532">
        <v>10.24</v>
      </c>
      <c r="H532">
        <v>12.24</v>
      </c>
      <c r="I532">
        <v>5.04</v>
      </c>
      <c r="J532" s="4">
        <v>0.61350000000000005</v>
      </c>
      <c r="K532">
        <v>70000</v>
      </c>
      <c r="L532" s="2">
        <v>46032</v>
      </c>
      <c r="M532" t="str">
        <f t="shared" si="40"/>
        <v>Admis</v>
      </c>
      <c r="N532" t="str">
        <f t="shared" si="41"/>
        <v>Non Eligible</v>
      </c>
      <c r="O532" t="str">
        <f t="shared" si="42"/>
        <v>A surveiller</v>
      </c>
      <c r="P532" t="str">
        <f t="shared" si="43"/>
        <v>Hors Data</v>
      </c>
      <c r="Q532">
        <f t="shared" si="44"/>
        <v>9.0274999999999999</v>
      </c>
      <c r="R532" t="str" cm="1">
        <f t="array" ref="R532">_xlfn.IFS(Q532&gt;=16, "Excellent",Q532&gt;=14, "Très bien", Q532&gt;=12, "Bien", Q532&gt;=10, "Passable", Q532&lt;10, "Insuffisant")</f>
        <v>Insuffisant</v>
      </c>
    </row>
    <row r="533" spans="1:18">
      <c r="A533" t="s">
        <v>827</v>
      </c>
      <c r="B533" t="s">
        <v>564</v>
      </c>
      <c r="C533" t="s">
        <v>20</v>
      </c>
      <c r="D533" t="s">
        <v>34</v>
      </c>
      <c r="E533" t="s">
        <v>22</v>
      </c>
      <c r="F533">
        <v>14.95</v>
      </c>
      <c r="G533">
        <v>13.98</v>
      </c>
      <c r="H533">
        <v>16.39</v>
      </c>
      <c r="I533">
        <v>12.96</v>
      </c>
      <c r="J533" s="4">
        <v>0.89029999999999998</v>
      </c>
      <c r="K533">
        <v>60000</v>
      </c>
      <c r="L533" s="2">
        <v>45687</v>
      </c>
      <c r="M533" t="str">
        <f t="shared" si="40"/>
        <v>Admis</v>
      </c>
      <c r="N533" t="str">
        <f t="shared" si="41"/>
        <v>Eligible</v>
      </c>
      <c r="O533" t="str">
        <f t="shared" si="42"/>
        <v>RAS</v>
      </c>
      <c r="P533" t="str">
        <f t="shared" si="43"/>
        <v>Data</v>
      </c>
      <c r="Q533">
        <f t="shared" si="44"/>
        <v>14.57</v>
      </c>
      <c r="R533" t="str" cm="1">
        <f t="array" ref="R533">_xlfn.IFS(Q533&gt;=16, "Excellent",Q533&gt;=14, "Très bien", Q533&gt;=12, "Bien", Q533&gt;=10, "Passable", Q533&lt;10, "Insuffisant")</f>
        <v>Très bien</v>
      </c>
    </row>
    <row r="534" spans="1:18">
      <c r="A534" t="s">
        <v>828</v>
      </c>
      <c r="B534" t="s">
        <v>329</v>
      </c>
      <c r="C534" t="s">
        <v>20</v>
      </c>
      <c r="D534" t="s">
        <v>53</v>
      </c>
      <c r="E534" t="s">
        <v>27</v>
      </c>
      <c r="F534">
        <v>7.23</v>
      </c>
      <c r="G534">
        <v>14.46</v>
      </c>
      <c r="H534">
        <v>9.68</v>
      </c>
      <c r="I534">
        <v>11.77</v>
      </c>
      <c r="J534" s="4">
        <v>0.9899</v>
      </c>
      <c r="K534">
        <v>75000</v>
      </c>
      <c r="L534" s="2">
        <v>45645</v>
      </c>
      <c r="M534" t="str">
        <f t="shared" si="40"/>
        <v>Non admis</v>
      </c>
      <c r="N534" t="str">
        <f t="shared" si="41"/>
        <v>Non Eligible</v>
      </c>
      <c r="O534" t="str">
        <f t="shared" si="42"/>
        <v>A surveiller</v>
      </c>
      <c r="P534" t="str">
        <f t="shared" si="43"/>
        <v>Hors Data</v>
      </c>
      <c r="Q534">
        <f t="shared" si="44"/>
        <v>10.785</v>
      </c>
      <c r="R534" t="str" cm="1">
        <f t="array" ref="R534">_xlfn.IFS(Q534&gt;=16, "Excellent",Q534&gt;=14, "Très bien", Q534&gt;=12, "Bien", Q534&gt;=10, "Passable", Q534&lt;10, "Insuffisant")</f>
        <v>Passable</v>
      </c>
    </row>
    <row r="535" spans="1:18">
      <c r="A535" t="s">
        <v>829</v>
      </c>
      <c r="B535" t="s">
        <v>175</v>
      </c>
      <c r="C535" t="s">
        <v>20</v>
      </c>
      <c r="D535" t="s">
        <v>38</v>
      </c>
      <c r="E535" t="s">
        <v>27</v>
      </c>
      <c r="F535">
        <v>12.81</v>
      </c>
      <c r="G535">
        <v>10.050000000000001</v>
      </c>
      <c r="H535">
        <v>12.84</v>
      </c>
      <c r="I535">
        <v>8.4</v>
      </c>
      <c r="J535" s="4">
        <v>0.64270000000000005</v>
      </c>
      <c r="K535">
        <v>70000</v>
      </c>
      <c r="L535" s="2">
        <v>46138</v>
      </c>
      <c r="M535" t="str">
        <f t="shared" si="40"/>
        <v>Admis</v>
      </c>
      <c r="N535" t="str">
        <f t="shared" si="41"/>
        <v>Non Eligible</v>
      </c>
      <c r="O535" t="str">
        <f t="shared" si="42"/>
        <v>RAS</v>
      </c>
      <c r="P535" t="str">
        <f t="shared" si="43"/>
        <v>Hors Data</v>
      </c>
      <c r="Q535">
        <f t="shared" si="44"/>
        <v>11.025</v>
      </c>
      <c r="R535" t="str" cm="1">
        <f t="array" ref="R535">_xlfn.IFS(Q535&gt;=16, "Excellent",Q535&gt;=14, "Très bien", Q535&gt;=12, "Bien", Q535&gt;=10, "Passable", Q535&lt;10, "Insuffisant")</f>
        <v>Passable</v>
      </c>
    </row>
    <row r="536" spans="1:18">
      <c r="A536" t="s">
        <v>830</v>
      </c>
      <c r="B536" t="s">
        <v>262</v>
      </c>
      <c r="C536" t="s">
        <v>25</v>
      </c>
      <c r="D536" t="s">
        <v>41</v>
      </c>
      <c r="E536" t="s">
        <v>22</v>
      </c>
      <c r="F536">
        <v>13.05</v>
      </c>
      <c r="G536">
        <v>10.56</v>
      </c>
      <c r="H536">
        <v>11.9</v>
      </c>
      <c r="I536">
        <v>10.93</v>
      </c>
      <c r="J536" s="4">
        <v>0.55000000000000004</v>
      </c>
      <c r="K536">
        <v>110000</v>
      </c>
      <c r="L536" s="2">
        <v>46061</v>
      </c>
      <c r="M536" t="str">
        <f t="shared" si="40"/>
        <v>Admis</v>
      </c>
      <c r="N536" t="str">
        <f t="shared" si="41"/>
        <v>Non Eligible</v>
      </c>
      <c r="O536" t="str">
        <f t="shared" si="42"/>
        <v>RAS</v>
      </c>
      <c r="P536" t="str">
        <f t="shared" si="43"/>
        <v>Data</v>
      </c>
      <c r="Q536">
        <f t="shared" si="44"/>
        <v>11.61</v>
      </c>
      <c r="R536" t="str" cm="1">
        <f t="array" ref="R536">_xlfn.IFS(Q536&gt;=16, "Excellent",Q536&gt;=14, "Très bien", Q536&gt;=12, "Bien", Q536&gt;=10, "Passable", Q536&lt;10, "Insuffisant")</f>
        <v>Passable</v>
      </c>
    </row>
    <row r="537" spans="1:18">
      <c r="A537" t="s">
        <v>831</v>
      </c>
      <c r="B537" t="s">
        <v>492</v>
      </c>
      <c r="C537" t="s">
        <v>20</v>
      </c>
      <c r="D537" t="s">
        <v>53</v>
      </c>
      <c r="E537" t="s">
        <v>27</v>
      </c>
      <c r="F537">
        <v>20</v>
      </c>
      <c r="G537">
        <v>18.86</v>
      </c>
      <c r="H537">
        <v>15.95</v>
      </c>
      <c r="I537">
        <v>17.86</v>
      </c>
      <c r="J537" s="4">
        <v>0.97529999999999994</v>
      </c>
      <c r="K537">
        <v>70000</v>
      </c>
      <c r="L537" s="2">
        <v>45989</v>
      </c>
      <c r="M537" t="str">
        <f t="shared" si="40"/>
        <v>Admis</v>
      </c>
      <c r="N537" t="str">
        <f t="shared" si="41"/>
        <v>Eligible</v>
      </c>
      <c r="O537" t="str">
        <f t="shared" si="42"/>
        <v>RAS</v>
      </c>
      <c r="P537" t="str">
        <f t="shared" si="43"/>
        <v>Hors Data</v>
      </c>
      <c r="Q537">
        <f t="shared" si="44"/>
        <v>18.1675</v>
      </c>
      <c r="R537" t="str" cm="1">
        <f t="array" ref="R537">_xlfn.IFS(Q537&gt;=16, "Excellent",Q537&gt;=14, "Très bien", Q537&gt;=12, "Bien", Q537&gt;=10, "Passable", Q537&lt;10, "Insuffisant")</f>
        <v>Excellent</v>
      </c>
    </row>
    <row r="538" spans="1:18">
      <c r="A538" t="s">
        <v>832</v>
      </c>
      <c r="B538" t="s">
        <v>833</v>
      </c>
      <c r="C538" t="s">
        <v>20</v>
      </c>
      <c r="D538" t="s">
        <v>34</v>
      </c>
      <c r="E538" t="s">
        <v>48</v>
      </c>
      <c r="F538">
        <v>13.06</v>
      </c>
      <c r="G538">
        <v>10.74</v>
      </c>
      <c r="H538">
        <v>14.91</v>
      </c>
      <c r="I538">
        <v>17.559999999999999</v>
      </c>
      <c r="J538" s="4">
        <v>0.55000000000000004</v>
      </c>
      <c r="K538">
        <v>60000</v>
      </c>
      <c r="L538" s="2">
        <v>45877</v>
      </c>
      <c r="M538" t="str">
        <f t="shared" si="40"/>
        <v>Admis</v>
      </c>
      <c r="N538" t="str">
        <f t="shared" si="41"/>
        <v>Non Eligible</v>
      </c>
      <c r="O538" t="str">
        <f t="shared" si="42"/>
        <v>RAS</v>
      </c>
      <c r="P538" t="str">
        <f t="shared" si="43"/>
        <v>Hors Data</v>
      </c>
      <c r="Q538">
        <f t="shared" si="44"/>
        <v>14.067499999999999</v>
      </c>
      <c r="R538" t="str" cm="1">
        <f t="array" ref="R538">_xlfn.IFS(Q538&gt;=16, "Excellent",Q538&gt;=14, "Très bien", Q538&gt;=12, "Bien", Q538&gt;=10, "Passable", Q538&lt;10, "Insuffisant")</f>
        <v>Très bien</v>
      </c>
    </row>
    <row r="539" spans="1:18">
      <c r="A539" t="s">
        <v>834</v>
      </c>
      <c r="B539" t="s">
        <v>354</v>
      </c>
      <c r="C539" t="s">
        <v>20</v>
      </c>
      <c r="D539" t="s">
        <v>34</v>
      </c>
      <c r="E539" t="s">
        <v>22</v>
      </c>
      <c r="F539">
        <v>12.32</v>
      </c>
      <c r="G539">
        <v>16.11</v>
      </c>
      <c r="H539">
        <v>13.69</v>
      </c>
      <c r="I539">
        <v>11.54</v>
      </c>
      <c r="J539" s="4">
        <v>0.86860000000000004</v>
      </c>
      <c r="K539">
        <v>110000</v>
      </c>
      <c r="L539" s="2">
        <v>45830</v>
      </c>
      <c r="M539" t="str">
        <f t="shared" si="40"/>
        <v>Admis</v>
      </c>
      <c r="N539" t="str">
        <f t="shared" si="41"/>
        <v>Eligible</v>
      </c>
      <c r="O539" t="str">
        <f t="shared" si="42"/>
        <v>RAS</v>
      </c>
      <c r="P539" t="str">
        <f t="shared" si="43"/>
        <v>Data</v>
      </c>
      <c r="Q539">
        <f t="shared" si="44"/>
        <v>13.414999999999999</v>
      </c>
      <c r="R539" t="str" cm="1">
        <f t="array" ref="R539">_xlfn.IFS(Q539&gt;=16, "Excellent",Q539&gt;=14, "Très bien", Q539&gt;=12, "Bien", Q539&gt;=10, "Passable", Q539&lt;10, "Insuffisant")</f>
        <v>Bien</v>
      </c>
    </row>
    <row r="540" spans="1:18">
      <c r="A540" t="s">
        <v>835</v>
      </c>
      <c r="B540" t="s">
        <v>380</v>
      </c>
      <c r="C540" t="s">
        <v>25</v>
      </c>
      <c r="D540" t="s">
        <v>21</v>
      </c>
      <c r="E540" t="s">
        <v>35</v>
      </c>
      <c r="F540">
        <v>13.63</v>
      </c>
      <c r="G540">
        <v>16.670000000000002</v>
      </c>
      <c r="H540">
        <v>14.27</v>
      </c>
      <c r="I540">
        <v>13.38</v>
      </c>
      <c r="J540" s="4">
        <v>0.97550000000000003</v>
      </c>
      <c r="K540">
        <v>85000</v>
      </c>
      <c r="L540" s="2">
        <v>45550</v>
      </c>
      <c r="M540" t="str">
        <f t="shared" si="40"/>
        <v>Admis</v>
      </c>
      <c r="N540" t="str">
        <f t="shared" si="41"/>
        <v>Eligible</v>
      </c>
      <c r="O540" t="str">
        <f t="shared" si="42"/>
        <v>RAS</v>
      </c>
      <c r="P540" t="str">
        <f t="shared" si="43"/>
        <v>Hors Data</v>
      </c>
      <c r="Q540">
        <f t="shared" si="44"/>
        <v>14.487500000000002</v>
      </c>
      <c r="R540" t="str" cm="1">
        <f t="array" ref="R540">_xlfn.IFS(Q540&gt;=16, "Excellent",Q540&gt;=14, "Très bien", Q540&gt;=12, "Bien", Q540&gt;=10, "Passable", Q540&lt;10, "Insuffisant")</f>
        <v>Très bien</v>
      </c>
    </row>
    <row r="541" spans="1:18">
      <c r="A541" t="s">
        <v>836</v>
      </c>
      <c r="B541" t="s">
        <v>382</v>
      </c>
      <c r="C541" t="s">
        <v>20</v>
      </c>
      <c r="D541" t="s">
        <v>53</v>
      </c>
      <c r="E541" t="s">
        <v>27</v>
      </c>
      <c r="F541">
        <v>8.07</v>
      </c>
      <c r="G541">
        <v>9.98</v>
      </c>
      <c r="H541">
        <v>9.7899999999999991</v>
      </c>
      <c r="I541">
        <v>7.38</v>
      </c>
      <c r="J541" s="4">
        <v>0.92479999999999996</v>
      </c>
      <c r="K541">
        <v>70000</v>
      </c>
      <c r="L541" s="2">
        <v>45667</v>
      </c>
      <c r="M541" t="str">
        <f t="shared" si="40"/>
        <v>Non admis</v>
      </c>
      <c r="N541" t="str">
        <f t="shared" si="41"/>
        <v>Non Eligible</v>
      </c>
      <c r="O541" t="str">
        <f t="shared" si="42"/>
        <v>A surveiller</v>
      </c>
      <c r="P541" t="str">
        <f t="shared" si="43"/>
        <v>Hors Data</v>
      </c>
      <c r="Q541">
        <f t="shared" si="44"/>
        <v>8.8049999999999997</v>
      </c>
      <c r="R541" t="str" cm="1">
        <f t="array" ref="R541">_xlfn.IFS(Q541&gt;=16, "Excellent",Q541&gt;=14, "Très bien", Q541&gt;=12, "Bien", Q541&gt;=10, "Passable", Q541&lt;10, "Insuffisant")</f>
        <v>Insuffisant</v>
      </c>
    </row>
    <row r="542" spans="1:18">
      <c r="A542" t="s">
        <v>837</v>
      </c>
      <c r="B542" t="s">
        <v>218</v>
      </c>
      <c r="C542" t="s">
        <v>25</v>
      </c>
      <c r="D542" t="s">
        <v>53</v>
      </c>
      <c r="E542" t="s">
        <v>35</v>
      </c>
      <c r="F542">
        <v>14.22</v>
      </c>
      <c r="G542">
        <v>15.01</v>
      </c>
      <c r="H542">
        <v>16.41</v>
      </c>
      <c r="I542">
        <v>14.05</v>
      </c>
      <c r="J542" s="4">
        <v>0.88629999999999998</v>
      </c>
      <c r="K542">
        <v>100000</v>
      </c>
      <c r="L542" s="2">
        <v>46163</v>
      </c>
      <c r="M542" t="str">
        <f t="shared" si="40"/>
        <v>Admis</v>
      </c>
      <c r="N542" t="str">
        <f t="shared" si="41"/>
        <v>Eligible</v>
      </c>
      <c r="O542" t="str">
        <f t="shared" si="42"/>
        <v>RAS</v>
      </c>
      <c r="P542" t="str">
        <f t="shared" si="43"/>
        <v>Hors Data</v>
      </c>
      <c r="Q542">
        <f t="shared" si="44"/>
        <v>14.922499999999999</v>
      </c>
      <c r="R542" t="str" cm="1">
        <f t="array" ref="R542">_xlfn.IFS(Q542&gt;=16, "Excellent",Q542&gt;=14, "Très bien", Q542&gt;=12, "Bien", Q542&gt;=10, "Passable", Q542&lt;10, "Insuffisant")</f>
        <v>Très bien</v>
      </c>
    </row>
    <row r="543" spans="1:18">
      <c r="A543" t="s">
        <v>838</v>
      </c>
      <c r="B543" t="s">
        <v>241</v>
      </c>
      <c r="C543" t="s">
        <v>20</v>
      </c>
      <c r="D543" t="s">
        <v>38</v>
      </c>
      <c r="E543" t="s">
        <v>27</v>
      </c>
      <c r="F543">
        <v>18.98</v>
      </c>
      <c r="G543">
        <v>19.14</v>
      </c>
      <c r="H543">
        <v>20</v>
      </c>
      <c r="I543">
        <v>18.649999999999999</v>
      </c>
      <c r="J543" s="4">
        <v>0.88</v>
      </c>
      <c r="K543">
        <v>70000</v>
      </c>
      <c r="L543" s="2">
        <v>45773</v>
      </c>
      <c r="M543" t="str">
        <f t="shared" si="40"/>
        <v>Admis</v>
      </c>
      <c r="N543" t="str">
        <f t="shared" si="41"/>
        <v>Eligible</v>
      </c>
      <c r="O543" t="str">
        <f t="shared" si="42"/>
        <v>RAS</v>
      </c>
      <c r="P543" t="str">
        <f t="shared" si="43"/>
        <v>Hors Data</v>
      </c>
      <c r="Q543">
        <f t="shared" si="44"/>
        <v>19.192500000000003</v>
      </c>
      <c r="R543" t="str" cm="1">
        <f t="array" ref="R543">_xlfn.IFS(Q543&gt;=16, "Excellent",Q543&gt;=14, "Très bien", Q543&gt;=12, "Bien", Q543&gt;=10, "Passable", Q543&lt;10, "Insuffisant")</f>
        <v>Excellent</v>
      </c>
    </row>
    <row r="544" spans="1:18">
      <c r="A544" t="s">
        <v>839</v>
      </c>
      <c r="B544" t="s">
        <v>451</v>
      </c>
      <c r="C544" t="s">
        <v>20</v>
      </c>
      <c r="D544" t="s">
        <v>53</v>
      </c>
      <c r="E544" t="s">
        <v>35</v>
      </c>
      <c r="F544">
        <v>16.260000000000002</v>
      </c>
      <c r="G544">
        <v>11.93</v>
      </c>
      <c r="H544">
        <v>13.46</v>
      </c>
      <c r="I544">
        <v>16.079999999999998</v>
      </c>
      <c r="J544" s="4">
        <v>0.91969999999999996</v>
      </c>
      <c r="K544">
        <v>110000</v>
      </c>
      <c r="L544" s="2">
        <v>46029</v>
      </c>
      <c r="M544" t="str">
        <f t="shared" si="40"/>
        <v>Admis</v>
      </c>
      <c r="N544" t="str">
        <f t="shared" si="41"/>
        <v>Eligible</v>
      </c>
      <c r="O544" t="str">
        <f t="shared" si="42"/>
        <v>RAS</v>
      </c>
      <c r="P544" t="str">
        <f t="shared" si="43"/>
        <v>Hors Data</v>
      </c>
      <c r="Q544">
        <f t="shared" si="44"/>
        <v>14.432500000000001</v>
      </c>
      <c r="R544" t="str" cm="1">
        <f t="array" ref="R544">_xlfn.IFS(Q544&gt;=16, "Excellent",Q544&gt;=14, "Très bien", Q544&gt;=12, "Bien", Q544&gt;=10, "Passable", Q544&lt;10, "Insuffisant")</f>
        <v>Très bien</v>
      </c>
    </row>
    <row r="545" spans="1:18">
      <c r="A545" t="s">
        <v>840</v>
      </c>
      <c r="B545" t="s">
        <v>133</v>
      </c>
      <c r="C545" t="s">
        <v>20</v>
      </c>
      <c r="D545" t="s">
        <v>53</v>
      </c>
      <c r="E545" t="s">
        <v>22</v>
      </c>
      <c r="F545">
        <v>12.33</v>
      </c>
      <c r="G545">
        <v>13.78</v>
      </c>
      <c r="H545">
        <v>15.55</v>
      </c>
      <c r="I545">
        <v>11.83</v>
      </c>
      <c r="J545" s="4">
        <v>0.96040000000000003</v>
      </c>
      <c r="K545">
        <v>50000</v>
      </c>
      <c r="L545" s="2">
        <v>46028</v>
      </c>
      <c r="M545" t="str">
        <f t="shared" si="40"/>
        <v>Admis</v>
      </c>
      <c r="N545" t="str">
        <f t="shared" si="41"/>
        <v>Eligible</v>
      </c>
      <c r="O545" t="str">
        <f t="shared" si="42"/>
        <v>RAS</v>
      </c>
      <c r="P545" t="str">
        <f t="shared" si="43"/>
        <v>Data</v>
      </c>
      <c r="Q545">
        <f t="shared" si="44"/>
        <v>13.372499999999999</v>
      </c>
      <c r="R545" t="str" cm="1">
        <f t="array" ref="R545">_xlfn.IFS(Q545&gt;=16, "Excellent",Q545&gt;=14, "Très bien", Q545&gt;=12, "Bien", Q545&gt;=10, "Passable", Q545&lt;10, "Insuffisant")</f>
        <v>Bien</v>
      </c>
    </row>
    <row r="546" spans="1:18">
      <c r="A546" t="s">
        <v>841</v>
      </c>
      <c r="B546" t="s">
        <v>191</v>
      </c>
      <c r="C546" t="s">
        <v>25</v>
      </c>
      <c r="D546" t="s">
        <v>53</v>
      </c>
      <c r="E546" t="s">
        <v>35</v>
      </c>
      <c r="F546">
        <v>17.2</v>
      </c>
      <c r="G546">
        <v>13.29</v>
      </c>
      <c r="H546">
        <v>15.41</v>
      </c>
      <c r="I546">
        <v>15.2</v>
      </c>
      <c r="J546" s="4">
        <v>0.65920000000000001</v>
      </c>
      <c r="K546">
        <v>90000</v>
      </c>
      <c r="L546" s="2">
        <v>45752</v>
      </c>
      <c r="M546" t="str">
        <f t="shared" si="40"/>
        <v>Admis</v>
      </c>
      <c r="N546" t="str">
        <f t="shared" si="41"/>
        <v>Non Eligible</v>
      </c>
      <c r="O546" t="str">
        <f t="shared" si="42"/>
        <v>RAS</v>
      </c>
      <c r="P546" t="str">
        <f t="shared" si="43"/>
        <v>Hors Data</v>
      </c>
      <c r="Q546">
        <f t="shared" si="44"/>
        <v>15.274999999999999</v>
      </c>
      <c r="R546" t="str" cm="1">
        <f t="array" ref="R546">_xlfn.IFS(Q546&gt;=16, "Excellent",Q546&gt;=14, "Très bien", Q546&gt;=12, "Bien", Q546&gt;=10, "Passable", Q546&lt;10, "Insuffisant")</f>
        <v>Très bien</v>
      </c>
    </row>
    <row r="547" spans="1:18">
      <c r="A547" t="s">
        <v>842</v>
      </c>
      <c r="B547" t="s">
        <v>202</v>
      </c>
      <c r="C547" t="s">
        <v>20</v>
      </c>
      <c r="D547" t="s">
        <v>38</v>
      </c>
      <c r="E547" t="s">
        <v>48</v>
      </c>
      <c r="F547">
        <v>17.190000000000001</v>
      </c>
      <c r="G547">
        <v>17.48</v>
      </c>
      <c r="H547">
        <v>13.49</v>
      </c>
      <c r="I547">
        <v>16.89</v>
      </c>
      <c r="J547" s="4">
        <v>0.87029999999999996</v>
      </c>
      <c r="K547">
        <v>90000</v>
      </c>
      <c r="L547" s="2">
        <v>45679</v>
      </c>
      <c r="M547" t="str">
        <f t="shared" si="40"/>
        <v>Admis</v>
      </c>
      <c r="N547" t="str">
        <f t="shared" si="41"/>
        <v>Eligible</v>
      </c>
      <c r="O547" t="str">
        <f t="shared" si="42"/>
        <v>RAS</v>
      </c>
      <c r="P547" t="str">
        <f t="shared" si="43"/>
        <v>Hors Data</v>
      </c>
      <c r="Q547">
        <f t="shared" si="44"/>
        <v>16.262500000000003</v>
      </c>
      <c r="R547" t="str" cm="1">
        <f t="array" ref="R547">_xlfn.IFS(Q547&gt;=16, "Excellent",Q547&gt;=14, "Très bien", Q547&gt;=12, "Bien", Q547&gt;=10, "Passable", Q547&lt;10, "Insuffisant")</f>
        <v>Excellent</v>
      </c>
    </row>
    <row r="548" spans="1:18">
      <c r="A548" t="s">
        <v>843</v>
      </c>
      <c r="B548" t="s">
        <v>657</v>
      </c>
      <c r="C548" t="s">
        <v>20</v>
      </c>
      <c r="D548" t="s">
        <v>41</v>
      </c>
      <c r="E548" t="s">
        <v>48</v>
      </c>
      <c r="F548">
        <v>7.88</v>
      </c>
      <c r="G548">
        <v>10.08</v>
      </c>
      <c r="H548">
        <v>9.59</v>
      </c>
      <c r="I548">
        <v>6.93</v>
      </c>
      <c r="J548" s="4">
        <v>0.86019999999999996</v>
      </c>
      <c r="K548">
        <v>80000</v>
      </c>
      <c r="L548" s="2">
        <v>46020</v>
      </c>
      <c r="M548" t="str">
        <f t="shared" si="40"/>
        <v>Non admis</v>
      </c>
      <c r="N548" t="str">
        <f t="shared" si="41"/>
        <v>Non Eligible</v>
      </c>
      <c r="O548" t="str">
        <f t="shared" si="42"/>
        <v>A surveiller</v>
      </c>
      <c r="P548" t="str">
        <f t="shared" si="43"/>
        <v>Hors Data</v>
      </c>
      <c r="Q548">
        <f t="shared" si="44"/>
        <v>8.620000000000001</v>
      </c>
      <c r="R548" t="str" cm="1">
        <f t="array" ref="R548">_xlfn.IFS(Q548&gt;=16, "Excellent",Q548&gt;=14, "Très bien", Q548&gt;=12, "Bien", Q548&gt;=10, "Passable", Q548&lt;10, "Insuffisant")</f>
        <v>Insuffisant</v>
      </c>
    </row>
    <row r="549" spans="1:18">
      <c r="A549" t="s">
        <v>844</v>
      </c>
      <c r="B549" t="s">
        <v>111</v>
      </c>
      <c r="C549" t="s">
        <v>25</v>
      </c>
      <c r="D549" t="s">
        <v>34</v>
      </c>
      <c r="E549" t="s">
        <v>27</v>
      </c>
      <c r="F549">
        <v>8.1</v>
      </c>
      <c r="G549">
        <v>12.44</v>
      </c>
      <c r="H549">
        <v>9.31</v>
      </c>
      <c r="I549">
        <v>10.54</v>
      </c>
      <c r="J549" s="4">
        <v>0.89280000000000004</v>
      </c>
      <c r="K549">
        <v>100000</v>
      </c>
      <c r="L549" s="2">
        <v>45601</v>
      </c>
      <c r="M549" t="str">
        <f t="shared" si="40"/>
        <v>Non admis</v>
      </c>
      <c r="N549" t="str">
        <f t="shared" si="41"/>
        <v>Non Eligible</v>
      </c>
      <c r="O549" t="str">
        <f t="shared" si="42"/>
        <v>A surveiller</v>
      </c>
      <c r="P549" t="str">
        <f t="shared" si="43"/>
        <v>Hors Data</v>
      </c>
      <c r="Q549">
        <f t="shared" si="44"/>
        <v>10.0975</v>
      </c>
      <c r="R549" t="str" cm="1">
        <f t="array" ref="R549">_xlfn.IFS(Q549&gt;=16, "Excellent",Q549&gt;=14, "Très bien", Q549&gt;=12, "Bien", Q549&gt;=10, "Passable", Q549&lt;10, "Insuffisant")</f>
        <v>Passable</v>
      </c>
    </row>
    <row r="550" spans="1:18">
      <c r="A550" t="s">
        <v>845</v>
      </c>
      <c r="B550" t="s">
        <v>180</v>
      </c>
      <c r="C550" t="s">
        <v>25</v>
      </c>
      <c r="D550" t="s">
        <v>53</v>
      </c>
      <c r="E550" t="s">
        <v>22</v>
      </c>
      <c r="F550">
        <v>19.43</v>
      </c>
      <c r="G550">
        <v>15.31</v>
      </c>
      <c r="H550">
        <v>19.989999999999998</v>
      </c>
      <c r="I550">
        <v>14.32</v>
      </c>
      <c r="J550" s="4">
        <v>0.96479999999999999</v>
      </c>
      <c r="K550">
        <v>80000</v>
      </c>
      <c r="L550" s="2">
        <v>45882</v>
      </c>
      <c r="M550" t="str">
        <f t="shared" si="40"/>
        <v>Admis</v>
      </c>
      <c r="N550" t="str">
        <f t="shared" si="41"/>
        <v>Eligible</v>
      </c>
      <c r="O550" t="str">
        <f t="shared" si="42"/>
        <v>RAS</v>
      </c>
      <c r="P550" t="str">
        <f t="shared" si="43"/>
        <v>Data</v>
      </c>
      <c r="Q550">
        <f t="shared" si="44"/>
        <v>17.262500000000003</v>
      </c>
      <c r="R550" t="str" cm="1">
        <f t="array" ref="R550">_xlfn.IFS(Q550&gt;=16, "Excellent",Q550&gt;=14, "Très bien", Q550&gt;=12, "Bien", Q550&gt;=10, "Passable", Q550&lt;10, "Insuffisant")</f>
        <v>Excellent</v>
      </c>
    </row>
    <row r="551" spans="1:18">
      <c r="A551" t="s">
        <v>846</v>
      </c>
      <c r="B551" t="s">
        <v>344</v>
      </c>
      <c r="C551" t="s">
        <v>25</v>
      </c>
      <c r="D551" t="s">
        <v>34</v>
      </c>
      <c r="E551" t="s">
        <v>27</v>
      </c>
      <c r="F551">
        <v>9.6999999999999993</v>
      </c>
      <c r="G551">
        <v>13.93</v>
      </c>
      <c r="H551">
        <v>14.9</v>
      </c>
      <c r="I551">
        <v>13.13</v>
      </c>
      <c r="J551" s="4">
        <v>0.71599999999999997</v>
      </c>
      <c r="K551">
        <v>100000</v>
      </c>
      <c r="L551" s="2">
        <v>46157</v>
      </c>
      <c r="M551" t="str">
        <f t="shared" si="40"/>
        <v>Admis</v>
      </c>
      <c r="N551" t="str">
        <f t="shared" si="41"/>
        <v>Non Eligible</v>
      </c>
      <c r="O551" t="str">
        <f t="shared" si="42"/>
        <v>A surveiller</v>
      </c>
      <c r="P551" t="str">
        <f t="shared" si="43"/>
        <v>Hors Data</v>
      </c>
      <c r="Q551">
        <f t="shared" si="44"/>
        <v>12.915000000000001</v>
      </c>
      <c r="R551" t="str" cm="1">
        <f t="array" ref="R551">_xlfn.IFS(Q551&gt;=16, "Excellent",Q551&gt;=14, "Très bien", Q551&gt;=12, "Bien", Q551&gt;=10, "Passable", Q551&lt;10, "Insuffisant")</f>
        <v>Bien</v>
      </c>
    </row>
    <row r="552" spans="1:18">
      <c r="A552" t="s">
        <v>847</v>
      </c>
      <c r="B552" t="s">
        <v>458</v>
      </c>
      <c r="C552" t="s">
        <v>25</v>
      </c>
      <c r="D552" t="s">
        <v>53</v>
      </c>
      <c r="E552" t="s">
        <v>48</v>
      </c>
      <c r="F552">
        <v>17.829999999999998</v>
      </c>
      <c r="G552">
        <v>16.920000000000002</v>
      </c>
      <c r="H552">
        <v>18.940000000000001</v>
      </c>
      <c r="I552">
        <v>17.5</v>
      </c>
      <c r="J552" s="4">
        <v>0.94040000000000001</v>
      </c>
      <c r="K552">
        <v>70000</v>
      </c>
      <c r="L552" s="2">
        <v>46033</v>
      </c>
      <c r="M552" t="str">
        <f t="shared" si="40"/>
        <v>Admis</v>
      </c>
      <c r="N552" t="str">
        <f t="shared" si="41"/>
        <v>Eligible</v>
      </c>
      <c r="O552" t="str">
        <f t="shared" si="42"/>
        <v>RAS</v>
      </c>
      <c r="P552" t="str">
        <f t="shared" si="43"/>
        <v>Hors Data</v>
      </c>
      <c r="Q552">
        <f t="shared" si="44"/>
        <v>17.797499999999999</v>
      </c>
      <c r="R552" t="str" cm="1">
        <f t="array" ref="R552">_xlfn.IFS(Q552&gt;=16, "Excellent",Q552&gt;=14, "Très bien", Q552&gt;=12, "Bien", Q552&gt;=10, "Passable", Q552&lt;10, "Insuffisant")</f>
        <v>Excellent</v>
      </c>
    </row>
    <row r="553" spans="1:18">
      <c r="A553" t="s">
        <v>848</v>
      </c>
      <c r="B553" t="s">
        <v>194</v>
      </c>
      <c r="C553" t="s">
        <v>20</v>
      </c>
      <c r="D553" t="s">
        <v>21</v>
      </c>
      <c r="E553" t="s">
        <v>22</v>
      </c>
      <c r="F553">
        <v>10.97</v>
      </c>
      <c r="G553">
        <v>11.97</v>
      </c>
      <c r="H553">
        <v>13.37</v>
      </c>
      <c r="I553">
        <v>13.35</v>
      </c>
      <c r="J553" s="4">
        <v>0.86550000000000005</v>
      </c>
      <c r="K553">
        <v>90000</v>
      </c>
      <c r="L553" s="2">
        <v>46070</v>
      </c>
      <c r="M553" t="str">
        <f t="shared" si="40"/>
        <v>Admis</v>
      </c>
      <c r="N553" t="str">
        <f t="shared" si="41"/>
        <v>Non Eligible</v>
      </c>
      <c r="O553" t="str">
        <f t="shared" si="42"/>
        <v>RAS</v>
      </c>
      <c r="P553" t="str">
        <f t="shared" si="43"/>
        <v>Data</v>
      </c>
      <c r="Q553">
        <f t="shared" si="44"/>
        <v>12.415000000000001</v>
      </c>
      <c r="R553" t="str" cm="1">
        <f t="array" ref="R553">_xlfn.IFS(Q553&gt;=16, "Excellent",Q553&gt;=14, "Très bien", Q553&gt;=12, "Bien", Q553&gt;=10, "Passable", Q553&lt;10, "Insuffisant")</f>
        <v>Bien</v>
      </c>
    </row>
    <row r="554" spans="1:18">
      <c r="A554" t="s">
        <v>849</v>
      </c>
      <c r="B554" t="s">
        <v>539</v>
      </c>
      <c r="C554" t="s">
        <v>25</v>
      </c>
      <c r="D554" t="s">
        <v>53</v>
      </c>
      <c r="E554" t="s">
        <v>27</v>
      </c>
      <c r="F554">
        <v>12.01</v>
      </c>
      <c r="G554">
        <v>9.5299999999999994</v>
      </c>
      <c r="H554">
        <v>8.64</v>
      </c>
      <c r="I554">
        <v>6.59</v>
      </c>
      <c r="J554" s="4">
        <v>0.75460000000000005</v>
      </c>
      <c r="K554">
        <v>110000</v>
      </c>
      <c r="L554" s="2">
        <v>45594</v>
      </c>
      <c r="M554" t="str">
        <f t="shared" si="40"/>
        <v>Non admis</v>
      </c>
      <c r="N554" t="str">
        <f t="shared" si="41"/>
        <v>Non Eligible</v>
      </c>
      <c r="O554" t="str">
        <f t="shared" si="42"/>
        <v>A surveiller</v>
      </c>
      <c r="P554" t="str">
        <f t="shared" si="43"/>
        <v>Hors Data</v>
      </c>
      <c r="Q554">
        <f t="shared" si="44"/>
        <v>9.192499999999999</v>
      </c>
      <c r="R554" t="str" cm="1">
        <f t="array" ref="R554">_xlfn.IFS(Q554&gt;=16, "Excellent",Q554&gt;=14, "Très bien", Q554&gt;=12, "Bien", Q554&gt;=10, "Passable", Q554&lt;10, "Insuffisant")</f>
        <v>Insuffisant</v>
      </c>
    </row>
    <row r="555" spans="1:18">
      <c r="A555" t="s">
        <v>850</v>
      </c>
      <c r="B555" t="s">
        <v>406</v>
      </c>
      <c r="C555" t="s">
        <v>20</v>
      </c>
      <c r="D555" t="s">
        <v>53</v>
      </c>
      <c r="E555" t="s">
        <v>35</v>
      </c>
      <c r="F555">
        <v>11.9</v>
      </c>
      <c r="G555">
        <v>9.5</v>
      </c>
      <c r="H555">
        <v>7.94</v>
      </c>
      <c r="I555">
        <v>8.4600000000000009</v>
      </c>
      <c r="J555" s="4">
        <v>0.88370000000000004</v>
      </c>
      <c r="K555">
        <v>130000</v>
      </c>
      <c r="L555" s="2">
        <v>45675</v>
      </c>
      <c r="M555" t="str">
        <f t="shared" si="40"/>
        <v>Non admis</v>
      </c>
      <c r="N555" t="str">
        <f t="shared" si="41"/>
        <v>Non Eligible</v>
      </c>
      <c r="O555" t="str">
        <f t="shared" si="42"/>
        <v>A surveiller</v>
      </c>
      <c r="P555" t="str">
        <f t="shared" si="43"/>
        <v>Hors Data</v>
      </c>
      <c r="Q555">
        <f t="shared" si="44"/>
        <v>9.4499999999999993</v>
      </c>
      <c r="R555" t="str" cm="1">
        <f t="array" ref="R555">_xlfn.IFS(Q555&gt;=16, "Excellent",Q555&gt;=14, "Très bien", Q555&gt;=12, "Bien", Q555&gt;=10, "Passable", Q555&lt;10, "Insuffisant")</f>
        <v>Insuffisant</v>
      </c>
    </row>
    <row r="556" spans="1:18">
      <c r="A556" t="s">
        <v>851</v>
      </c>
      <c r="B556" t="s">
        <v>376</v>
      </c>
      <c r="C556" t="s">
        <v>25</v>
      </c>
      <c r="D556" t="s">
        <v>53</v>
      </c>
      <c r="E556" t="s">
        <v>48</v>
      </c>
      <c r="F556">
        <v>4.3099999999999996</v>
      </c>
      <c r="G556">
        <v>6.79</v>
      </c>
      <c r="H556">
        <v>2.1800000000000002</v>
      </c>
      <c r="I556">
        <v>8.39</v>
      </c>
      <c r="J556" s="4">
        <v>0.89329999999999998</v>
      </c>
      <c r="K556">
        <v>75000</v>
      </c>
      <c r="L556" s="2">
        <v>45728</v>
      </c>
      <c r="M556" t="str">
        <f t="shared" si="40"/>
        <v>Non admis</v>
      </c>
      <c r="N556" t="str">
        <f t="shared" si="41"/>
        <v>Non Eligible</v>
      </c>
      <c r="O556" t="str">
        <f t="shared" si="42"/>
        <v>A surveiller</v>
      </c>
      <c r="P556" t="str">
        <f t="shared" si="43"/>
        <v>Hors Data</v>
      </c>
      <c r="Q556">
        <f t="shared" si="44"/>
        <v>5.4175000000000004</v>
      </c>
      <c r="R556" t="str" cm="1">
        <f t="array" ref="R556">_xlfn.IFS(Q556&gt;=16, "Excellent",Q556&gt;=14, "Très bien", Q556&gt;=12, "Bien", Q556&gt;=10, "Passable", Q556&lt;10, "Insuffisant")</f>
        <v>Insuffisant</v>
      </c>
    </row>
    <row r="557" spans="1:18">
      <c r="A557" t="s">
        <v>852</v>
      </c>
      <c r="B557" t="s">
        <v>853</v>
      </c>
      <c r="C557" t="s">
        <v>25</v>
      </c>
      <c r="D557" t="s">
        <v>21</v>
      </c>
      <c r="E557" t="s">
        <v>48</v>
      </c>
      <c r="F557">
        <v>13.97</v>
      </c>
      <c r="G557">
        <v>10.91</v>
      </c>
      <c r="H557">
        <v>11.12</v>
      </c>
      <c r="I557">
        <v>14.14</v>
      </c>
      <c r="J557" s="4">
        <v>0.80640000000000001</v>
      </c>
      <c r="K557">
        <v>85000</v>
      </c>
      <c r="L557" s="2">
        <v>45740</v>
      </c>
      <c r="M557" t="str">
        <f t="shared" si="40"/>
        <v>Admis</v>
      </c>
      <c r="N557" t="str">
        <f t="shared" si="41"/>
        <v>Non Eligible</v>
      </c>
      <c r="O557" t="str">
        <f t="shared" si="42"/>
        <v>RAS</v>
      </c>
      <c r="P557" t="str">
        <f t="shared" si="43"/>
        <v>Hors Data</v>
      </c>
      <c r="Q557">
        <f t="shared" si="44"/>
        <v>12.535</v>
      </c>
      <c r="R557" t="str" cm="1">
        <f t="array" ref="R557">_xlfn.IFS(Q557&gt;=16, "Excellent",Q557&gt;=14, "Très bien", Q557&gt;=12, "Bien", Q557&gt;=10, "Passable", Q557&lt;10, "Insuffisant")</f>
        <v>Bien</v>
      </c>
    </row>
    <row r="558" spans="1:18">
      <c r="A558" t="s">
        <v>854</v>
      </c>
      <c r="B558" t="s">
        <v>262</v>
      </c>
      <c r="C558" t="s">
        <v>25</v>
      </c>
      <c r="D558" t="s">
        <v>21</v>
      </c>
      <c r="E558" t="s">
        <v>22</v>
      </c>
      <c r="F558">
        <v>13.54</v>
      </c>
      <c r="G558">
        <v>11.43</v>
      </c>
      <c r="H558">
        <v>13.07</v>
      </c>
      <c r="I558">
        <v>10.62</v>
      </c>
      <c r="J558" s="4">
        <v>0.85580000000000001</v>
      </c>
      <c r="K558">
        <v>85000</v>
      </c>
      <c r="L558" s="2">
        <v>45671</v>
      </c>
      <c r="M558" t="str">
        <f t="shared" si="40"/>
        <v>Admis</v>
      </c>
      <c r="N558" t="str">
        <f t="shared" si="41"/>
        <v>Eligible</v>
      </c>
      <c r="O558" t="str">
        <f t="shared" si="42"/>
        <v>RAS</v>
      </c>
      <c r="P558" t="str">
        <f t="shared" si="43"/>
        <v>Data</v>
      </c>
      <c r="Q558">
        <f t="shared" si="44"/>
        <v>12.164999999999999</v>
      </c>
      <c r="R558" t="str" cm="1">
        <f t="array" ref="R558">_xlfn.IFS(Q558&gt;=16, "Excellent",Q558&gt;=14, "Très bien", Q558&gt;=12, "Bien", Q558&gt;=10, "Passable", Q558&lt;10, "Insuffisant")</f>
        <v>Bien</v>
      </c>
    </row>
    <row r="559" spans="1:18">
      <c r="A559" t="s">
        <v>855</v>
      </c>
      <c r="B559" t="s">
        <v>392</v>
      </c>
      <c r="C559" t="s">
        <v>25</v>
      </c>
      <c r="D559" t="s">
        <v>21</v>
      </c>
      <c r="E559" t="s">
        <v>22</v>
      </c>
      <c r="F559">
        <v>11.17</v>
      </c>
      <c r="G559">
        <v>14.11</v>
      </c>
      <c r="H559">
        <v>7.88</v>
      </c>
      <c r="I559">
        <v>12.61</v>
      </c>
      <c r="J559" s="4">
        <v>0.93220000000000003</v>
      </c>
      <c r="K559">
        <v>120000</v>
      </c>
      <c r="L559" s="2">
        <v>46216</v>
      </c>
      <c r="M559" t="str">
        <f t="shared" si="40"/>
        <v>Non admis</v>
      </c>
      <c r="N559" t="str">
        <f t="shared" si="41"/>
        <v>Non Eligible</v>
      </c>
      <c r="O559" t="str">
        <f t="shared" si="42"/>
        <v>A surveiller</v>
      </c>
      <c r="P559" t="str">
        <f t="shared" si="43"/>
        <v>Data</v>
      </c>
      <c r="Q559">
        <f t="shared" si="44"/>
        <v>11.442500000000001</v>
      </c>
      <c r="R559" t="str" cm="1">
        <f t="array" ref="R559">_xlfn.IFS(Q559&gt;=16, "Excellent",Q559&gt;=14, "Très bien", Q559&gt;=12, "Bien", Q559&gt;=10, "Passable", Q559&lt;10, "Insuffisant")</f>
        <v>Passable</v>
      </c>
    </row>
    <row r="560" spans="1:18">
      <c r="A560" t="s">
        <v>856</v>
      </c>
      <c r="B560" t="s">
        <v>699</v>
      </c>
      <c r="C560" t="s">
        <v>25</v>
      </c>
      <c r="D560" t="s">
        <v>34</v>
      </c>
      <c r="E560" t="s">
        <v>48</v>
      </c>
      <c r="F560">
        <v>18.190000000000001</v>
      </c>
      <c r="G560">
        <v>18.87</v>
      </c>
      <c r="H560">
        <v>15.52</v>
      </c>
      <c r="I560">
        <v>11.2</v>
      </c>
      <c r="J560" s="4">
        <v>0.86670000000000003</v>
      </c>
      <c r="K560">
        <v>130000</v>
      </c>
      <c r="L560" s="2">
        <v>45651</v>
      </c>
      <c r="M560" t="str">
        <f t="shared" si="40"/>
        <v>Admis</v>
      </c>
      <c r="N560" t="str">
        <f t="shared" si="41"/>
        <v>Eligible</v>
      </c>
      <c r="O560" t="str">
        <f t="shared" si="42"/>
        <v>RAS</v>
      </c>
      <c r="P560" t="str">
        <f t="shared" si="43"/>
        <v>Hors Data</v>
      </c>
      <c r="Q560">
        <f t="shared" si="44"/>
        <v>15.945</v>
      </c>
      <c r="R560" t="str" cm="1">
        <f t="array" ref="R560">_xlfn.IFS(Q560&gt;=16, "Excellent",Q560&gt;=14, "Très bien", Q560&gt;=12, "Bien", Q560&gt;=10, "Passable", Q560&lt;10, "Insuffisant")</f>
        <v>Très bien</v>
      </c>
    </row>
    <row r="561" spans="1:18">
      <c r="A561" t="s">
        <v>857</v>
      </c>
      <c r="B561" t="s">
        <v>858</v>
      </c>
      <c r="C561" t="s">
        <v>25</v>
      </c>
      <c r="D561" t="s">
        <v>26</v>
      </c>
      <c r="E561" t="s">
        <v>35</v>
      </c>
      <c r="F561">
        <v>17.71</v>
      </c>
      <c r="G561">
        <v>15.09</v>
      </c>
      <c r="H561">
        <v>16.510000000000002</v>
      </c>
      <c r="I561">
        <v>15.49</v>
      </c>
      <c r="J561" s="4">
        <v>0.8669</v>
      </c>
      <c r="K561">
        <v>100000</v>
      </c>
      <c r="L561" s="2">
        <v>46031</v>
      </c>
      <c r="M561" t="str">
        <f t="shared" si="40"/>
        <v>Admis</v>
      </c>
      <c r="N561" t="str">
        <f t="shared" si="41"/>
        <v>Eligible</v>
      </c>
      <c r="O561" t="str">
        <f t="shared" si="42"/>
        <v>RAS</v>
      </c>
      <c r="P561" t="str">
        <f t="shared" si="43"/>
        <v>Hors Data</v>
      </c>
      <c r="Q561">
        <f t="shared" si="44"/>
        <v>16.2</v>
      </c>
      <c r="R561" t="str" cm="1">
        <f t="array" ref="R561">_xlfn.IFS(Q561&gt;=16, "Excellent",Q561&gt;=14, "Très bien", Q561&gt;=12, "Bien", Q561&gt;=10, "Passable", Q561&lt;10, "Insuffisant")</f>
        <v>Excellent</v>
      </c>
    </row>
    <row r="562" spans="1:18">
      <c r="A562" t="s">
        <v>859</v>
      </c>
      <c r="B562" t="s">
        <v>256</v>
      </c>
      <c r="C562" t="s">
        <v>25</v>
      </c>
      <c r="D562" t="s">
        <v>26</v>
      </c>
      <c r="E562" t="s">
        <v>22</v>
      </c>
      <c r="F562">
        <v>13.5</v>
      </c>
      <c r="G562">
        <v>14.9</v>
      </c>
      <c r="H562">
        <v>12.75</v>
      </c>
      <c r="I562">
        <v>15.04</v>
      </c>
      <c r="J562" s="4">
        <v>0.91290000000000004</v>
      </c>
      <c r="K562">
        <v>120000</v>
      </c>
      <c r="L562" s="2">
        <v>45946</v>
      </c>
      <c r="M562" t="str">
        <f t="shared" si="40"/>
        <v>Admis</v>
      </c>
      <c r="N562" t="str">
        <f t="shared" si="41"/>
        <v>Eligible</v>
      </c>
      <c r="O562" t="str">
        <f t="shared" si="42"/>
        <v>RAS</v>
      </c>
      <c r="P562" t="str">
        <f t="shared" si="43"/>
        <v>Data</v>
      </c>
      <c r="Q562">
        <f t="shared" si="44"/>
        <v>14.047499999999999</v>
      </c>
      <c r="R562" t="str" cm="1">
        <f t="array" ref="R562">_xlfn.IFS(Q562&gt;=16, "Excellent",Q562&gt;=14, "Très bien", Q562&gt;=12, "Bien", Q562&gt;=10, "Passable", Q562&lt;10, "Insuffisant")</f>
        <v>Très bien</v>
      </c>
    </row>
    <row r="563" spans="1:18">
      <c r="A563" t="s">
        <v>860</v>
      </c>
      <c r="B563" t="s">
        <v>640</v>
      </c>
      <c r="C563" t="s">
        <v>20</v>
      </c>
      <c r="D563" t="s">
        <v>34</v>
      </c>
      <c r="E563" t="s">
        <v>22</v>
      </c>
      <c r="F563">
        <v>7.43</v>
      </c>
      <c r="G563">
        <v>6.75</v>
      </c>
      <c r="H563">
        <v>6.27</v>
      </c>
      <c r="I563">
        <v>7.15</v>
      </c>
      <c r="J563" s="4">
        <v>0.7671</v>
      </c>
      <c r="K563">
        <v>50000</v>
      </c>
      <c r="L563" s="2">
        <v>45963</v>
      </c>
      <c r="M563" t="str">
        <f t="shared" si="40"/>
        <v>Non admis</v>
      </c>
      <c r="N563" t="str">
        <f t="shared" si="41"/>
        <v>Non Eligible</v>
      </c>
      <c r="O563" t="str">
        <f t="shared" si="42"/>
        <v>A surveiller</v>
      </c>
      <c r="P563" t="str">
        <f t="shared" si="43"/>
        <v>Data</v>
      </c>
      <c r="Q563">
        <f t="shared" si="44"/>
        <v>6.9</v>
      </c>
      <c r="R563" t="str" cm="1">
        <f t="array" ref="R563">_xlfn.IFS(Q563&gt;=16, "Excellent",Q563&gt;=14, "Très bien", Q563&gt;=12, "Bien", Q563&gt;=10, "Passable", Q563&lt;10, "Insuffisant")</f>
        <v>Insuffisant</v>
      </c>
    </row>
    <row r="564" spans="1:18">
      <c r="A564" t="s">
        <v>861</v>
      </c>
      <c r="B564" t="s">
        <v>662</v>
      </c>
      <c r="C564" t="s">
        <v>20</v>
      </c>
      <c r="D564" t="s">
        <v>34</v>
      </c>
      <c r="E564" t="s">
        <v>27</v>
      </c>
      <c r="F564">
        <v>16.18</v>
      </c>
      <c r="G564">
        <v>15.66</v>
      </c>
      <c r="H564">
        <v>14.68</v>
      </c>
      <c r="I564">
        <v>15.39</v>
      </c>
      <c r="J564" s="4">
        <v>0.76170000000000004</v>
      </c>
      <c r="K564">
        <v>110000</v>
      </c>
      <c r="L564" s="2">
        <v>45686</v>
      </c>
      <c r="M564" t="str">
        <f t="shared" si="40"/>
        <v>Admis</v>
      </c>
      <c r="N564" t="str">
        <f t="shared" si="41"/>
        <v>Non Eligible</v>
      </c>
      <c r="O564" t="str">
        <f t="shared" si="42"/>
        <v>RAS</v>
      </c>
      <c r="P564" t="str">
        <f t="shared" si="43"/>
        <v>Hors Data</v>
      </c>
      <c r="Q564">
        <f t="shared" si="44"/>
        <v>15.477499999999999</v>
      </c>
      <c r="R564" t="str" cm="1">
        <f t="array" ref="R564">_xlfn.IFS(Q564&gt;=16, "Excellent",Q564&gt;=14, "Très bien", Q564&gt;=12, "Bien", Q564&gt;=10, "Passable", Q564&lt;10, "Insuffisant")</f>
        <v>Très bien</v>
      </c>
    </row>
    <row r="565" spans="1:18">
      <c r="A565" t="s">
        <v>862</v>
      </c>
      <c r="B565" t="s">
        <v>737</v>
      </c>
      <c r="C565" t="s">
        <v>20</v>
      </c>
      <c r="D565" t="s">
        <v>21</v>
      </c>
      <c r="E565" t="s">
        <v>22</v>
      </c>
      <c r="F565">
        <v>15.56</v>
      </c>
      <c r="G565">
        <v>18.57</v>
      </c>
      <c r="H565">
        <v>19.05</v>
      </c>
      <c r="I565">
        <v>8.32</v>
      </c>
      <c r="J565" s="4">
        <v>0.90059999999999996</v>
      </c>
      <c r="K565">
        <v>110000</v>
      </c>
      <c r="L565" s="2">
        <v>45751</v>
      </c>
      <c r="M565" t="str">
        <f t="shared" si="40"/>
        <v>Admis</v>
      </c>
      <c r="N565" t="str">
        <f t="shared" si="41"/>
        <v>Eligible</v>
      </c>
      <c r="O565" t="str">
        <f t="shared" si="42"/>
        <v>RAS</v>
      </c>
      <c r="P565" t="str">
        <f t="shared" si="43"/>
        <v>Data</v>
      </c>
      <c r="Q565">
        <f t="shared" si="44"/>
        <v>15.375000000000002</v>
      </c>
      <c r="R565" t="str" cm="1">
        <f t="array" ref="R565">_xlfn.IFS(Q565&gt;=16, "Excellent",Q565&gt;=14, "Très bien", Q565&gt;=12, "Bien", Q565&gt;=10, "Passable", Q565&lt;10, "Insuffisant")</f>
        <v>Très bien</v>
      </c>
    </row>
    <row r="566" spans="1:18">
      <c r="A566" t="s">
        <v>863</v>
      </c>
      <c r="B566" t="s">
        <v>315</v>
      </c>
      <c r="C566" t="s">
        <v>25</v>
      </c>
      <c r="D566" t="s">
        <v>38</v>
      </c>
      <c r="E566" t="s">
        <v>22</v>
      </c>
      <c r="F566">
        <v>14.5</v>
      </c>
      <c r="G566">
        <v>16.54</v>
      </c>
      <c r="H566">
        <v>16.02</v>
      </c>
      <c r="I566">
        <v>13.4</v>
      </c>
      <c r="J566" s="4">
        <v>0.76729999999999998</v>
      </c>
      <c r="K566">
        <v>100000</v>
      </c>
      <c r="L566" s="2">
        <v>45960</v>
      </c>
      <c r="M566" t="str">
        <f t="shared" si="40"/>
        <v>Admis</v>
      </c>
      <c r="N566" t="str">
        <f t="shared" si="41"/>
        <v>Non Eligible</v>
      </c>
      <c r="O566" t="str">
        <f t="shared" si="42"/>
        <v>RAS</v>
      </c>
      <c r="P566" t="str">
        <f t="shared" si="43"/>
        <v>Data</v>
      </c>
      <c r="Q566">
        <f t="shared" si="44"/>
        <v>15.115</v>
      </c>
      <c r="R566" t="str" cm="1">
        <f t="array" ref="R566">_xlfn.IFS(Q566&gt;=16, "Excellent",Q566&gt;=14, "Très bien", Q566&gt;=12, "Bien", Q566&gt;=10, "Passable", Q566&lt;10, "Insuffisant")</f>
        <v>Très bien</v>
      </c>
    </row>
    <row r="567" spans="1:18">
      <c r="A567" t="s">
        <v>864</v>
      </c>
      <c r="B567" t="s">
        <v>865</v>
      </c>
      <c r="C567" t="s">
        <v>20</v>
      </c>
      <c r="D567" t="s">
        <v>21</v>
      </c>
      <c r="E567" t="s">
        <v>48</v>
      </c>
      <c r="F567">
        <v>14.84</v>
      </c>
      <c r="G567">
        <v>18.399999999999999</v>
      </c>
      <c r="H567">
        <v>15.22</v>
      </c>
      <c r="I567">
        <v>16.89</v>
      </c>
      <c r="J567" s="4">
        <v>0.89539999999999997</v>
      </c>
      <c r="K567">
        <v>90000</v>
      </c>
      <c r="L567" s="2">
        <v>45745</v>
      </c>
      <c r="M567" t="str">
        <f t="shared" si="40"/>
        <v>Admis</v>
      </c>
      <c r="N567" t="str">
        <f t="shared" si="41"/>
        <v>Eligible</v>
      </c>
      <c r="O567" t="str">
        <f t="shared" si="42"/>
        <v>RAS</v>
      </c>
      <c r="P567" t="str">
        <f t="shared" si="43"/>
        <v>Hors Data</v>
      </c>
      <c r="Q567">
        <f t="shared" si="44"/>
        <v>16.337499999999999</v>
      </c>
      <c r="R567" t="str" cm="1">
        <f t="array" ref="R567">_xlfn.IFS(Q567&gt;=16, "Excellent",Q567&gt;=14, "Très bien", Q567&gt;=12, "Bien", Q567&gt;=10, "Passable", Q567&lt;10, "Insuffisant")</f>
        <v>Excellent</v>
      </c>
    </row>
    <row r="568" spans="1:18">
      <c r="A568" t="s">
        <v>866</v>
      </c>
      <c r="B568" t="s">
        <v>329</v>
      </c>
      <c r="C568" t="s">
        <v>20</v>
      </c>
      <c r="D568" t="s">
        <v>53</v>
      </c>
      <c r="E568" t="s">
        <v>22</v>
      </c>
      <c r="F568">
        <v>13.96</v>
      </c>
      <c r="G568">
        <v>14.84</v>
      </c>
      <c r="H568">
        <v>10.29</v>
      </c>
      <c r="I568">
        <v>11.16</v>
      </c>
      <c r="J568" s="4">
        <v>0.91439999999999999</v>
      </c>
      <c r="K568">
        <v>120000</v>
      </c>
      <c r="L568" s="2">
        <v>46021</v>
      </c>
      <c r="M568" t="str">
        <f t="shared" si="40"/>
        <v>Admis</v>
      </c>
      <c r="N568" t="str">
        <f t="shared" si="41"/>
        <v>Non Eligible</v>
      </c>
      <c r="O568" t="str">
        <f t="shared" si="42"/>
        <v>RAS</v>
      </c>
      <c r="P568" t="str">
        <f t="shared" si="43"/>
        <v>Data</v>
      </c>
      <c r="Q568">
        <f t="shared" si="44"/>
        <v>12.5625</v>
      </c>
      <c r="R568" t="str" cm="1">
        <f t="array" ref="R568">_xlfn.IFS(Q568&gt;=16, "Excellent",Q568&gt;=14, "Très bien", Q568&gt;=12, "Bien", Q568&gt;=10, "Passable", Q568&lt;10, "Insuffisant")</f>
        <v>Bien</v>
      </c>
    </row>
    <row r="569" spans="1:18">
      <c r="A569" t="s">
        <v>867</v>
      </c>
      <c r="B569" t="s">
        <v>528</v>
      </c>
      <c r="C569" t="s">
        <v>20</v>
      </c>
      <c r="D569" t="s">
        <v>41</v>
      </c>
      <c r="E569" t="s">
        <v>48</v>
      </c>
      <c r="F569">
        <v>16.809999999999999</v>
      </c>
      <c r="G569">
        <v>17.98</v>
      </c>
      <c r="H569">
        <v>19.260000000000002</v>
      </c>
      <c r="I569">
        <v>20</v>
      </c>
      <c r="J569" s="4">
        <v>0.6361</v>
      </c>
      <c r="K569">
        <v>100000</v>
      </c>
      <c r="L569" s="2">
        <v>45563</v>
      </c>
      <c r="M569" t="str">
        <f t="shared" si="40"/>
        <v>Admis</v>
      </c>
      <c r="N569" t="str">
        <f t="shared" si="41"/>
        <v>Non Eligible</v>
      </c>
      <c r="O569" t="str">
        <f t="shared" si="42"/>
        <v>RAS</v>
      </c>
      <c r="P569" t="str">
        <f t="shared" si="43"/>
        <v>Hors Data</v>
      </c>
      <c r="Q569">
        <f t="shared" si="44"/>
        <v>18.512499999999999</v>
      </c>
      <c r="R569" t="str" cm="1">
        <f t="array" ref="R569">_xlfn.IFS(Q569&gt;=16, "Excellent",Q569&gt;=14, "Très bien", Q569&gt;=12, "Bien", Q569&gt;=10, "Passable", Q569&lt;10, "Insuffisant")</f>
        <v>Excellent</v>
      </c>
    </row>
    <row r="570" spans="1:18">
      <c r="A570" t="s">
        <v>868</v>
      </c>
      <c r="B570" t="s">
        <v>102</v>
      </c>
      <c r="C570" t="s">
        <v>25</v>
      </c>
      <c r="D570" t="s">
        <v>21</v>
      </c>
      <c r="E570" t="s">
        <v>48</v>
      </c>
      <c r="F570">
        <v>11.75</v>
      </c>
      <c r="G570">
        <v>9.0399999999999991</v>
      </c>
      <c r="H570">
        <v>9.32</v>
      </c>
      <c r="I570">
        <v>10.25</v>
      </c>
      <c r="J570" s="4">
        <v>0.79779999999999995</v>
      </c>
      <c r="K570">
        <v>120000</v>
      </c>
      <c r="L570" s="2">
        <v>45586</v>
      </c>
      <c r="M570" t="str">
        <f t="shared" si="40"/>
        <v>Non admis</v>
      </c>
      <c r="N570" t="str">
        <f t="shared" si="41"/>
        <v>Non Eligible</v>
      </c>
      <c r="O570" t="str">
        <f t="shared" si="42"/>
        <v>A surveiller</v>
      </c>
      <c r="P570" t="str">
        <f t="shared" si="43"/>
        <v>Hors Data</v>
      </c>
      <c r="Q570">
        <f t="shared" si="44"/>
        <v>10.09</v>
      </c>
      <c r="R570" t="str" cm="1">
        <f t="array" ref="R570">_xlfn.IFS(Q570&gt;=16, "Excellent",Q570&gt;=14, "Très bien", Q570&gt;=12, "Bien", Q570&gt;=10, "Passable", Q570&lt;10, "Insuffisant")</f>
        <v>Passable</v>
      </c>
    </row>
    <row r="571" spans="1:18">
      <c r="A571" t="s">
        <v>869</v>
      </c>
      <c r="B571" t="s">
        <v>825</v>
      </c>
      <c r="C571" t="s">
        <v>25</v>
      </c>
      <c r="D571" t="s">
        <v>26</v>
      </c>
      <c r="E571" t="s">
        <v>48</v>
      </c>
      <c r="F571">
        <v>14.89</v>
      </c>
      <c r="G571">
        <v>14.41</v>
      </c>
      <c r="H571">
        <v>14.11</v>
      </c>
      <c r="I571">
        <v>15.13</v>
      </c>
      <c r="J571" s="4">
        <v>0.91149999999999998</v>
      </c>
      <c r="K571">
        <v>60000</v>
      </c>
      <c r="L571" s="2">
        <v>46045</v>
      </c>
      <c r="M571" t="str">
        <f t="shared" si="40"/>
        <v>Admis</v>
      </c>
      <c r="N571" t="str">
        <f t="shared" si="41"/>
        <v>Eligible</v>
      </c>
      <c r="O571" t="str">
        <f t="shared" si="42"/>
        <v>RAS</v>
      </c>
      <c r="P571" t="str">
        <f t="shared" si="43"/>
        <v>Hors Data</v>
      </c>
      <c r="Q571">
        <f t="shared" si="44"/>
        <v>14.635</v>
      </c>
      <c r="R571" t="str" cm="1">
        <f t="array" ref="R571">_xlfn.IFS(Q571&gt;=16, "Excellent",Q571&gt;=14, "Très bien", Q571&gt;=12, "Bien", Q571&gt;=10, "Passable", Q571&lt;10, "Insuffisant")</f>
        <v>Très bien</v>
      </c>
    </row>
    <row r="572" spans="1:18">
      <c r="A572" t="s">
        <v>870</v>
      </c>
      <c r="B572" t="s">
        <v>611</v>
      </c>
      <c r="C572" t="s">
        <v>25</v>
      </c>
      <c r="D572" t="s">
        <v>41</v>
      </c>
      <c r="E572" t="s">
        <v>35</v>
      </c>
      <c r="F572">
        <v>12.65</v>
      </c>
      <c r="G572">
        <v>8.6199999999999992</v>
      </c>
      <c r="H572">
        <v>11.2</v>
      </c>
      <c r="I572">
        <v>5.74</v>
      </c>
      <c r="J572" s="4">
        <v>0.67059999999999997</v>
      </c>
      <c r="K572">
        <v>100000</v>
      </c>
      <c r="L572" s="2">
        <v>45967</v>
      </c>
      <c r="M572" t="str">
        <f t="shared" si="40"/>
        <v>Admis</v>
      </c>
      <c r="N572" t="str">
        <f t="shared" si="41"/>
        <v>Non Eligible</v>
      </c>
      <c r="O572" t="str">
        <f t="shared" si="42"/>
        <v>RAS</v>
      </c>
      <c r="P572" t="str">
        <f t="shared" si="43"/>
        <v>Hors Data</v>
      </c>
      <c r="Q572">
        <f t="shared" si="44"/>
        <v>9.5525000000000002</v>
      </c>
      <c r="R572" t="str" cm="1">
        <f t="array" ref="R572">_xlfn.IFS(Q572&gt;=16, "Excellent",Q572&gt;=14, "Très bien", Q572&gt;=12, "Bien", Q572&gt;=10, "Passable", Q572&lt;10, "Insuffisant")</f>
        <v>Insuffisant</v>
      </c>
    </row>
    <row r="573" spans="1:18">
      <c r="A573" t="s">
        <v>871</v>
      </c>
      <c r="B573" t="s">
        <v>872</v>
      </c>
      <c r="C573" t="s">
        <v>20</v>
      </c>
      <c r="D573" t="s">
        <v>21</v>
      </c>
      <c r="E573" t="s">
        <v>27</v>
      </c>
      <c r="F573">
        <v>8.91</v>
      </c>
      <c r="G573">
        <v>6.12</v>
      </c>
      <c r="H573">
        <v>10.17</v>
      </c>
      <c r="I573">
        <v>10.35</v>
      </c>
      <c r="J573" s="4">
        <v>0.97309999999999997</v>
      </c>
      <c r="K573">
        <v>80000</v>
      </c>
      <c r="L573" s="2">
        <v>45566</v>
      </c>
      <c r="M573" t="str">
        <f t="shared" si="40"/>
        <v>Admis</v>
      </c>
      <c r="N573" t="str">
        <f t="shared" si="41"/>
        <v>Non Eligible</v>
      </c>
      <c r="O573" t="str">
        <f t="shared" si="42"/>
        <v>A surveiller</v>
      </c>
      <c r="P573" t="str">
        <f t="shared" si="43"/>
        <v>Hors Data</v>
      </c>
      <c r="Q573">
        <f t="shared" si="44"/>
        <v>8.8875000000000011</v>
      </c>
      <c r="R573" t="str" cm="1">
        <f t="array" ref="R573">_xlfn.IFS(Q573&gt;=16, "Excellent",Q573&gt;=14, "Très bien", Q573&gt;=12, "Bien", Q573&gt;=10, "Passable", Q573&lt;10, "Insuffisant")</f>
        <v>Insuffisant</v>
      </c>
    </row>
    <row r="574" spans="1:18">
      <c r="A574" t="s">
        <v>873</v>
      </c>
      <c r="B574" t="s">
        <v>109</v>
      </c>
      <c r="C574" t="s">
        <v>20</v>
      </c>
      <c r="D574" t="s">
        <v>41</v>
      </c>
      <c r="E574" t="s">
        <v>48</v>
      </c>
      <c r="F574">
        <v>16.13</v>
      </c>
      <c r="G574">
        <v>17.690000000000001</v>
      </c>
      <c r="H574">
        <v>15.54</v>
      </c>
      <c r="I574">
        <v>14.87</v>
      </c>
      <c r="J574" s="4">
        <v>0.84619999999999995</v>
      </c>
      <c r="K574">
        <v>120000</v>
      </c>
      <c r="L574" s="2">
        <v>46165</v>
      </c>
      <c r="M574" t="str">
        <f t="shared" si="40"/>
        <v>Admis</v>
      </c>
      <c r="N574" t="str">
        <f t="shared" si="41"/>
        <v>Eligible</v>
      </c>
      <c r="O574" t="str">
        <f t="shared" si="42"/>
        <v>RAS</v>
      </c>
      <c r="P574" t="str">
        <f t="shared" si="43"/>
        <v>Hors Data</v>
      </c>
      <c r="Q574">
        <f t="shared" si="44"/>
        <v>16.057500000000001</v>
      </c>
      <c r="R574" t="str" cm="1">
        <f t="array" ref="R574">_xlfn.IFS(Q574&gt;=16, "Excellent",Q574&gt;=14, "Très bien", Q574&gt;=12, "Bien", Q574&gt;=10, "Passable", Q574&lt;10, "Insuffisant")</f>
        <v>Excellent</v>
      </c>
    </row>
    <row r="575" spans="1:18">
      <c r="A575" t="s">
        <v>874</v>
      </c>
      <c r="B575" t="s">
        <v>875</v>
      </c>
      <c r="C575" t="s">
        <v>20</v>
      </c>
      <c r="D575" t="s">
        <v>21</v>
      </c>
      <c r="E575" t="s">
        <v>35</v>
      </c>
      <c r="F575">
        <v>10.64</v>
      </c>
      <c r="G575">
        <v>11.97</v>
      </c>
      <c r="H575">
        <v>12.87</v>
      </c>
      <c r="I575">
        <v>8.6</v>
      </c>
      <c r="J575" s="4">
        <v>0.78520000000000001</v>
      </c>
      <c r="K575">
        <v>120000</v>
      </c>
      <c r="L575" s="2">
        <v>45539</v>
      </c>
      <c r="M575" t="str">
        <f t="shared" si="40"/>
        <v>Admis</v>
      </c>
      <c r="N575" t="str">
        <f t="shared" si="41"/>
        <v>Non Eligible</v>
      </c>
      <c r="O575" t="str">
        <f t="shared" si="42"/>
        <v>RAS</v>
      </c>
      <c r="P575" t="str">
        <f t="shared" si="43"/>
        <v>Hors Data</v>
      </c>
      <c r="Q575">
        <f t="shared" si="44"/>
        <v>11.02</v>
      </c>
      <c r="R575" t="str" cm="1">
        <f t="array" ref="R575">_xlfn.IFS(Q575&gt;=16, "Excellent",Q575&gt;=14, "Très bien", Q575&gt;=12, "Bien", Q575&gt;=10, "Passable", Q575&lt;10, "Insuffisant")</f>
        <v>Passable</v>
      </c>
    </row>
    <row r="576" spans="1:18">
      <c r="A576" t="s">
        <v>876</v>
      </c>
      <c r="B576" t="s">
        <v>482</v>
      </c>
      <c r="C576" t="s">
        <v>20</v>
      </c>
      <c r="D576" t="s">
        <v>53</v>
      </c>
      <c r="E576" t="s">
        <v>22</v>
      </c>
      <c r="F576">
        <v>16.559999999999999</v>
      </c>
      <c r="G576">
        <v>17.98</v>
      </c>
      <c r="H576">
        <v>16.309999999999999</v>
      </c>
      <c r="I576">
        <v>13.36</v>
      </c>
      <c r="J576" s="4">
        <v>0.72130000000000005</v>
      </c>
      <c r="K576">
        <v>120000</v>
      </c>
      <c r="L576" s="2">
        <v>46204</v>
      </c>
      <c r="M576" t="str">
        <f t="shared" si="40"/>
        <v>Admis</v>
      </c>
      <c r="N576" t="str">
        <f t="shared" si="41"/>
        <v>Non Eligible</v>
      </c>
      <c r="O576" t="str">
        <f t="shared" si="42"/>
        <v>RAS</v>
      </c>
      <c r="P576" t="str">
        <f t="shared" si="43"/>
        <v>Data</v>
      </c>
      <c r="Q576">
        <f t="shared" si="44"/>
        <v>16.052499999999998</v>
      </c>
      <c r="R576" t="str" cm="1">
        <f t="array" ref="R576">_xlfn.IFS(Q576&gt;=16, "Excellent",Q576&gt;=14, "Très bien", Q576&gt;=12, "Bien", Q576&gt;=10, "Passable", Q576&lt;10, "Insuffisant")</f>
        <v>Excellent</v>
      </c>
    </row>
    <row r="577" spans="1:18">
      <c r="A577" t="s">
        <v>877</v>
      </c>
      <c r="B577" t="s">
        <v>878</v>
      </c>
      <c r="C577" t="s">
        <v>20</v>
      </c>
      <c r="D577" t="s">
        <v>53</v>
      </c>
      <c r="E577" t="s">
        <v>35</v>
      </c>
      <c r="F577">
        <v>11.14</v>
      </c>
      <c r="G577">
        <v>15.34</v>
      </c>
      <c r="H577">
        <v>10.02</v>
      </c>
      <c r="I577">
        <v>17.38</v>
      </c>
      <c r="J577" s="4">
        <v>0.72009999999999996</v>
      </c>
      <c r="K577">
        <v>70000</v>
      </c>
      <c r="L577" s="2">
        <v>46046</v>
      </c>
      <c r="M577" t="str">
        <f t="shared" si="40"/>
        <v>Admis</v>
      </c>
      <c r="N577" t="str">
        <f t="shared" si="41"/>
        <v>Non Eligible</v>
      </c>
      <c r="O577" t="str">
        <f t="shared" si="42"/>
        <v>RAS</v>
      </c>
      <c r="P577" t="str">
        <f t="shared" si="43"/>
        <v>Hors Data</v>
      </c>
      <c r="Q577">
        <f t="shared" si="44"/>
        <v>13.469999999999999</v>
      </c>
      <c r="R577" t="str" cm="1">
        <f t="array" ref="R577">_xlfn.IFS(Q577&gt;=16, "Excellent",Q577&gt;=14, "Très bien", Q577&gt;=12, "Bien", Q577&gt;=10, "Passable", Q577&lt;10, "Insuffisant")</f>
        <v>Bien</v>
      </c>
    </row>
    <row r="578" spans="1:18">
      <c r="A578" t="s">
        <v>879</v>
      </c>
      <c r="B578" t="s">
        <v>880</v>
      </c>
      <c r="C578" t="s">
        <v>25</v>
      </c>
      <c r="D578" t="s">
        <v>53</v>
      </c>
      <c r="E578" t="s">
        <v>22</v>
      </c>
      <c r="F578">
        <v>12.15</v>
      </c>
      <c r="G578">
        <v>12.28</v>
      </c>
      <c r="H578">
        <v>13.32</v>
      </c>
      <c r="I578">
        <v>12.51</v>
      </c>
      <c r="J578" s="4">
        <v>0.61860000000000004</v>
      </c>
      <c r="K578">
        <v>85000</v>
      </c>
      <c r="L578" s="2">
        <v>46227</v>
      </c>
      <c r="M578" t="str">
        <f t="shared" si="40"/>
        <v>Admis</v>
      </c>
      <c r="N578" t="str">
        <f t="shared" si="41"/>
        <v>Non Eligible</v>
      </c>
      <c r="O578" t="str">
        <f t="shared" si="42"/>
        <v>RAS</v>
      </c>
      <c r="P578" t="str">
        <f t="shared" si="43"/>
        <v>Data</v>
      </c>
      <c r="Q578">
        <f t="shared" si="44"/>
        <v>12.565</v>
      </c>
      <c r="R578" t="str" cm="1">
        <f t="array" ref="R578">_xlfn.IFS(Q578&gt;=16, "Excellent",Q578&gt;=14, "Très bien", Q578&gt;=12, "Bien", Q578&gt;=10, "Passable", Q578&lt;10, "Insuffisant")</f>
        <v>Bien</v>
      </c>
    </row>
    <row r="579" spans="1:18">
      <c r="A579" t="s">
        <v>881</v>
      </c>
      <c r="B579" t="s">
        <v>490</v>
      </c>
      <c r="C579" t="s">
        <v>25</v>
      </c>
      <c r="D579" t="s">
        <v>41</v>
      </c>
      <c r="E579" t="s">
        <v>22</v>
      </c>
      <c r="F579">
        <v>12.58</v>
      </c>
      <c r="G579">
        <v>19.02</v>
      </c>
      <c r="H579">
        <v>19.43</v>
      </c>
      <c r="I579">
        <v>17.7</v>
      </c>
      <c r="J579" s="4">
        <v>0.88939999999999997</v>
      </c>
      <c r="K579">
        <v>50000</v>
      </c>
      <c r="L579" s="2">
        <v>46200</v>
      </c>
      <c r="M579" t="str">
        <f t="shared" ref="M579:M642" si="45">IF(H579&gt;=10,"Admis","Non admis")</f>
        <v>Admis</v>
      </c>
      <c r="N579" t="str">
        <f t="shared" ref="N579:N642" si="46">IF(AND(F579&gt;=12,H579&gt;=12,J579&gt;80%), "Eligible", "Non Eligible")</f>
        <v>Eligible</v>
      </c>
      <c r="O579" t="str">
        <f t="shared" ref="O579:O642" si="47">IF(OR(F579&lt;10,H579&lt;10), "A surveiller", "RAS")</f>
        <v>RAS</v>
      </c>
      <c r="P579" t="str">
        <f t="shared" ref="P579:P642" si="48">IF(NOT(E579="Data"), "Hors Data", "Data")</f>
        <v>Data</v>
      </c>
      <c r="Q579">
        <f t="shared" ref="Q579:Q642" si="49">AVERAGE(F579:I579)</f>
        <v>17.182500000000001</v>
      </c>
      <c r="R579" t="str" cm="1">
        <f t="array" ref="R579">_xlfn.IFS(Q579&gt;=16, "Excellent",Q579&gt;=14, "Très bien", Q579&gt;=12, "Bien", Q579&gt;=10, "Passable", Q579&lt;10, "Insuffisant")</f>
        <v>Excellent</v>
      </c>
    </row>
    <row r="580" spans="1:18">
      <c r="A580" t="s">
        <v>882</v>
      </c>
      <c r="B580" t="s">
        <v>200</v>
      </c>
      <c r="C580" t="s">
        <v>25</v>
      </c>
      <c r="D580" t="s">
        <v>21</v>
      </c>
      <c r="E580" t="s">
        <v>35</v>
      </c>
      <c r="F580">
        <v>13.37</v>
      </c>
      <c r="G580">
        <v>14.83</v>
      </c>
      <c r="H580">
        <v>14.03</v>
      </c>
      <c r="I580">
        <v>11.61</v>
      </c>
      <c r="J580" s="4">
        <v>0.99139999999999995</v>
      </c>
      <c r="K580">
        <v>130000</v>
      </c>
      <c r="L580" s="2">
        <v>45755</v>
      </c>
      <c r="M580" t="str">
        <f t="shared" si="45"/>
        <v>Admis</v>
      </c>
      <c r="N580" t="str">
        <f t="shared" si="46"/>
        <v>Eligible</v>
      </c>
      <c r="O580" t="str">
        <f t="shared" si="47"/>
        <v>RAS</v>
      </c>
      <c r="P580" t="str">
        <f t="shared" si="48"/>
        <v>Hors Data</v>
      </c>
      <c r="Q580">
        <f t="shared" si="49"/>
        <v>13.459999999999999</v>
      </c>
      <c r="R580" t="str" cm="1">
        <f t="array" ref="R580">_xlfn.IFS(Q580&gt;=16, "Excellent",Q580&gt;=14, "Très bien", Q580&gt;=12, "Bien", Q580&gt;=10, "Passable", Q580&lt;10, "Insuffisant")</f>
        <v>Bien</v>
      </c>
    </row>
    <row r="581" spans="1:18">
      <c r="A581" t="s">
        <v>883</v>
      </c>
      <c r="B581" t="s">
        <v>532</v>
      </c>
      <c r="C581" t="s">
        <v>20</v>
      </c>
      <c r="D581" t="s">
        <v>38</v>
      </c>
      <c r="E581" t="s">
        <v>22</v>
      </c>
      <c r="F581">
        <v>7.41</v>
      </c>
      <c r="G581">
        <v>7.22</v>
      </c>
      <c r="H581">
        <v>13.62</v>
      </c>
      <c r="I581">
        <v>4.47</v>
      </c>
      <c r="J581" s="4">
        <v>0.75329999999999997</v>
      </c>
      <c r="K581">
        <v>70000</v>
      </c>
      <c r="L581" s="2">
        <v>46065</v>
      </c>
      <c r="M581" t="str">
        <f t="shared" si="45"/>
        <v>Admis</v>
      </c>
      <c r="N581" t="str">
        <f t="shared" si="46"/>
        <v>Non Eligible</v>
      </c>
      <c r="O581" t="str">
        <f t="shared" si="47"/>
        <v>A surveiller</v>
      </c>
      <c r="P581" t="str">
        <f t="shared" si="48"/>
        <v>Data</v>
      </c>
      <c r="Q581">
        <f t="shared" si="49"/>
        <v>8.18</v>
      </c>
      <c r="R581" t="str" cm="1">
        <f t="array" ref="R581">_xlfn.IFS(Q581&gt;=16, "Excellent",Q581&gt;=14, "Très bien", Q581&gt;=12, "Bien", Q581&gt;=10, "Passable", Q581&lt;10, "Insuffisant")</f>
        <v>Insuffisant</v>
      </c>
    </row>
    <row r="582" spans="1:18">
      <c r="A582" t="s">
        <v>884</v>
      </c>
      <c r="B582" t="s">
        <v>431</v>
      </c>
      <c r="C582" t="s">
        <v>20</v>
      </c>
      <c r="D582" t="s">
        <v>21</v>
      </c>
      <c r="E582" t="s">
        <v>22</v>
      </c>
      <c r="F582">
        <v>7.98</v>
      </c>
      <c r="G582">
        <v>10.57</v>
      </c>
      <c r="H582">
        <v>14.2</v>
      </c>
      <c r="I582">
        <v>13.21</v>
      </c>
      <c r="J582" s="4">
        <v>0.68700000000000006</v>
      </c>
      <c r="K582">
        <v>90000</v>
      </c>
      <c r="L582" s="2">
        <v>45683</v>
      </c>
      <c r="M582" t="str">
        <f t="shared" si="45"/>
        <v>Admis</v>
      </c>
      <c r="N582" t="str">
        <f t="shared" si="46"/>
        <v>Non Eligible</v>
      </c>
      <c r="O582" t="str">
        <f t="shared" si="47"/>
        <v>A surveiller</v>
      </c>
      <c r="P582" t="str">
        <f t="shared" si="48"/>
        <v>Data</v>
      </c>
      <c r="Q582">
        <f t="shared" si="49"/>
        <v>11.49</v>
      </c>
      <c r="R582" t="str" cm="1">
        <f t="array" ref="R582">_xlfn.IFS(Q582&gt;=16, "Excellent",Q582&gt;=14, "Très bien", Q582&gt;=12, "Bien", Q582&gt;=10, "Passable", Q582&lt;10, "Insuffisant")</f>
        <v>Passable</v>
      </c>
    </row>
    <row r="583" spans="1:18">
      <c r="A583" t="s">
        <v>885</v>
      </c>
      <c r="B583" t="s">
        <v>50</v>
      </c>
      <c r="C583" t="s">
        <v>25</v>
      </c>
      <c r="D583" t="s">
        <v>38</v>
      </c>
      <c r="E583" t="s">
        <v>35</v>
      </c>
      <c r="F583">
        <v>17.43</v>
      </c>
      <c r="G583">
        <v>10.55</v>
      </c>
      <c r="H583">
        <v>18.43</v>
      </c>
      <c r="I583">
        <v>10.16</v>
      </c>
      <c r="J583" s="4">
        <v>0.61609999999999998</v>
      </c>
      <c r="K583">
        <v>85000</v>
      </c>
      <c r="L583" s="2">
        <v>45866</v>
      </c>
      <c r="M583" t="str">
        <f t="shared" si="45"/>
        <v>Admis</v>
      </c>
      <c r="N583" t="str">
        <f t="shared" si="46"/>
        <v>Non Eligible</v>
      </c>
      <c r="O583" t="str">
        <f t="shared" si="47"/>
        <v>RAS</v>
      </c>
      <c r="P583" t="str">
        <f t="shared" si="48"/>
        <v>Hors Data</v>
      </c>
      <c r="Q583">
        <f t="shared" si="49"/>
        <v>14.142499999999998</v>
      </c>
      <c r="R583" t="str" cm="1">
        <f t="array" ref="R583">_xlfn.IFS(Q583&gt;=16, "Excellent",Q583&gt;=14, "Très bien", Q583&gt;=12, "Bien", Q583&gt;=10, "Passable", Q583&lt;10, "Insuffisant")</f>
        <v>Très bien</v>
      </c>
    </row>
    <row r="584" spans="1:18">
      <c r="A584" t="s">
        <v>886</v>
      </c>
      <c r="B584" t="s">
        <v>357</v>
      </c>
      <c r="C584" t="s">
        <v>20</v>
      </c>
      <c r="D584" t="s">
        <v>41</v>
      </c>
      <c r="E584" t="s">
        <v>48</v>
      </c>
      <c r="F584">
        <v>11.73</v>
      </c>
      <c r="G584">
        <v>12.61</v>
      </c>
      <c r="H584">
        <v>20</v>
      </c>
      <c r="I584">
        <v>13.29</v>
      </c>
      <c r="J584" s="4">
        <v>0.71809999999999996</v>
      </c>
      <c r="K584">
        <v>120000</v>
      </c>
      <c r="L584" s="2">
        <v>45704</v>
      </c>
      <c r="M584" t="str">
        <f t="shared" si="45"/>
        <v>Admis</v>
      </c>
      <c r="N584" t="str">
        <f t="shared" si="46"/>
        <v>Non Eligible</v>
      </c>
      <c r="O584" t="str">
        <f t="shared" si="47"/>
        <v>RAS</v>
      </c>
      <c r="P584" t="str">
        <f t="shared" si="48"/>
        <v>Hors Data</v>
      </c>
      <c r="Q584">
        <f t="shared" si="49"/>
        <v>14.407500000000001</v>
      </c>
      <c r="R584" t="str" cm="1">
        <f t="array" ref="R584">_xlfn.IFS(Q584&gt;=16, "Excellent",Q584&gt;=14, "Très bien", Q584&gt;=12, "Bien", Q584&gt;=10, "Passable", Q584&lt;10, "Insuffisant")</f>
        <v>Très bien</v>
      </c>
    </row>
    <row r="585" spans="1:18">
      <c r="A585" t="s">
        <v>887</v>
      </c>
      <c r="B585" t="s">
        <v>106</v>
      </c>
      <c r="C585" t="s">
        <v>20</v>
      </c>
      <c r="D585" t="s">
        <v>41</v>
      </c>
      <c r="E585" t="s">
        <v>22</v>
      </c>
      <c r="F585">
        <v>10.87</v>
      </c>
      <c r="G585">
        <v>7.88</v>
      </c>
      <c r="H585">
        <v>10.98</v>
      </c>
      <c r="I585">
        <v>8.89</v>
      </c>
      <c r="J585" s="4">
        <v>0.78890000000000005</v>
      </c>
      <c r="K585">
        <v>120000</v>
      </c>
      <c r="L585" s="2">
        <v>45876</v>
      </c>
      <c r="M585" t="str">
        <f t="shared" si="45"/>
        <v>Admis</v>
      </c>
      <c r="N585" t="str">
        <f t="shared" si="46"/>
        <v>Non Eligible</v>
      </c>
      <c r="O585" t="str">
        <f t="shared" si="47"/>
        <v>RAS</v>
      </c>
      <c r="P585" t="str">
        <f t="shared" si="48"/>
        <v>Data</v>
      </c>
      <c r="Q585">
        <f t="shared" si="49"/>
        <v>9.6550000000000011</v>
      </c>
      <c r="R585" t="str" cm="1">
        <f t="array" ref="R585">_xlfn.IFS(Q585&gt;=16, "Excellent",Q585&gt;=14, "Très bien", Q585&gt;=12, "Bien", Q585&gt;=10, "Passable", Q585&lt;10, "Insuffisant")</f>
        <v>Insuffisant</v>
      </c>
    </row>
    <row r="586" spans="1:18">
      <c r="A586" t="s">
        <v>888</v>
      </c>
      <c r="B586" t="s">
        <v>528</v>
      </c>
      <c r="C586" t="s">
        <v>20</v>
      </c>
      <c r="D586" t="s">
        <v>53</v>
      </c>
      <c r="E586" t="s">
        <v>35</v>
      </c>
      <c r="F586">
        <v>9.93</v>
      </c>
      <c r="G586">
        <v>12.04</v>
      </c>
      <c r="H586">
        <v>12.03</v>
      </c>
      <c r="I586">
        <v>11.88</v>
      </c>
      <c r="J586" s="4">
        <v>0.79039999999999999</v>
      </c>
      <c r="K586">
        <v>110000</v>
      </c>
      <c r="L586" s="2">
        <v>46146</v>
      </c>
      <c r="M586" t="str">
        <f t="shared" si="45"/>
        <v>Admis</v>
      </c>
      <c r="N586" t="str">
        <f t="shared" si="46"/>
        <v>Non Eligible</v>
      </c>
      <c r="O586" t="str">
        <f t="shared" si="47"/>
        <v>A surveiller</v>
      </c>
      <c r="P586" t="str">
        <f t="shared" si="48"/>
        <v>Hors Data</v>
      </c>
      <c r="Q586">
        <f t="shared" si="49"/>
        <v>11.47</v>
      </c>
      <c r="R586" t="str" cm="1">
        <f t="array" ref="R586">_xlfn.IFS(Q586&gt;=16, "Excellent",Q586&gt;=14, "Très bien", Q586&gt;=12, "Bien", Q586&gt;=10, "Passable", Q586&lt;10, "Insuffisant")</f>
        <v>Passable</v>
      </c>
    </row>
    <row r="587" spans="1:18">
      <c r="A587" t="s">
        <v>889</v>
      </c>
      <c r="B587" t="s">
        <v>541</v>
      </c>
      <c r="C587" t="s">
        <v>25</v>
      </c>
      <c r="D587" t="s">
        <v>26</v>
      </c>
      <c r="E587" t="s">
        <v>22</v>
      </c>
      <c r="F587">
        <v>15.39</v>
      </c>
      <c r="G587">
        <v>10.19</v>
      </c>
      <c r="H587">
        <v>14.21</v>
      </c>
      <c r="I587">
        <v>10.17</v>
      </c>
      <c r="J587" s="4">
        <v>0.66379999999999995</v>
      </c>
      <c r="K587">
        <v>100000</v>
      </c>
      <c r="L587" s="2">
        <v>45841</v>
      </c>
      <c r="M587" t="str">
        <f t="shared" si="45"/>
        <v>Admis</v>
      </c>
      <c r="N587" t="str">
        <f t="shared" si="46"/>
        <v>Non Eligible</v>
      </c>
      <c r="O587" t="str">
        <f t="shared" si="47"/>
        <v>RAS</v>
      </c>
      <c r="P587" t="str">
        <f t="shared" si="48"/>
        <v>Data</v>
      </c>
      <c r="Q587">
        <f t="shared" si="49"/>
        <v>12.49</v>
      </c>
      <c r="R587" t="str" cm="1">
        <f t="array" ref="R587">_xlfn.IFS(Q587&gt;=16, "Excellent",Q587&gt;=14, "Très bien", Q587&gt;=12, "Bien", Q587&gt;=10, "Passable", Q587&lt;10, "Insuffisant")</f>
        <v>Bien</v>
      </c>
    </row>
    <row r="588" spans="1:18">
      <c r="A588" t="s">
        <v>890</v>
      </c>
      <c r="B588" t="s">
        <v>79</v>
      </c>
      <c r="C588" t="s">
        <v>25</v>
      </c>
      <c r="D588" t="s">
        <v>21</v>
      </c>
      <c r="E588" t="s">
        <v>22</v>
      </c>
      <c r="F588">
        <v>14.13</v>
      </c>
      <c r="G588">
        <v>11.75</v>
      </c>
      <c r="H588">
        <v>11.45</v>
      </c>
      <c r="I588">
        <v>8.33</v>
      </c>
      <c r="J588" s="4">
        <v>0.94240000000000002</v>
      </c>
      <c r="K588">
        <v>60000</v>
      </c>
      <c r="L588" s="2">
        <v>45600</v>
      </c>
      <c r="M588" t="str">
        <f t="shared" si="45"/>
        <v>Admis</v>
      </c>
      <c r="N588" t="str">
        <f t="shared" si="46"/>
        <v>Non Eligible</v>
      </c>
      <c r="O588" t="str">
        <f t="shared" si="47"/>
        <v>RAS</v>
      </c>
      <c r="P588" t="str">
        <f t="shared" si="48"/>
        <v>Data</v>
      </c>
      <c r="Q588">
        <f t="shared" si="49"/>
        <v>11.414999999999999</v>
      </c>
      <c r="R588" t="str" cm="1">
        <f t="array" ref="R588">_xlfn.IFS(Q588&gt;=16, "Excellent",Q588&gt;=14, "Très bien", Q588&gt;=12, "Bien", Q588&gt;=10, "Passable", Q588&lt;10, "Insuffisant")</f>
        <v>Passable</v>
      </c>
    </row>
    <row r="589" spans="1:18">
      <c r="A589" t="s">
        <v>891</v>
      </c>
      <c r="B589" t="s">
        <v>451</v>
      </c>
      <c r="C589" t="s">
        <v>20</v>
      </c>
      <c r="D589" t="s">
        <v>53</v>
      </c>
      <c r="E589" t="s">
        <v>22</v>
      </c>
      <c r="F589">
        <v>7.43</v>
      </c>
      <c r="G589">
        <v>7.35</v>
      </c>
      <c r="H589">
        <v>10.08</v>
      </c>
      <c r="I589">
        <v>7.79</v>
      </c>
      <c r="J589" s="4">
        <v>0.86570000000000003</v>
      </c>
      <c r="K589">
        <v>130000</v>
      </c>
      <c r="L589" s="2">
        <v>45763</v>
      </c>
      <c r="M589" t="str">
        <f t="shared" si="45"/>
        <v>Admis</v>
      </c>
      <c r="N589" t="str">
        <f t="shared" si="46"/>
        <v>Non Eligible</v>
      </c>
      <c r="O589" t="str">
        <f t="shared" si="47"/>
        <v>A surveiller</v>
      </c>
      <c r="P589" t="str">
        <f t="shared" si="48"/>
        <v>Data</v>
      </c>
      <c r="Q589">
        <f t="shared" si="49"/>
        <v>8.1624999999999996</v>
      </c>
      <c r="R589" t="str" cm="1">
        <f t="array" ref="R589">_xlfn.IFS(Q589&gt;=16, "Excellent",Q589&gt;=14, "Très bien", Q589&gt;=12, "Bien", Q589&gt;=10, "Passable", Q589&lt;10, "Insuffisant")</f>
        <v>Insuffisant</v>
      </c>
    </row>
    <row r="590" spans="1:18">
      <c r="A590" t="s">
        <v>892</v>
      </c>
      <c r="B590" t="s">
        <v>77</v>
      </c>
      <c r="C590" t="s">
        <v>25</v>
      </c>
      <c r="D590" t="s">
        <v>41</v>
      </c>
      <c r="E590" t="s">
        <v>35</v>
      </c>
      <c r="F590">
        <v>9.7200000000000006</v>
      </c>
      <c r="G590">
        <v>12.52</v>
      </c>
      <c r="H590">
        <v>10.52</v>
      </c>
      <c r="I590">
        <v>9.99</v>
      </c>
      <c r="J590" s="4">
        <v>0.62649999999999995</v>
      </c>
      <c r="K590">
        <v>50000</v>
      </c>
      <c r="L590" s="2">
        <v>46086</v>
      </c>
      <c r="M590" t="str">
        <f t="shared" si="45"/>
        <v>Admis</v>
      </c>
      <c r="N590" t="str">
        <f t="shared" si="46"/>
        <v>Non Eligible</v>
      </c>
      <c r="O590" t="str">
        <f t="shared" si="47"/>
        <v>A surveiller</v>
      </c>
      <c r="P590" t="str">
        <f t="shared" si="48"/>
        <v>Hors Data</v>
      </c>
      <c r="Q590">
        <f t="shared" si="49"/>
        <v>10.687500000000002</v>
      </c>
      <c r="R590" t="str" cm="1">
        <f t="array" ref="R590">_xlfn.IFS(Q590&gt;=16, "Excellent",Q590&gt;=14, "Très bien", Q590&gt;=12, "Bien", Q590&gt;=10, "Passable", Q590&lt;10, "Insuffisant")</f>
        <v>Passable</v>
      </c>
    </row>
    <row r="591" spans="1:18">
      <c r="A591" t="s">
        <v>893</v>
      </c>
      <c r="B591" t="s">
        <v>675</v>
      </c>
      <c r="C591" t="s">
        <v>25</v>
      </c>
      <c r="D591" t="s">
        <v>53</v>
      </c>
      <c r="E591" t="s">
        <v>48</v>
      </c>
      <c r="F591">
        <v>12.79</v>
      </c>
      <c r="G591">
        <v>12.8</v>
      </c>
      <c r="H591">
        <v>12.54</v>
      </c>
      <c r="I591">
        <v>9.66</v>
      </c>
      <c r="J591" s="4">
        <v>0.91310000000000002</v>
      </c>
      <c r="K591">
        <v>85000</v>
      </c>
      <c r="L591" s="2">
        <v>45901</v>
      </c>
      <c r="M591" t="str">
        <f t="shared" si="45"/>
        <v>Admis</v>
      </c>
      <c r="N591" t="str">
        <f t="shared" si="46"/>
        <v>Eligible</v>
      </c>
      <c r="O591" t="str">
        <f t="shared" si="47"/>
        <v>RAS</v>
      </c>
      <c r="P591" t="str">
        <f t="shared" si="48"/>
        <v>Hors Data</v>
      </c>
      <c r="Q591">
        <f t="shared" si="49"/>
        <v>11.947499999999998</v>
      </c>
      <c r="R591" t="str" cm="1">
        <f t="array" ref="R591">_xlfn.IFS(Q591&gt;=16, "Excellent",Q591&gt;=14, "Très bien", Q591&gt;=12, "Bien", Q591&gt;=10, "Passable", Q591&lt;10, "Insuffisant")</f>
        <v>Passable</v>
      </c>
    </row>
    <row r="592" spans="1:18">
      <c r="A592" t="s">
        <v>894</v>
      </c>
      <c r="B592" t="s">
        <v>213</v>
      </c>
      <c r="C592" t="s">
        <v>25</v>
      </c>
      <c r="D592" t="s">
        <v>38</v>
      </c>
      <c r="E592" t="s">
        <v>27</v>
      </c>
      <c r="F592">
        <v>15.08</v>
      </c>
      <c r="G592">
        <v>16.95</v>
      </c>
      <c r="H592">
        <v>14.43</v>
      </c>
      <c r="I592">
        <v>17.690000000000001</v>
      </c>
      <c r="J592" s="4">
        <v>0.75449999999999995</v>
      </c>
      <c r="K592">
        <v>80000</v>
      </c>
      <c r="L592" s="2">
        <v>45928</v>
      </c>
      <c r="M592" t="str">
        <f t="shared" si="45"/>
        <v>Admis</v>
      </c>
      <c r="N592" t="str">
        <f t="shared" si="46"/>
        <v>Non Eligible</v>
      </c>
      <c r="O592" t="str">
        <f t="shared" si="47"/>
        <v>RAS</v>
      </c>
      <c r="P592" t="str">
        <f t="shared" si="48"/>
        <v>Hors Data</v>
      </c>
      <c r="Q592">
        <f t="shared" si="49"/>
        <v>16.037500000000001</v>
      </c>
      <c r="R592" t="str" cm="1">
        <f t="array" ref="R592">_xlfn.IFS(Q592&gt;=16, "Excellent",Q592&gt;=14, "Très bien", Q592&gt;=12, "Bien", Q592&gt;=10, "Passable", Q592&lt;10, "Insuffisant")</f>
        <v>Excellent</v>
      </c>
    </row>
    <row r="593" spans="1:18">
      <c r="A593" t="s">
        <v>895</v>
      </c>
      <c r="B593" t="s">
        <v>636</v>
      </c>
      <c r="C593" t="s">
        <v>25</v>
      </c>
      <c r="D593" t="s">
        <v>53</v>
      </c>
      <c r="E593" t="s">
        <v>48</v>
      </c>
      <c r="F593">
        <v>15.39</v>
      </c>
      <c r="G593">
        <v>16.190000000000001</v>
      </c>
      <c r="H593">
        <v>14.45</v>
      </c>
      <c r="I593">
        <v>13</v>
      </c>
      <c r="J593" s="4">
        <v>0.8861</v>
      </c>
      <c r="K593">
        <v>80000</v>
      </c>
      <c r="L593" s="2">
        <v>45837</v>
      </c>
      <c r="M593" t="str">
        <f t="shared" si="45"/>
        <v>Admis</v>
      </c>
      <c r="N593" t="str">
        <f t="shared" si="46"/>
        <v>Eligible</v>
      </c>
      <c r="O593" t="str">
        <f t="shared" si="47"/>
        <v>RAS</v>
      </c>
      <c r="P593" t="str">
        <f t="shared" si="48"/>
        <v>Hors Data</v>
      </c>
      <c r="Q593">
        <f t="shared" si="49"/>
        <v>14.7575</v>
      </c>
      <c r="R593" t="str" cm="1">
        <f t="array" ref="R593">_xlfn.IFS(Q593&gt;=16, "Excellent",Q593&gt;=14, "Très bien", Q593&gt;=12, "Bien", Q593&gt;=10, "Passable", Q593&lt;10, "Insuffisant")</f>
        <v>Très bien</v>
      </c>
    </row>
    <row r="594" spans="1:18">
      <c r="A594" t="s">
        <v>896</v>
      </c>
      <c r="B594" t="s">
        <v>878</v>
      </c>
      <c r="C594" t="s">
        <v>20</v>
      </c>
      <c r="D594" t="s">
        <v>21</v>
      </c>
      <c r="E594" t="s">
        <v>48</v>
      </c>
      <c r="F594">
        <v>15.89</v>
      </c>
      <c r="G594">
        <v>10.1</v>
      </c>
      <c r="H594">
        <v>14.2</v>
      </c>
      <c r="I594">
        <v>13.65</v>
      </c>
      <c r="J594" s="4">
        <v>0.6996</v>
      </c>
      <c r="K594">
        <v>130000</v>
      </c>
      <c r="L594" s="2">
        <v>45740</v>
      </c>
      <c r="M594" t="str">
        <f t="shared" si="45"/>
        <v>Admis</v>
      </c>
      <c r="N594" t="str">
        <f t="shared" si="46"/>
        <v>Non Eligible</v>
      </c>
      <c r="O594" t="str">
        <f t="shared" si="47"/>
        <v>RAS</v>
      </c>
      <c r="P594" t="str">
        <f t="shared" si="48"/>
        <v>Hors Data</v>
      </c>
      <c r="Q594">
        <f t="shared" si="49"/>
        <v>13.459999999999999</v>
      </c>
      <c r="R594" t="str" cm="1">
        <f t="array" ref="R594">_xlfn.IFS(Q594&gt;=16, "Excellent",Q594&gt;=14, "Très bien", Q594&gt;=12, "Bien", Q594&gt;=10, "Passable", Q594&lt;10, "Insuffisant")</f>
        <v>Bien</v>
      </c>
    </row>
    <row r="595" spans="1:18">
      <c r="A595" t="s">
        <v>897</v>
      </c>
      <c r="B595" t="s">
        <v>898</v>
      </c>
      <c r="C595" t="s">
        <v>25</v>
      </c>
      <c r="D595" t="s">
        <v>34</v>
      </c>
      <c r="E595" t="s">
        <v>27</v>
      </c>
      <c r="F595">
        <v>10.76</v>
      </c>
      <c r="G595">
        <v>11.44</v>
      </c>
      <c r="H595">
        <v>12.3</v>
      </c>
      <c r="I595">
        <v>12.65</v>
      </c>
      <c r="J595" s="4">
        <v>0.80689999999999995</v>
      </c>
      <c r="K595">
        <v>70000</v>
      </c>
      <c r="L595" s="2">
        <v>45954</v>
      </c>
      <c r="M595" t="str">
        <f t="shared" si="45"/>
        <v>Admis</v>
      </c>
      <c r="N595" t="str">
        <f t="shared" si="46"/>
        <v>Non Eligible</v>
      </c>
      <c r="O595" t="str">
        <f t="shared" si="47"/>
        <v>RAS</v>
      </c>
      <c r="P595" t="str">
        <f t="shared" si="48"/>
        <v>Hors Data</v>
      </c>
      <c r="Q595">
        <f t="shared" si="49"/>
        <v>11.7875</v>
      </c>
      <c r="R595" t="str" cm="1">
        <f t="array" ref="R595">_xlfn.IFS(Q595&gt;=16, "Excellent",Q595&gt;=14, "Très bien", Q595&gt;=12, "Bien", Q595&gt;=10, "Passable", Q595&lt;10, "Insuffisant")</f>
        <v>Passable</v>
      </c>
    </row>
    <row r="596" spans="1:18">
      <c r="A596" t="s">
        <v>899</v>
      </c>
      <c r="B596" t="s">
        <v>274</v>
      </c>
      <c r="C596" t="s">
        <v>20</v>
      </c>
      <c r="D596" t="s">
        <v>38</v>
      </c>
      <c r="E596" t="s">
        <v>35</v>
      </c>
      <c r="F596">
        <v>14.09</v>
      </c>
      <c r="G596">
        <v>13.4</v>
      </c>
      <c r="H596">
        <v>9.85</v>
      </c>
      <c r="I596">
        <v>15.9</v>
      </c>
      <c r="J596" s="4">
        <v>0.94950000000000001</v>
      </c>
      <c r="K596">
        <v>90000</v>
      </c>
      <c r="L596" s="2">
        <v>45979</v>
      </c>
      <c r="M596" t="str">
        <f t="shared" si="45"/>
        <v>Non admis</v>
      </c>
      <c r="N596" t="str">
        <f t="shared" si="46"/>
        <v>Non Eligible</v>
      </c>
      <c r="O596" t="str">
        <f t="shared" si="47"/>
        <v>A surveiller</v>
      </c>
      <c r="P596" t="str">
        <f t="shared" si="48"/>
        <v>Hors Data</v>
      </c>
      <c r="Q596">
        <f t="shared" si="49"/>
        <v>13.31</v>
      </c>
      <c r="R596" t="str" cm="1">
        <f t="array" ref="R596">_xlfn.IFS(Q596&gt;=16, "Excellent",Q596&gt;=14, "Très bien", Q596&gt;=12, "Bien", Q596&gt;=10, "Passable", Q596&lt;10, "Insuffisant")</f>
        <v>Bien</v>
      </c>
    </row>
    <row r="597" spans="1:18">
      <c r="A597" t="s">
        <v>900</v>
      </c>
      <c r="B597" t="s">
        <v>412</v>
      </c>
      <c r="C597" t="s">
        <v>25</v>
      </c>
      <c r="D597" t="s">
        <v>53</v>
      </c>
      <c r="E597" t="s">
        <v>27</v>
      </c>
      <c r="F597">
        <v>13.31</v>
      </c>
      <c r="G597">
        <v>10.73</v>
      </c>
      <c r="H597">
        <v>8.2100000000000009</v>
      </c>
      <c r="I597">
        <v>10.82</v>
      </c>
      <c r="J597" s="4">
        <v>0.86019999999999996</v>
      </c>
      <c r="K597">
        <v>70000</v>
      </c>
      <c r="L597" s="2">
        <v>46164</v>
      </c>
      <c r="M597" t="str">
        <f t="shared" si="45"/>
        <v>Non admis</v>
      </c>
      <c r="N597" t="str">
        <f t="shared" si="46"/>
        <v>Non Eligible</v>
      </c>
      <c r="O597" t="str">
        <f t="shared" si="47"/>
        <v>A surveiller</v>
      </c>
      <c r="P597" t="str">
        <f t="shared" si="48"/>
        <v>Hors Data</v>
      </c>
      <c r="Q597">
        <f t="shared" si="49"/>
        <v>10.7675</v>
      </c>
      <c r="R597" t="str" cm="1">
        <f t="array" ref="R597">_xlfn.IFS(Q597&gt;=16, "Excellent",Q597&gt;=14, "Très bien", Q597&gt;=12, "Bien", Q597&gt;=10, "Passable", Q597&lt;10, "Insuffisant")</f>
        <v>Passable</v>
      </c>
    </row>
    <row r="598" spans="1:18">
      <c r="A598" t="s">
        <v>901</v>
      </c>
      <c r="B598" t="s">
        <v>710</v>
      </c>
      <c r="C598" t="s">
        <v>25</v>
      </c>
      <c r="D598" t="s">
        <v>53</v>
      </c>
      <c r="E598" t="s">
        <v>27</v>
      </c>
      <c r="F598">
        <v>12.07</v>
      </c>
      <c r="G598">
        <v>10.85</v>
      </c>
      <c r="H598">
        <v>7.96</v>
      </c>
      <c r="I598">
        <v>11.93</v>
      </c>
      <c r="J598" s="4">
        <v>0.59350000000000003</v>
      </c>
      <c r="K598">
        <v>130000</v>
      </c>
      <c r="L598" s="2">
        <v>45968</v>
      </c>
      <c r="M598" t="str">
        <f t="shared" si="45"/>
        <v>Non admis</v>
      </c>
      <c r="N598" t="str">
        <f t="shared" si="46"/>
        <v>Non Eligible</v>
      </c>
      <c r="O598" t="str">
        <f t="shared" si="47"/>
        <v>A surveiller</v>
      </c>
      <c r="P598" t="str">
        <f t="shared" si="48"/>
        <v>Hors Data</v>
      </c>
      <c r="Q598">
        <f t="shared" si="49"/>
        <v>10.702500000000001</v>
      </c>
      <c r="R598" t="str" cm="1">
        <f t="array" ref="R598">_xlfn.IFS(Q598&gt;=16, "Excellent",Q598&gt;=14, "Très bien", Q598&gt;=12, "Bien", Q598&gt;=10, "Passable", Q598&lt;10, "Insuffisant")</f>
        <v>Passable</v>
      </c>
    </row>
    <row r="599" spans="1:18">
      <c r="A599" t="s">
        <v>902</v>
      </c>
      <c r="B599" t="s">
        <v>805</v>
      </c>
      <c r="C599" t="s">
        <v>25</v>
      </c>
      <c r="D599" t="s">
        <v>41</v>
      </c>
      <c r="E599" t="s">
        <v>48</v>
      </c>
      <c r="F599">
        <v>10.52</v>
      </c>
      <c r="G599">
        <v>14.4</v>
      </c>
      <c r="H599">
        <v>9.1199999999999992</v>
      </c>
      <c r="I599">
        <v>10.39</v>
      </c>
      <c r="J599" s="4">
        <v>0.87170000000000003</v>
      </c>
      <c r="K599">
        <v>110000</v>
      </c>
      <c r="L599" s="2">
        <v>46232</v>
      </c>
      <c r="M599" t="str">
        <f t="shared" si="45"/>
        <v>Non admis</v>
      </c>
      <c r="N599" t="str">
        <f t="shared" si="46"/>
        <v>Non Eligible</v>
      </c>
      <c r="O599" t="str">
        <f t="shared" si="47"/>
        <v>A surveiller</v>
      </c>
      <c r="P599" t="str">
        <f t="shared" si="48"/>
        <v>Hors Data</v>
      </c>
      <c r="Q599">
        <f t="shared" si="49"/>
        <v>11.1075</v>
      </c>
      <c r="R599" t="str" cm="1">
        <f t="array" ref="R599">_xlfn.IFS(Q599&gt;=16, "Excellent",Q599&gt;=14, "Très bien", Q599&gt;=12, "Bien", Q599&gt;=10, "Passable", Q599&lt;10, "Insuffisant")</f>
        <v>Passable</v>
      </c>
    </row>
    <row r="600" spans="1:18">
      <c r="A600" t="s">
        <v>903</v>
      </c>
      <c r="B600" t="s">
        <v>61</v>
      </c>
      <c r="C600" t="s">
        <v>25</v>
      </c>
      <c r="D600" t="s">
        <v>26</v>
      </c>
      <c r="E600" t="s">
        <v>27</v>
      </c>
      <c r="F600">
        <v>11.09</v>
      </c>
      <c r="G600">
        <v>13.91</v>
      </c>
      <c r="H600">
        <v>12.83</v>
      </c>
      <c r="I600">
        <v>12.58</v>
      </c>
      <c r="J600" s="4">
        <v>0.76070000000000004</v>
      </c>
      <c r="K600">
        <v>80000</v>
      </c>
      <c r="L600" s="2">
        <v>46114</v>
      </c>
      <c r="M600" t="str">
        <f t="shared" si="45"/>
        <v>Admis</v>
      </c>
      <c r="N600" t="str">
        <f t="shared" si="46"/>
        <v>Non Eligible</v>
      </c>
      <c r="O600" t="str">
        <f t="shared" si="47"/>
        <v>RAS</v>
      </c>
      <c r="P600" t="str">
        <f t="shared" si="48"/>
        <v>Hors Data</v>
      </c>
      <c r="Q600">
        <f t="shared" si="49"/>
        <v>12.602499999999999</v>
      </c>
      <c r="R600" t="str" cm="1">
        <f t="array" ref="R600">_xlfn.IFS(Q600&gt;=16, "Excellent",Q600&gt;=14, "Très bien", Q600&gt;=12, "Bien", Q600&gt;=10, "Passable", Q600&lt;10, "Insuffisant")</f>
        <v>Bien</v>
      </c>
    </row>
    <row r="601" spans="1:18">
      <c r="A601" t="s">
        <v>904</v>
      </c>
      <c r="B601" t="s">
        <v>392</v>
      </c>
      <c r="C601" t="s">
        <v>25</v>
      </c>
      <c r="D601" t="s">
        <v>41</v>
      </c>
      <c r="E601" t="s">
        <v>22</v>
      </c>
      <c r="F601">
        <v>6.42</v>
      </c>
      <c r="G601">
        <v>8.4700000000000006</v>
      </c>
      <c r="H601">
        <v>10.92</v>
      </c>
      <c r="I601">
        <v>6.84</v>
      </c>
      <c r="J601" s="4">
        <v>0.94220000000000004</v>
      </c>
      <c r="K601">
        <v>50000</v>
      </c>
      <c r="L601" s="2">
        <v>45591</v>
      </c>
      <c r="M601" t="str">
        <f t="shared" si="45"/>
        <v>Admis</v>
      </c>
      <c r="N601" t="str">
        <f t="shared" si="46"/>
        <v>Non Eligible</v>
      </c>
      <c r="O601" t="str">
        <f t="shared" si="47"/>
        <v>A surveiller</v>
      </c>
      <c r="P601" t="str">
        <f t="shared" si="48"/>
        <v>Data</v>
      </c>
      <c r="Q601">
        <f t="shared" si="49"/>
        <v>8.1625000000000014</v>
      </c>
      <c r="R601" t="str" cm="1">
        <f t="array" ref="R601">_xlfn.IFS(Q601&gt;=16, "Excellent",Q601&gt;=14, "Très bien", Q601&gt;=12, "Bien", Q601&gt;=10, "Passable", Q601&lt;10, "Insuffisant")</f>
        <v>Insuffisant</v>
      </c>
    </row>
    <row r="602" spans="1:18">
      <c r="A602" t="s">
        <v>905</v>
      </c>
      <c r="B602" t="s">
        <v>301</v>
      </c>
      <c r="C602" t="s">
        <v>25</v>
      </c>
      <c r="D602" t="s">
        <v>34</v>
      </c>
      <c r="E602" t="s">
        <v>27</v>
      </c>
      <c r="F602">
        <v>11.63</v>
      </c>
      <c r="G602">
        <v>15.85</v>
      </c>
      <c r="H602">
        <v>16.5</v>
      </c>
      <c r="I602">
        <v>8.0500000000000007</v>
      </c>
      <c r="J602" s="4">
        <v>0.89649999999999996</v>
      </c>
      <c r="K602">
        <v>60000</v>
      </c>
      <c r="L602" s="2">
        <v>45810</v>
      </c>
      <c r="M602" t="str">
        <f t="shared" si="45"/>
        <v>Admis</v>
      </c>
      <c r="N602" t="str">
        <f t="shared" si="46"/>
        <v>Non Eligible</v>
      </c>
      <c r="O602" t="str">
        <f t="shared" si="47"/>
        <v>RAS</v>
      </c>
      <c r="P602" t="str">
        <f t="shared" si="48"/>
        <v>Hors Data</v>
      </c>
      <c r="Q602">
        <f t="shared" si="49"/>
        <v>13.0075</v>
      </c>
      <c r="R602" t="str" cm="1">
        <f t="array" ref="R602">_xlfn.IFS(Q602&gt;=16, "Excellent",Q602&gt;=14, "Très bien", Q602&gt;=12, "Bien", Q602&gt;=10, "Passable", Q602&lt;10, "Insuffisant")</f>
        <v>Bien</v>
      </c>
    </row>
    <row r="603" spans="1:18">
      <c r="A603" t="s">
        <v>906</v>
      </c>
      <c r="B603" t="s">
        <v>589</v>
      </c>
      <c r="C603" t="s">
        <v>25</v>
      </c>
      <c r="D603" t="s">
        <v>34</v>
      </c>
      <c r="E603" t="s">
        <v>48</v>
      </c>
      <c r="F603">
        <v>16.239999999999998</v>
      </c>
      <c r="G603">
        <v>17.350000000000001</v>
      </c>
      <c r="H603">
        <v>17.399999999999999</v>
      </c>
      <c r="I603">
        <v>16.27</v>
      </c>
      <c r="J603" s="4">
        <v>0.9133</v>
      </c>
      <c r="K603">
        <v>70000</v>
      </c>
      <c r="L603" s="2">
        <v>45805</v>
      </c>
      <c r="M603" t="str">
        <f t="shared" si="45"/>
        <v>Admis</v>
      </c>
      <c r="N603" t="str">
        <f t="shared" si="46"/>
        <v>Eligible</v>
      </c>
      <c r="O603" t="str">
        <f t="shared" si="47"/>
        <v>RAS</v>
      </c>
      <c r="P603" t="str">
        <f t="shared" si="48"/>
        <v>Hors Data</v>
      </c>
      <c r="Q603">
        <f t="shared" si="49"/>
        <v>16.815000000000001</v>
      </c>
      <c r="R603" t="str" cm="1">
        <f t="array" ref="R603">_xlfn.IFS(Q603&gt;=16, "Excellent",Q603&gt;=14, "Très bien", Q603&gt;=12, "Bien", Q603&gt;=10, "Passable", Q603&lt;10, "Insuffisant")</f>
        <v>Excellent</v>
      </c>
    </row>
    <row r="604" spans="1:18">
      <c r="A604" t="s">
        <v>907</v>
      </c>
      <c r="B604" t="s">
        <v>908</v>
      </c>
      <c r="C604" t="s">
        <v>25</v>
      </c>
      <c r="D604" t="s">
        <v>26</v>
      </c>
      <c r="E604" t="s">
        <v>22</v>
      </c>
      <c r="F604">
        <v>8.75</v>
      </c>
      <c r="G604">
        <v>7.68</v>
      </c>
      <c r="H604">
        <v>11.61</v>
      </c>
      <c r="I604">
        <v>9.9</v>
      </c>
      <c r="J604" s="4">
        <v>0.73009999999999997</v>
      </c>
      <c r="K604">
        <v>80000</v>
      </c>
      <c r="L604" s="2">
        <v>45538</v>
      </c>
      <c r="M604" t="str">
        <f t="shared" si="45"/>
        <v>Admis</v>
      </c>
      <c r="N604" t="str">
        <f t="shared" si="46"/>
        <v>Non Eligible</v>
      </c>
      <c r="O604" t="str">
        <f t="shared" si="47"/>
        <v>A surveiller</v>
      </c>
      <c r="P604" t="str">
        <f t="shared" si="48"/>
        <v>Data</v>
      </c>
      <c r="Q604">
        <f t="shared" si="49"/>
        <v>9.4849999999999994</v>
      </c>
      <c r="R604" t="str" cm="1">
        <f t="array" ref="R604">_xlfn.IFS(Q604&gt;=16, "Excellent",Q604&gt;=14, "Très bien", Q604&gt;=12, "Bien", Q604&gt;=10, "Passable", Q604&lt;10, "Insuffisant")</f>
        <v>Insuffisant</v>
      </c>
    </row>
    <row r="605" spans="1:18">
      <c r="A605" t="s">
        <v>909</v>
      </c>
      <c r="B605" t="s">
        <v>115</v>
      </c>
      <c r="C605" t="s">
        <v>20</v>
      </c>
      <c r="D605" t="s">
        <v>34</v>
      </c>
      <c r="E605" t="s">
        <v>22</v>
      </c>
      <c r="F605">
        <v>13.74</v>
      </c>
      <c r="G605">
        <v>15.84</v>
      </c>
      <c r="H605">
        <v>15.11</v>
      </c>
      <c r="I605">
        <v>14.52</v>
      </c>
      <c r="J605" s="4">
        <v>0.91159999999999997</v>
      </c>
      <c r="K605">
        <v>120000</v>
      </c>
      <c r="L605" s="2">
        <v>45662</v>
      </c>
      <c r="M605" t="str">
        <f t="shared" si="45"/>
        <v>Admis</v>
      </c>
      <c r="N605" t="str">
        <f t="shared" si="46"/>
        <v>Eligible</v>
      </c>
      <c r="O605" t="str">
        <f t="shared" si="47"/>
        <v>RAS</v>
      </c>
      <c r="P605" t="str">
        <f t="shared" si="48"/>
        <v>Data</v>
      </c>
      <c r="Q605">
        <f t="shared" si="49"/>
        <v>14.802499999999998</v>
      </c>
      <c r="R605" t="str" cm="1">
        <f t="array" ref="R605">_xlfn.IFS(Q605&gt;=16, "Excellent",Q605&gt;=14, "Très bien", Q605&gt;=12, "Bien", Q605&gt;=10, "Passable", Q605&lt;10, "Insuffisant")</f>
        <v>Très bien</v>
      </c>
    </row>
    <row r="606" spans="1:18">
      <c r="A606" t="s">
        <v>910</v>
      </c>
      <c r="B606" t="s">
        <v>239</v>
      </c>
      <c r="C606" t="s">
        <v>25</v>
      </c>
      <c r="D606" t="s">
        <v>21</v>
      </c>
      <c r="E606" t="s">
        <v>48</v>
      </c>
      <c r="F606">
        <v>15.17</v>
      </c>
      <c r="G606">
        <v>12.93</v>
      </c>
      <c r="H606">
        <v>13.55</v>
      </c>
      <c r="I606">
        <v>11.63</v>
      </c>
      <c r="J606" s="4">
        <v>0.55000000000000004</v>
      </c>
      <c r="K606">
        <v>60000</v>
      </c>
      <c r="L606" s="2">
        <v>46069</v>
      </c>
      <c r="M606" t="str">
        <f t="shared" si="45"/>
        <v>Admis</v>
      </c>
      <c r="N606" t="str">
        <f t="shared" si="46"/>
        <v>Non Eligible</v>
      </c>
      <c r="O606" t="str">
        <f t="shared" si="47"/>
        <v>RAS</v>
      </c>
      <c r="P606" t="str">
        <f t="shared" si="48"/>
        <v>Hors Data</v>
      </c>
      <c r="Q606">
        <f t="shared" si="49"/>
        <v>13.320000000000002</v>
      </c>
      <c r="R606" t="str" cm="1">
        <f t="array" ref="R606">_xlfn.IFS(Q606&gt;=16, "Excellent",Q606&gt;=14, "Très bien", Q606&gt;=12, "Bien", Q606&gt;=10, "Passable", Q606&lt;10, "Insuffisant")</f>
        <v>Bien</v>
      </c>
    </row>
    <row r="607" spans="1:18">
      <c r="A607" t="s">
        <v>911</v>
      </c>
      <c r="B607" t="s">
        <v>912</v>
      </c>
      <c r="C607" t="s">
        <v>25</v>
      </c>
      <c r="D607" t="s">
        <v>38</v>
      </c>
      <c r="E607" t="s">
        <v>35</v>
      </c>
      <c r="F607">
        <v>11.84</v>
      </c>
      <c r="G607">
        <v>11.75</v>
      </c>
      <c r="H607">
        <v>17.07</v>
      </c>
      <c r="I607">
        <v>17.63</v>
      </c>
      <c r="J607" s="4">
        <v>0.9637</v>
      </c>
      <c r="K607">
        <v>90000</v>
      </c>
      <c r="L607" s="2">
        <v>45782</v>
      </c>
      <c r="M607" t="str">
        <f t="shared" si="45"/>
        <v>Admis</v>
      </c>
      <c r="N607" t="str">
        <f t="shared" si="46"/>
        <v>Non Eligible</v>
      </c>
      <c r="O607" t="str">
        <f t="shared" si="47"/>
        <v>RAS</v>
      </c>
      <c r="P607" t="str">
        <f t="shared" si="48"/>
        <v>Hors Data</v>
      </c>
      <c r="Q607">
        <f t="shared" si="49"/>
        <v>14.572499999999998</v>
      </c>
      <c r="R607" t="str" cm="1">
        <f t="array" ref="R607">_xlfn.IFS(Q607&gt;=16, "Excellent",Q607&gt;=14, "Très bien", Q607&gt;=12, "Bien", Q607&gt;=10, "Passable", Q607&lt;10, "Insuffisant")</f>
        <v>Très bien</v>
      </c>
    </row>
    <row r="608" spans="1:18">
      <c r="A608" t="s">
        <v>913</v>
      </c>
      <c r="B608" t="s">
        <v>833</v>
      </c>
      <c r="C608" t="s">
        <v>20</v>
      </c>
      <c r="D608" t="s">
        <v>21</v>
      </c>
      <c r="E608" t="s">
        <v>35</v>
      </c>
      <c r="F608">
        <v>12.94</v>
      </c>
      <c r="G608">
        <v>14.87</v>
      </c>
      <c r="H608">
        <v>15.69</v>
      </c>
      <c r="I608">
        <v>12.35</v>
      </c>
      <c r="J608" s="4">
        <v>0.66120000000000001</v>
      </c>
      <c r="K608">
        <v>75000</v>
      </c>
      <c r="L608" s="2">
        <v>45639</v>
      </c>
      <c r="M608" t="str">
        <f t="shared" si="45"/>
        <v>Admis</v>
      </c>
      <c r="N608" t="str">
        <f t="shared" si="46"/>
        <v>Non Eligible</v>
      </c>
      <c r="O608" t="str">
        <f t="shared" si="47"/>
        <v>RAS</v>
      </c>
      <c r="P608" t="str">
        <f t="shared" si="48"/>
        <v>Hors Data</v>
      </c>
      <c r="Q608">
        <f t="shared" si="49"/>
        <v>13.9625</v>
      </c>
      <c r="R608" t="str" cm="1">
        <f t="array" ref="R608">_xlfn.IFS(Q608&gt;=16, "Excellent",Q608&gt;=14, "Très bien", Q608&gt;=12, "Bien", Q608&gt;=10, "Passable", Q608&lt;10, "Insuffisant")</f>
        <v>Bien</v>
      </c>
    </row>
    <row r="609" spans="1:18">
      <c r="A609" t="s">
        <v>914</v>
      </c>
      <c r="B609" t="s">
        <v>915</v>
      </c>
      <c r="C609" t="s">
        <v>25</v>
      </c>
      <c r="D609" t="s">
        <v>53</v>
      </c>
      <c r="E609" t="s">
        <v>35</v>
      </c>
      <c r="F609">
        <v>9.85</v>
      </c>
      <c r="G609">
        <v>10.31</v>
      </c>
      <c r="H609">
        <v>10.46</v>
      </c>
      <c r="I609">
        <v>10.26</v>
      </c>
      <c r="J609" s="4">
        <v>0.84309999999999996</v>
      </c>
      <c r="K609">
        <v>50000</v>
      </c>
      <c r="L609" s="2">
        <v>45737</v>
      </c>
      <c r="M609" t="str">
        <f t="shared" si="45"/>
        <v>Admis</v>
      </c>
      <c r="N609" t="str">
        <f t="shared" si="46"/>
        <v>Non Eligible</v>
      </c>
      <c r="O609" t="str">
        <f t="shared" si="47"/>
        <v>A surveiller</v>
      </c>
      <c r="P609" t="str">
        <f t="shared" si="48"/>
        <v>Hors Data</v>
      </c>
      <c r="Q609">
        <f t="shared" si="49"/>
        <v>10.220000000000001</v>
      </c>
      <c r="R609" t="str" cm="1">
        <f t="array" ref="R609">_xlfn.IFS(Q609&gt;=16, "Excellent",Q609&gt;=14, "Très bien", Q609&gt;=12, "Bien", Q609&gt;=10, "Passable", Q609&lt;10, "Insuffisant")</f>
        <v>Passable</v>
      </c>
    </row>
    <row r="610" spans="1:18">
      <c r="A610" t="s">
        <v>916</v>
      </c>
      <c r="B610" t="s">
        <v>653</v>
      </c>
      <c r="C610" t="s">
        <v>25</v>
      </c>
      <c r="D610" t="s">
        <v>38</v>
      </c>
      <c r="E610" t="s">
        <v>27</v>
      </c>
      <c r="F610">
        <v>8.42</v>
      </c>
      <c r="G610">
        <v>9.86</v>
      </c>
      <c r="H610">
        <v>12.96</v>
      </c>
      <c r="I610">
        <v>11.17</v>
      </c>
      <c r="J610" s="4">
        <v>0.75800000000000001</v>
      </c>
      <c r="K610">
        <v>90000</v>
      </c>
      <c r="L610" s="2">
        <v>45728</v>
      </c>
      <c r="M610" t="str">
        <f t="shared" si="45"/>
        <v>Admis</v>
      </c>
      <c r="N610" t="str">
        <f t="shared" si="46"/>
        <v>Non Eligible</v>
      </c>
      <c r="O610" t="str">
        <f t="shared" si="47"/>
        <v>A surveiller</v>
      </c>
      <c r="P610" t="str">
        <f t="shared" si="48"/>
        <v>Hors Data</v>
      </c>
      <c r="Q610">
        <f t="shared" si="49"/>
        <v>10.602500000000001</v>
      </c>
      <c r="R610" t="str" cm="1">
        <f t="array" ref="R610">_xlfn.IFS(Q610&gt;=16, "Excellent",Q610&gt;=14, "Très bien", Q610&gt;=12, "Bien", Q610&gt;=10, "Passable", Q610&lt;10, "Insuffisant")</f>
        <v>Passable</v>
      </c>
    </row>
    <row r="611" spans="1:18">
      <c r="A611" t="s">
        <v>917</v>
      </c>
      <c r="B611" t="s">
        <v>323</v>
      </c>
      <c r="C611" t="s">
        <v>25</v>
      </c>
      <c r="D611" t="s">
        <v>26</v>
      </c>
      <c r="E611" t="s">
        <v>35</v>
      </c>
      <c r="F611">
        <v>16.73</v>
      </c>
      <c r="G611">
        <v>13.9</v>
      </c>
      <c r="H611">
        <v>8.6199999999999992</v>
      </c>
      <c r="I611">
        <v>17.260000000000002</v>
      </c>
      <c r="J611" s="4">
        <v>0.86609999999999998</v>
      </c>
      <c r="K611">
        <v>100000</v>
      </c>
      <c r="L611" s="2">
        <v>45658</v>
      </c>
      <c r="M611" t="str">
        <f t="shared" si="45"/>
        <v>Non admis</v>
      </c>
      <c r="N611" t="str">
        <f t="shared" si="46"/>
        <v>Non Eligible</v>
      </c>
      <c r="O611" t="str">
        <f t="shared" si="47"/>
        <v>A surveiller</v>
      </c>
      <c r="P611" t="str">
        <f t="shared" si="48"/>
        <v>Hors Data</v>
      </c>
      <c r="Q611">
        <f t="shared" si="49"/>
        <v>14.127500000000001</v>
      </c>
      <c r="R611" t="str" cm="1">
        <f t="array" ref="R611">_xlfn.IFS(Q611&gt;=16, "Excellent",Q611&gt;=14, "Très bien", Q611&gt;=12, "Bien", Q611&gt;=10, "Passable", Q611&lt;10, "Insuffisant")</f>
        <v>Très bien</v>
      </c>
    </row>
    <row r="612" spans="1:18">
      <c r="A612" t="s">
        <v>918</v>
      </c>
      <c r="B612" t="s">
        <v>380</v>
      </c>
      <c r="C612" t="s">
        <v>25</v>
      </c>
      <c r="D612" t="s">
        <v>41</v>
      </c>
      <c r="E612" t="s">
        <v>22</v>
      </c>
      <c r="F612">
        <v>18.38</v>
      </c>
      <c r="G612">
        <v>15.2</v>
      </c>
      <c r="H612">
        <v>15.94</v>
      </c>
      <c r="I612">
        <v>15.58</v>
      </c>
      <c r="J612" s="4">
        <v>0.55000000000000004</v>
      </c>
      <c r="K612">
        <v>130000</v>
      </c>
      <c r="L612" s="2">
        <v>45606</v>
      </c>
      <c r="M612" t="str">
        <f t="shared" si="45"/>
        <v>Admis</v>
      </c>
      <c r="N612" t="str">
        <f t="shared" si="46"/>
        <v>Non Eligible</v>
      </c>
      <c r="O612" t="str">
        <f t="shared" si="47"/>
        <v>RAS</v>
      </c>
      <c r="P612" t="str">
        <f t="shared" si="48"/>
        <v>Data</v>
      </c>
      <c r="Q612">
        <f t="shared" si="49"/>
        <v>16.274999999999999</v>
      </c>
      <c r="R612" t="str" cm="1">
        <f t="array" ref="R612">_xlfn.IFS(Q612&gt;=16, "Excellent",Q612&gt;=14, "Très bien", Q612&gt;=12, "Bien", Q612&gt;=10, "Passable", Q612&lt;10, "Insuffisant")</f>
        <v>Excellent</v>
      </c>
    </row>
    <row r="613" spans="1:18">
      <c r="A613" t="s">
        <v>919</v>
      </c>
      <c r="B613" t="s">
        <v>69</v>
      </c>
      <c r="C613" t="s">
        <v>20</v>
      </c>
      <c r="D613" t="s">
        <v>53</v>
      </c>
      <c r="E613" t="s">
        <v>35</v>
      </c>
      <c r="F613">
        <v>7.94</v>
      </c>
      <c r="G613">
        <v>9.0399999999999991</v>
      </c>
      <c r="H613">
        <v>6.83</v>
      </c>
      <c r="I613">
        <v>5.76</v>
      </c>
      <c r="J613" s="4">
        <v>0.74650000000000005</v>
      </c>
      <c r="K613">
        <v>85000</v>
      </c>
      <c r="L613" s="2">
        <v>46070</v>
      </c>
      <c r="M613" t="str">
        <f t="shared" si="45"/>
        <v>Non admis</v>
      </c>
      <c r="N613" t="str">
        <f t="shared" si="46"/>
        <v>Non Eligible</v>
      </c>
      <c r="O613" t="str">
        <f t="shared" si="47"/>
        <v>A surveiller</v>
      </c>
      <c r="P613" t="str">
        <f t="shared" si="48"/>
        <v>Hors Data</v>
      </c>
      <c r="Q613">
        <f t="shared" si="49"/>
        <v>7.3925000000000001</v>
      </c>
      <c r="R613" t="str" cm="1">
        <f t="array" ref="R613">_xlfn.IFS(Q613&gt;=16, "Excellent",Q613&gt;=14, "Très bien", Q613&gt;=12, "Bien", Q613&gt;=10, "Passable", Q613&lt;10, "Insuffisant")</f>
        <v>Insuffisant</v>
      </c>
    </row>
    <row r="614" spans="1:18">
      <c r="A614" t="s">
        <v>920</v>
      </c>
      <c r="B614" t="s">
        <v>697</v>
      </c>
      <c r="C614" t="s">
        <v>25</v>
      </c>
      <c r="D614" t="s">
        <v>53</v>
      </c>
      <c r="E614" t="s">
        <v>22</v>
      </c>
      <c r="F614">
        <v>18.420000000000002</v>
      </c>
      <c r="G614">
        <v>14.77</v>
      </c>
      <c r="H614">
        <v>17.2</v>
      </c>
      <c r="I614">
        <v>11.07</v>
      </c>
      <c r="J614" s="4">
        <v>0.55000000000000004</v>
      </c>
      <c r="K614">
        <v>75000</v>
      </c>
      <c r="L614" s="2">
        <v>46113</v>
      </c>
      <c r="M614" t="str">
        <f t="shared" si="45"/>
        <v>Admis</v>
      </c>
      <c r="N614" t="str">
        <f t="shared" si="46"/>
        <v>Non Eligible</v>
      </c>
      <c r="O614" t="str">
        <f t="shared" si="47"/>
        <v>RAS</v>
      </c>
      <c r="P614" t="str">
        <f t="shared" si="48"/>
        <v>Data</v>
      </c>
      <c r="Q614">
        <f t="shared" si="49"/>
        <v>15.365</v>
      </c>
      <c r="R614" t="str" cm="1">
        <f t="array" ref="R614">_xlfn.IFS(Q614&gt;=16, "Excellent",Q614&gt;=14, "Très bien", Q614&gt;=12, "Bien", Q614&gt;=10, "Passable", Q614&lt;10, "Insuffisant")</f>
        <v>Très bien</v>
      </c>
    </row>
    <row r="615" spans="1:18">
      <c r="A615" t="s">
        <v>921</v>
      </c>
      <c r="B615" t="s">
        <v>161</v>
      </c>
      <c r="C615" t="s">
        <v>20</v>
      </c>
      <c r="D615" t="s">
        <v>53</v>
      </c>
      <c r="E615" t="s">
        <v>48</v>
      </c>
      <c r="F615">
        <v>13.53</v>
      </c>
      <c r="G615">
        <v>17.600000000000001</v>
      </c>
      <c r="H615">
        <v>20</v>
      </c>
      <c r="I615">
        <v>20</v>
      </c>
      <c r="J615" s="4">
        <v>0.96399999999999997</v>
      </c>
      <c r="K615">
        <v>120000</v>
      </c>
      <c r="L615" s="2">
        <v>45883</v>
      </c>
      <c r="M615" t="str">
        <f t="shared" si="45"/>
        <v>Admis</v>
      </c>
      <c r="N615" t="str">
        <f t="shared" si="46"/>
        <v>Eligible</v>
      </c>
      <c r="O615" t="str">
        <f t="shared" si="47"/>
        <v>RAS</v>
      </c>
      <c r="P615" t="str">
        <f t="shared" si="48"/>
        <v>Hors Data</v>
      </c>
      <c r="Q615">
        <f t="shared" si="49"/>
        <v>17.782499999999999</v>
      </c>
      <c r="R615" t="str" cm="1">
        <f t="array" ref="R615">_xlfn.IFS(Q615&gt;=16, "Excellent",Q615&gt;=14, "Très bien", Q615&gt;=12, "Bien", Q615&gt;=10, "Passable", Q615&lt;10, "Insuffisant")</f>
        <v>Excellent</v>
      </c>
    </row>
    <row r="616" spans="1:18">
      <c r="A616" t="s">
        <v>922</v>
      </c>
      <c r="B616" t="s">
        <v>923</v>
      </c>
      <c r="C616" t="s">
        <v>25</v>
      </c>
      <c r="D616" t="s">
        <v>26</v>
      </c>
      <c r="E616" t="s">
        <v>27</v>
      </c>
      <c r="F616">
        <v>13.05</v>
      </c>
      <c r="G616">
        <v>14.26</v>
      </c>
      <c r="H616">
        <v>10.08</v>
      </c>
      <c r="I616">
        <v>13.9</v>
      </c>
      <c r="J616" s="4">
        <v>0.73899999999999999</v>
      </c>
      <c r="K616">
        <v>70000</v>
      </c>
      <c r="L616" s="2">
        <v>45966</v>
      </c>
      <c r="M616" t="str">
        <f t="shared" si="45"/>
        <v>Admis</v>
      </c>
      <c r="N616" t="str">
        <f t="shared" si="46"/>
        <v>Non Eligible</v>
      </c>
      <c r="O616" t="str">
        <f t="shared" si="47"/>
        <v>RAS</v>
      </c>
      <c r="P616" t="str">
        <f t="shared" si="48"/>
        <v>Hors Data</v>
      </c>
      <c r="Q616">
        <f t="shared" si="49"/>
        <v>12.8225</v>
      </c>
      <c r="R616" t="str" cm="1">
        <f t="array" ref="R616">_xlfn.IFS(Q616&gt;=16, "Excellent",Q616&gt;=14, "Très bien", Q616&gt;=12, "Bien", Q616&gt;=10, "Passable", Q616&lt;10, "Insuffisant")</f>
        <v>Bien</v>
      </c>
    </row>
    <row r="617" spans="1:18">
      <c r="A617" t="s">
        <v>924</v>
      </c>
      <c r="B617" t="s">
        <v>777</v>
      </c>
      <c r="C617" t="s">
        <v>25</v>
      </c>
      <c r="D617" t="s">
        <v>38</v>
      </c>
      <c r="E617" t="s">
        <v>27</v>
      </c>
      <c r="F617">
        <v>15.85</v>
      </c>
      <c r="G617">
        <v>12.9</v>
      </c>
      <c r="H617">
        <v>18.350000000000001</v>
      </c>
      <c r="I617">
        <v>15.94</v>
      </c>
      <c r="J617" s="4">
        <v>0.80759999999999998</v>
      </c>
      <c r="K617">
        <v>100000</v>
      </c>
      <c r="L617" s="2">
        <v>46179</v>
      </c>
      <c r="M617" t="str">
        <f t="shared" si="45"/>
        <v>Admis</v>
      </c>
      <c r="N617" t="str">
        <f t="shared" si="46"/>
        <v>Eligible</v>
      </c>
      <c r="O617" t="str">
        <f t="shared" si="47"/>
        <v>RAS</v>
      </c>
      <c r="P617" t="str">
        <f t="shared" si="48"/>
        <v>Hors Data</v>
      </c>
      <c r="Q617">
        <f t="shared" si="49"/>
        <v>15.76</v>
      </c>
      <c r="R617" t="str" cm="1">
        <f t="array" ref="R617">_xlfn.IFS(Q617&gt;=16, "Excellent",Q617&gt;=14, "Très bien", Q617&gt;=12, "Bien", Q617&gt;=10, "Passable", Q617&lt;10, "Insuffisant")</f>
        <v>Très bien</v>
      </c>
    </row>
    <row r="618" spans="1:18">
      <c r="A618" t="s">
        <v>925</v>
      </c>
      <c r="B618" t="s">
        <v>926</v>
      </c>
      <c r="C618" t="s">
        <v>20</v>
      </c>
      <c r="D618" t="s">
        <v>38</v>
      </c>
      <c r="E618" t="s">
        <v>48</v>
      </c>
      <c r="F618">
        <v>9.52</v>
      </c>
      <c r="G618">
        <v>9.9600000000000009</v>
      </c>
      <c r="H618">
        <v>9.15</v>
      </c>
      <c r="I618">
        <v>18.29</v>
      </c>
      <c r="J618" s="4">
        <v>0.85309999999999997</v>
      </c>
      <c r="K618">
        <v>130000</v>
      </c>
      <c r="L618" s="2">
        <v>46125</v>
      </c>
      <c r="M618" t="str">
        <f t="shared" si="45"/>
        <v>Non admis</v>
      </c>
      <c r="N618" t="str">
        <f t="shared" si="46"/>
        <v>Non Eligible</v>
      </c>
      <c r="O618" t="str">
        <f t="shared" si="47"/>
        <v>A surveiller</v>
      </c>
      <c r="P618" t="str">
        <f t="shared" si="48"/>
        <v>Hors Data</v>
      </c>
      <c r="Q618">
        <f t="shared" si="49"/>
        <v>11.73</v>
      </c>
      <c r="R618" t="str" cm="1">
        <f t="array" ref="R618">_xlfn.IFS(Q618&gt;=16, "Excellent",Q618&gt;=14, "Très bien", Q618&gt;=12, "Bien", Q618&gt;=10, "Passable", Q618&lt;10, "Insuffisant")</f>
        <v>Passable</v>
      </c>
    </row>
    <row r="619" spans="1:18">
      <c r="A619" t="s">
        <v>927</v>
      </c>
      <c r="B619" t="s">
        <v>928</v>
      </c>
      <c r="C619" t="s">
        <v>20</v>
      </c>
      <c r="D619" t="s">
        <v>53</v>
      </c>
      <c r="E619" t="s">
        <v>27</v>
      </c>
      <c r="F619">
        <v>13.83</v>
      </c>
      <c r="G619">
        <v>8.6999999999999993</v>
      </c>
      <c r="H619">
        <v>10.86</v>
      </c>
      <c r="I619">
        <v>13.78</v>
      </c>
      <c r="J619" s="4">
        <v>0.77849999999999997</v>
      </c>
      <c r="K619">
        <v>50000</v>
      </c>
      <c r="L619" s="2">
        <v>45558</v>
      </c>
      <c r="M619" t="str">
        <f t="shared" si="45"/>
        <v>Admis</v>
      </c>
      <c r="N619" t="str">
        <f t="shared" si="46"/>
        <v>Non Eligible</v>
      </c>
      <c r="O619" t="str">
        <f t="shared" si="47"/>
        <v>RAS</v>
      </c>
      <c r="P619" t="str">
        <f t="shared" si="48"/>
        <v>Hors Data</v>
      </c>
      <c r="Q619">
        <f t="shared" si="49"/>
        <v>11.7925</v>
      </c>
      <c r="R619" t="str" cm="1">
        <f t="array" ref="R619">_xlfn.IFS(Q619&gt;=16, "Excellent",Q619&gt;=14, "Très bien", Q619&gt;=12, "Bien", Q619&gt;=10, "Passable", Q619&lt;10, "Insuffisant")</f>
        <v>Passable</v>
      </c>
    </row>
    <row r="620" spans="1:18">
      <c r="A620" t="s">
        <v>929</v>
      </c>
      <c r="B620" t="s">
        <v>930</v>
      </c>
      <c r="C620" t="s">
        <v>20</v>
      </c>
      <c r="D620" t="s">
        <v>41</v>
      </c>
      <c r="E620" t="s">
        <v>35</v>
      </c>
      <c r="F620">
        <v>6.53</v>
      </c>
      <c r="G620">
        <v>10.6</v>
      </c>
      <c r="H620">
        <v>8.65</v>
      </c>
      <c r="I620">
        <v>6</v>
      </c>
      <c r="J620" s="4">
        <v>0.64100000000000001</v>
      </c>
      <c r="K620">
        <v>130000</v>
      </c>
      <c r="L620" s="2">
        <v>46203</v>
      </c>
      <c r="M620" t="str">
        <f t="shared" si="45"/>
        <v>Non admis</v>
      </c>
      <c r="N620" t="str">
        <f t="shared" si="46"/>
        <v>Non Eligible</v>
      </c>
      <c r="O620" t="str">
        <f t="shared" si="47"/>
        <v>A surveiller</v>
      </c>
      <c r="P620" t="str">
        <f t="shared" si="48"/>
        <v>Hors Data</v>
      </c>
      <c r="Q620">
        <f t="shared" si="49"/>
        <v>7.9450000000000003</v>
      </c>
      <c r="R620" t="str" cm="1">
        <f t="array" ref="R620">_xlfn.IFS(Q620&gt;=16, "Excellent",Q620&gt;=14, "Très bien", Q620&gt;=12, "Bien", Q620&gt;=10, "Passable", Q620&lt;10, "Insuffisant")</f>
        <v>Insuffisant</v>
      </c>
    </row>
    <row r="621" spans="1:18">
      <c r="A621" t="s">
        <v>931</v>
      </c>
      <c r="B621" t="s">
        <v>186</v>
      </c>
      <c r="C621" t="s">
        <v>20</v>
      </c>
      <c r="D621" t="s">
        <v>21</v>
      </c>
      <c r="E621" t="s">
        <v>48</v>
      </c>
      <c r="F621">
        <v>8.4600000000000009</v>
      </c>
      <c r="G621">
        <v>4.67</v>
      </c>
      <c r="H621">
        <v>6.44</v>
      </c>
      <c r="I621">
        <v>6.4</v>
      </c>
      <c r="J621" s="4">
        <v>0.92290000000000005</v>
      </c>
      <c r="K621">
        <v>70000</v>
      </c>
      <c r="L621" s="2">
        <v>45582</v>
      </c>
      <c r="M621" t="str">
        <f t="shared" si="45"/>
        <v>Non admis</v>
      </c>
      <c r="N621" t="str">
        <f t="shared" si="46"/>
        <v>Non Eligible</v>
      </c>
      <c r="O621" t="str">
        <f t="shared" si="47"/>
        <v>A surveiller</v>
      </c>
      <c r="P621" t="str">
        <f t="shared" si="48"/>
        <v>Hors Data</v>
      </c>
      <c r="Q621">
        <f t="shared" si="49"/>
        <v>6.4924999999999997</v>
      </c>
      <c r="R621" t="str" cm="1">
        <f t="array" ref="R621">_xlfn.IFS(Q621&gt;=16, "Excellent",Q621&gt;=14, "Très bien", Q621&gt;=12, "Bien", Q621&gt;=10, "Passable", Q621&lt;10, "Insuffisant")</f>
        <v>Insuffisant</v>
      </c>
    </row>
    <row r="622" spans="1:18">
      <c r="A622" t="s">
        <v>932</v>
      </c>
      <c r="B622" t="s">
        <v>431</v>
      </c>
      <c r="C622" t="s">
        <v>20</v>
      </c>
      <c r="D622" t="s">
        <v>26</v>
      </c>
      <c r="E622" t="s">
        <v>22</v>
      </c>
      <c r="F622">
        <v>18.47</v>
      </c>
      <c r="G622">
        <v>16.829999999999998</v>
      </c>
      <c r="H622">
        <v>12.91</v>
      </c>
      <c r="I622">
        <v>13.9</v>
      </c>
      <c r="J622" s="4">
        <v>0.88260000000000005</v>
      </c>
      <c r="K622">
        <v>85000</v>
      </c>
      <c r="L622" s="2">
        <v>45554</v>
      </c>
      <c r="M622" t="str">
        <f t="shared" si="45"/>
        <v>Admis</v>
      </c>
      <c r="N622" t="str">
        <f t="shared" si="46"/>
        <v>Eligible</v>
      </c>
      <c r="O622" t="str">
        <f t="shared" si="47"/>
        <v>RAS</v>
      </c>
      <c r="P622" t="str">
        <f t="shared" si="48"/>
        <v>Data</v>
      </c>
      <c r="Q622">
        <f t="shared" si="49"/>
        <v>15.527499999999998</v>
      </c>
      <c r="R622" t="str" cm="1">
        <f t="array" ref="R622">_xlfn.IFS(Q622&gt;=16, "Excellent",Q622&gt;=14, "Très bien", Q622&gt;=12, "Bien", Q622&gt;=10, "Passable", Q622&lt;10, "Insuffisant")</f>
        <v>Très bien</v>
      </c>
    </row>
    <row r="623" spans="1:18">
      <c r="A623" t="s">
        <v>933</v>
      </c>
      <c r="B623" t="s">
        <v>210</v>
      </c>
      <c r="C623" t="s">
        <v>20</v>
      </c>
      <c r="D623" t="s">
        <v>26</v>
      </c>
      <c r="E623" t="s">
        <v>48</v>
      </c>
      <c r="F623">
        <v>11.34</v>
      </c>
      <c r="G623">
        <v>11.96</v>
      </c>
      <c r="H623">
        <v>12.37</v>
      </c>
      <c r="I623">
        <v>9.77</v>
      </c>
      <c r="J623" s="4">
        <v>0.9829</v>
      </c>
      <c r="K623">
        <v>70000</v>
      </c>
      <c r="L623" s="2">
        <v>45818</v>
      </c>
      <c r="M623" t="str">
        <f t="shared" si="45"/>
        <v>Admis</v>
      </c>
      <c r="N623" t="str">
        <f t="shared" si="46"/>
        <v>Non Eligible</v>
      </c>
      <c r="O623" t="str">
        <f t="shared" si="47"/>
        <v>RAS</v>
      </c>
      <c r="P623" t="str">
        <f t="shared" si="48"/>
        <v>Hors Data</v>
      </c>
      <c r="Q623">
        <f t="shared" si="49"/>
        <v>11.36</v>
      </c>
      <c r="R623" t="str" cm="1">
        <f t="array" ref="R623">_xlfn.IFS(Q623&gt;=16, "Excellent",Q623&gt;=14, "Très bien", Q623&gt;=12, "Bien", Q623&gt;=10, "Passable", Q623&lt;10, "Insuffisant")</f>
        <v>Passable</v>
      </c>
    </row>
    <row r="624" spans="1:18">
      <c r="A624" t="s">
        <v>934</v>
      </c>
      <c r="B624" t="s">
        <v>370</v>
      </c>
      <c r="C624" t="s">
        <v>20</v>
      </c>
      <c r="D624" t="s">
        <v>53</v>
      </c>
      <c r="E624" t="s">
        <v>48</v>
      </c>
      <c r="F624">
        <v>8.15</v>
      </c>
      <c r="G624">
        <v>13.95</v>
      </c>
      <c r="H624">
        <v>13.92</v>
      </c>
      <c r="I624">
        <v>11.24</v>
      </c>
      <c r="J624" s="4">
        <v>0.95050000000000001</v>
      </c>
      <c r="K624">
        <v>60000</v>
      </c>
      <c r="L624" s="2">
        <v>46058</v>
      </c>
      <c r="M624" t="str">
        <f t="shared" si="45"/>
        <v>Admis</v>
      </c>
      <c r="N624" t="str">
        <f t="shared" si="46"/>
        <v>Non Eligible</v>
      </c>
      <c r="O624" t="str">
        <f t="shared" si="47"/>
        <v>A surveiller</v>
      </c>
      <c r="P624" t="str">
        <f t="shared" si="48"/>
        <v>Hors Data</v>
      </c>
      <c r="Q624">
        <f t="shared" si="49"/>
        <v>11.815000000000001</v>
      </c>
      <c r="R624" t="str" cm="1">
        <f t="array" ref="R624">_xlfn.IFS(Q624&gt;=16, "Excellent",Q624&gt;=14, "Très bien", Q624&gt;=12, "Bien", Q624&gt;=10, "Passable", Q624&lt;10, "Insuffisant")</f>
        <v>Passable</v>
      </c>
    </row>
    <row r="625" spans="1:18">
      <c r="A625" t="s">
        <v>935</v>
      </c>
      <c r="B625" t="s">
        <v>164</v>
      </c>
      <c r="C625" t="s">
        <v>20</v>
      </c>
      <c r="D625" t="s">
        <v>26</v>
      </c>
      <c r="E625" t="s">
        <v>22</v>
      </c>
      <c r="F625">
        <v>7.49</v>
      </c>
      <c r="G625">
        <v>7.37</v>
      </c>
      <c r="H625">
        <v>12.14</v>
      </c>
      <c r="I625">
        <v>8.23</v>
      </c>
      <c r="J625" s="4">
        <v>0.87350000000000005</v>
      </c>
      <c r="K625">
        <v>100000</v>
      </c>
      <c r="L625" s="2">
        <v>45592</v>
      </c>
      <c r="M625" t="str">
        <f t="shared" si="45"/>
        <v>Admis</v>
      </c>
      <c r="N625" t="str">
        <f t="shared" si="46"/>
        <v>Non Eligible</v>
      </c>
      <c r="O625" t="str">
        <f t="shared" si="47"/>
        <v>A surveiller</v>
      </c>
      <c r="P625" t="str">
        <f t="shared" si="48"/>
        <v>Data</v>
      </c>
      <c r="Q625">
        <f t="shared" si="49"/>
        <v>8.807500000000001</v>
      </c>
      <c r="R625" t="str" cm="1">
        <f t="array" ref="R625">_xlfn.IFS(Q625&gt;=16, "Excellent",Q625&gt;=14, "Très bien", Q625&gt;=12, "Bien", Q625&gt;=10, "Passable", Q625&lt;10, "Insuffisant")</f>
        <v>Insuffisant</v>
      </c>
    </row>
    <row r="626" spans="1:18">
      <c r="A626" t="s">
        <v>936</v>
      </c>
      <c r="B626" t="s">
        <v>59</v>
      </c>
      <c r="C626" t="s">
        <v>25</v>
      </c>
      <c r="D626" t="s">
        <v>34</v>
      </c>
      <c r="E626" t="s">
        <v>48</v>
      </c>
      <c r="F626">
        <v>10.79</v>
      </c>
      <c r="G626">
        <v>9.81</v>
      </c>
      <c r="H626">
        <v>8.8000000000000007</v>
      </c>
      <c r="I626">
        <v>6.39</v>
      </c>
      <c r="J626" s="4">
        <v>0.75249999999999995</v>
      </c>
      <c r="K626">
        <v>85000</v>
      </c>
      <c r="L626" s="2">
        <v>45741</v>
      </c>
      <c r="M626" t="str">
        <f t="shared" si="45"/>
        <v>Non admis</v>
      </c>
      <c r="N626" t="str">
        <f t="shared" si="46"/>
        <v>Non Eligible</v>
      </c>
      <c r="O626" t="str">
        <f t="shared" si="47"/>
        <v>A surveiller</v>
      </c>
      <c r="P626" t="str">
        <f t="shared" si="48"/>
        <v>Hors Data</v>
      </c>
      <c r="Q626">
        <f t="shared" si="49"/>
        <v>8.9474999999999998</v>
      </c>
      <c r="R626" t="str" cm="1">
        <f t="array" ref="R626">_xlfn.IFS(Q626&gt;=16, "Excellent",Q626&gt;=14, "Très bien", Q626&gt;=12, "Bien", Q626&gt;=10, "Passable", Q626&lt;10, "Insuffisant")</f>
        <v>Insuffisant</v>
      </c>
    </row>
    <row r="627" spans="1:18">
      <c r="A627" t="s">
        <v>937</v>
      </c>
      <c r="B627" t="s">
        <v>737</v>
      </c>
      <c r="C627" t="s">
        <v>20</v>
      </c>
      <c r="D627" t="s">
        <v>34</v>
      </c>
      <c r="E627" t="s">
        <v>48</v>
      </c>
      <c r="F627">
        <v>13.06</v>
      </c>
      <c r="G627">
        <v>17.09</v>
      </c>
      <c r="H627">
        <v>13.13</v>
      </c>
      <c r="I627">
        <v>16.420000000000002</v>
      </c>
      <c r="J627" s="4">
        <v>0.98350000000000004</v>
      </c>
      <c r="K627">
        <v>85000</v>
      </c>
      <c r="L627" s="2">
        <v>45719</v>
      </c>
      <c r="M627" t="str">
        <f t="shared" si="45"/>
        <v>Admis</v>
      </c>
      <c r="N627" t="str">
        <f t="shared" si="46"/>
        <v>Eligible</v>
      </c>
      <c r="O627" t="str">
        <f t="shared" si="47"/>
        <v>RAS</v>
      </c>
      <c r="P627" t="str">
        <f t="shared" si="48"/>
        <v>Hors Data</v>
      </c>
      <c r="Q627">
        <f t="shared" si="49"/>
        <v>14.925000000000001</v>
      </c>
      <c r="R627" t="str" cm="1">
        <f t="array" ref="R627">_xlfn.IFS(Q627&gt;=16, "Excellent",Q627&gt;=14, "Très bien", Q627&gt;=12, "Bien", Q627&gt;=10, "Passable", Q627&lt;10, "Insuffisant")</f>
        <v>Très bien</v>
      </c>
    </row>
    <row r="628" spans="1:18">
      <c r="A628" t="s">
        <v>938</v>
      </c>
      <c r="B628" t="s">
        <v>939</v>
      </c>
      <c r="C628" t="s">
        <v>20</v>
      </c>
      <c r="D628" t="s">
        <v>38</v>
      </c>
      <c r="E628" t="s">
        <v>35</v>
      </c>
      <c r="F628">
        <v>5.53</v>
      </c>
      <c r="G628">
        <v>15.63</v>
      </c>
      <c r="H628">
        <v>11.59</v>
      </c>
      <c r="I628">
        <v>12.01</v>
      </c>
      <c r="J628" s="4">
        <v>0.90610000000000002</v>
      </c>
      <c r="K628">
        <v>85000</v>
      </c>
      <c r="L628" s="2">
        <v>45814</v>
      </c>
      <c r="M628" t="str">
        <f t="shared" si="45"/>
        <v>Admis</v>
      </c>
      <c r="N628" t="str">
        <f t="shared" si="46"/>
        <v>Non Eligible</v>
      </c>
      <c r="O628" t="str">
        <f t="shared" si="47"/>
        <v>A surveiller</v>
      </c>
      <c r="P628" t="str">
        <f t="shared" si="48"/>
        <v>Hors Data</v>
      </c>
      <c r="Q628">
        <f t="shared" si="49"/>
        <v>11.19</v>
      </c>
      <c r="R628" t="str" cm="1">
        <f t="array" ref="R628">_xlfn.IFS(Q628&gt;=16, "Excellent",Q628&gt;=14, "Très bien", Q628&gt;=12, "Bien", Q628&gt;=10, "Passable", Q628&lt;10, "Insuffisant")</f>
        <v>Passable</v>
      </c>
    </row>
    <row r="629" spans="1:18">
      <c r="A629" t="s">
        <v>940</v>
      </c>
      <c r="B629" t="s">
        <v>460</v>
      </c>
      <c r="C629" t="s">
        <v>20</v>
      </c>
      <c r="D629" t="s">
        <v>41</v>
      </c>
      <c r="E629" t="s">
        <v>48</v>
      </c>
      <c r="F629">
        <v>17.29</v>
      </c>
      <c r="G629">
        <v>17.13</v>
      </c>
      <c r="H629">
        <v>18.47</v>
      </c>
      <c r="I629">
        <v>13.96</v>
      </c>
      <c r="J629" s="4">
        <v>0.93130000000000002</v>
      </c>
      <c r="K629">
        <v>110000</v>
      </c>
      <c r="L629" s="2">
        <v>46226</v>
      </c>
      <c r="M629" t="str">
        <f t="shared" si="45"/>
        <v>Admis</v>
      </c>
      <c r="N629" t="str">
        <f t="shared" si="46"/>
        <v>Eligible</v>
      </c>
      <c r="O629" t="str">
        <f t="shared" si="47"/>
        <v>RAS</v>
      </c>
      <c r="P629" t="str">
        <f t="shared" si="48"/>
        <v>Hors Data</v>
      </c>
      <c r="Q629">
        <f t="shared" si="49"/>
        <v>16.712499999999999</v>
      </c>
      <c r="R629" t="str" cm="1">
        <f t="array" ref="R629">_xlfn.IFS(Q629&gt;=16, "Excellent",Q629&gt;=14, "Très bien", Q629&gt;=12, "Bien", Q629&gt;=10, "Passable", Q629&lt;10, "Insuffisant")</f>
        <v>Excellent</v>
      </c>
    </row>
    <row r="630" spans="1:18">
      <c r="A630" t="s">
        <v>941</v>
      </c>
      <c r="B630" t="s">
        <v>618</v>
      </c>
      <c r="C630" t="s">
        <v>25</v>
      </c>
      <c r="D630" t="s">
        <v>41</v>
      </c>
      <c r="E630" t="s">
        <v>35</v>
      </c>
      <c r="F630">
        <v>15.07</v>
      </c>
      <c r="G630">
        <v>15.91</v>
      </c>
      <c r="H630">
        <v>8.73</v>
      </c>
      <c r="I630">
        <v>16.329999999999998</v>
      </c>
      <c r="J630" s="4">
        <v>0.73860000000000003</v>
      </c>
      <c r="K630">
        <v>130000</v>
      </c>
      <c r="L630" s="2">
        <v>45767</v>
      </c>
      <c r="M630" t="str">
        <f t="shared" si="45"/>
        <v>Non admis</v>
      </c>
      <c r="N630" t="str">
        <f t="shared" si="46"/>
        <v>Non Eligible</v>
      </c>
      <c r="O630" t="str">
        <f t="shared" si="47"/>
        <v>A surveiller</v>
      </c>
      <c r="P630" t="str">
        <f t="shared" si="48"/>
        <v>Hors Data</v>
      </c>
      <c r="Q630">
        <f t="shared" si="49"/>
        <v>14.01</v>
      </c>
      <c r="R630" t="str" cm="1">
        <f t="array" ref="R630">_xlfn.IFS(Q630&gt;=16, "Excellent",Q630&gt;=14, "Très bien", Q630&gt;=12, "Bien", Q630&gt;=10, "Passable", Q630&lt;10, "Insuffisant")</f>
        <v>Très bien</v>
      </c>
    </row>
    <row r="631" spans="1:18">
      <c r="A631" t="s">
        <v>942</v>
      </c>
      <c r="B631" t="s">
        <v>833</v>
      </c>
      <c r="C631" t="s">
        <v>20</v>
      </c>
      <c r="D631" t="s">
        <v>21</v>
      </c>
      <c r="E631" t="s">
        <v>35</v>
      </c>
      <c r="F631">
        <v>12.6</v>
      </c>
      <c r="G631">
        <v>12.59</v>
      </c>
      <c r="H631">
        <v>12.49</v>
      </c>
      <c r="I631">
        <v>15.33</v>
      </c>
      <c r="J631" s="4">
        <v>0.80720000000000003</v>
      </c>
      <c r="K631">
        <v>85000</v>
      </c>
      <c r="L631" s="2">
        <v>45682</v>
      </c>
      <c r="M631" t="str">
        <f t="shared" si="45"/>
        <v>Admis</v>
      </c>
      <c r="N631" t="str">
        <f t="shared" si="46"/>
        <v>Eligible</v>
      </c>
      <c r="O631" t="str">
        <f t="shared" si="47"/>
        <v>RAS</v>
      </c>
      <c r="P631" t="str">
        <f t="shared" si="48"/>
        <v>Hors Data</v>
      </c>
      <c r="Q631">
        <f t="shared" si="49"/>
        <v>13.2525</v>
      </c>
      <c r="R631" t="str" cm="1">
        <f t="array" ref="R631">_xlfn.IFS(Q631&gt;=16, "Excellent",Q631&gt;=14, "Très bien", Q631&gt;=12, "Bien", Q631&gt;=10, "Passable", Q631&lt;10, "Insuffisant")</f>
        <v>Bien</v>
      </c>
    </row>
    <row r="632" spans="1:18">
      <c r="A632" t="s">
        <v>943</v>
      </c>
      <c r="B632" t="s">
        <v>518</v>
      </c>
      <c r="C632" t="s">
        <v>25</v>
      </c>
      <c r="D632" t="s">
        <v>53</v>
      </c>
      <c r="E632" t="s">
        <v>22</v>
      </c>
      <c r="F632">
        <v>16.36</v>
      </c>
      <c r="G632">
        <v>16.149999999999999</v>
      </c>
      <c r="H632">
        <v>14.38</v>
      </c>
      <c r="I632">
        <v>14.67</v>
      </c>
      <c r="J632" s="4">
        <v>0.70789999999999997</v>
      </c>
      <c r="K632">
        <v>60000</v>
      </c>
      <c r="L632" s="2">
        <v>45621</v>
      </c>
      <c r="M632" t="str">
        <f t="shared" si="45"/>
        <v>Admis</v>
      </c>
      <c r="N632" t="str">
        <f t="shared" si="46"/>
        <v>Non Eligible</v>
      </c>
      <c r="O632" t="str">
        <f t="shared" si="47"/>
        <v>RAS</v>
      </c>
      <c r="P632" t="str">
        <f t="shared" si="48"/>
        <v>Data</v>
      </c>
      <c r="Q632">
        <f t="shared" si="49"/>
        <v>15.39</v>
      </c>
      <c r="R632" t="str" cm="1">
        <f t="array" ref="R632">_xlfn.IFS(Q632&gt;=16, "Excellent",Q632&gt;=14, "Très bien", Q632&gt;=12, "Bien", Q632&gt;=10, "Passable", Q632&lt;10, "Insuffisant")</f>
        <v>Très bien</v>
      </c>
    </row>
    <row r="633" spans="1:18">
      <c r="A633" t="s">
        <v>944</v>
      </c>
      <c r="B633" t="s">
        <v>291</v>
      </c>
      <c r="C633" t="s">
        <v>20</v>
      </c>
      <c r="D633" t="s">
        <v>41</v>
      </c>
      <c r="E633" t="s">
        <v>35</v>
      </c>
      <c r="F633">
        <v>16.43</v>
      </c>
      <c r="G633">
        <v>17.97</v>
      </c>
      <c r="H633">
        <v>15.73</v>
      </c>
      <c r="I633">
        <v>19.32</v>
      </c>
      <c r="J633" s="4">
        <v>0.83879999999999999</v>
      </c>
      <c r="K633">
        <v>75000</v>
      </c>
      <c r="L633" s="2">
        <v>45674</v>
      </c>
      <c r="M633" t="str">
        <f t="shared" si="45"/>
        <v>Admis</v>
      </c>
      <c r="N633" t="str">
        <f t="shared" si="46"/>
        <v>Eligible</v>
      </c>
      <c r="O633" t="str">
        <f t="shared" si="47"/>
        <v>RAS</v>
      </c>
      <c r="P633" t="str">
        <f t="shared" si="48"/>
        <v>Hors Data</v>
      </c>
      <c r="Q633">
        <f t="shared" si="49"/>
        <v>17.362499999999997</v>
      </c>
      <c r="R633" t="str" cm="1">
        <f t="array" ref="R633">_xlfn.IFS(Q633&gt;=16, "Excellent",Q633&gt;=14, "Très bien", Q633&gt;=12, "Bien", Q633&gt;=10, "Passable", Q633&lt;10, "Insuffisant")</f>
        <v>Excellent</v>
      </c>
    </row>
    <row r="634" spans="1:18">
      <c r="A634" t="s">
        <v>945</v>
      </c>
      <c r="B634" t="s">
        <v>474</v>
      </c>
      <c r="C634" t="s">
        <v>20</v>
      </c>
      <c r="D634" t="s">
        <v>41</v>
      </c>
      <c r="E634" t="s">
        <v>27</v>
      </c>
      <c r="F634">
        <v>9</v>
      </c>
      <c r="G634">
        <v>12.14</v>
      </c>
      <c r="H634">
        <v>10.14</v>
      </c>
      <c r="I634">
        <v>10.71</v>
      </c>
      <c r="J634" s="4">
        <v>0.59550000000000003</v>
      </c>
      <c r="K634">
        <v>85000</v>
      </c>
      <c r="L634" s="2">
        <v>45629</v>
      </c>
      <c r="M634" t="str">
        <f t="shared" si="45"/>
        <v>Admis</v>
      </c>
      <c r="N634" t="str">
        <f t="shared" si="46"/>
        <v>Non Eligible</v>
      </c>
      <c r="O634" t="str">
        <f t="shared" si="47"/>
        <v>A surveiller</v>
      </c>
      <c r="P634" t="str">
        <f t="shared" si="48"/>
        <v>Hors Data</v>
      </c>
      <c r="Q634">
        <f t="shared" si="49"/>
        <v>10.4975</v>
      </c>
      <c r="R634" t="str" cm="1">
        <f t="array" ref="R634">_xlfn.IFS(Q634&gt;=16, "Excellent",Q634&gt;=14, "Très bien", Q634&gt;=12, "Bien", Q634&gt;=10, "Passable", Q634&lt;10, "Insuffisant")</f>
        <v>Passable</v>
      </c>
    </row>
    <row r="635" spans="1:18">
      <c r="A635" t="s">
        <v>946</v>
      </c>
      <c r="B635" t="s">
        <v>19</v>
      </c>
      <c r="C635" t="s">
        <v>20</v>
      </c>
      <c r="D635" t="s">
        <v>34</v>
      </c>
      <c r="E635" t="s">
        <v>27</v>
      </c>
      <c r="F635">
        <v>14.13</v>
      </c>
      <c r="G635">
        <v>12.35</v>
      </c>
      <c r="H635">
        <v>13.27</v>
      </c>
      <c r="I635">
        <v>14.72</v>
      </c>
      <c r="J635" s="4">
        <v>0.87860000000000005</v>
      </c>
      <c r="K635">
        <v>60000</v>
      </c>
      <c r="L635" s="2">
        <v>45937</v>
      </c>
      <c r="M635" t="str">
        <f t="shared" si="45"/>
        <v>Admis</v>
      </c>
      <c r="N635" t="str">
        <f t="shared" si="46"/>
        <v>Eligible</v>
      </c>
      <c r="O635" t="str">
        <f t="shared" si="47"/>
        <v>RAS</v>
      </c>
      <c r="P635" t="str">
        <f t="shared" si="48"/>
        <v>Hors Data</v>
      </c>
      <c r="Q635">
        <f t="shared" si="49"/>
        <v>13.6175</v>
      </c>
      <c r="R635" t="str" cm="1">
        <f t="array" ref="R635">_xlfn.IFS(Q635&gt;=16, "Excellent",Q635&gt;=14, "Très bien", Q635&gt;=12, "Bien", Q635&gt;=10, "Passable", Q635&lt;10, "Insuffisant")</f>
        <v>Bien</v>
      </c>
    </row>
    <row r="636" spans="1:18">
      <c r="A636" t="s">
        <v>947</v>
      </c>
      <c r="B636" t="s">
        <v>251</v>
      </c>
      <c r="C636" t="s">
        <v>20</v>
      </c>
      <c r="D636" t="s">
        <v>34</v>
      </c>
      <c r="E636" t="s">
        <v>48</v>
      </c>
      <c r="F636">
        <v>20</v>
      </c>
      <c r="G636">
        <v>16.690000000000001</v>
      </c>
      <c r="H636">
        <v>15.42</v>
      </c>
      <c r="I636">
        <v>18.23</v>
      </c>
      <c r="J636" s="4">
        <v>0.71719999999999995</v>
      </c>
      <c r="K636">
        <v>70000</v>
      </c>
      <c r="L636" s="2">
        <v>45830</v>
      </c>
      <c r="M636" t="str">
        <f t="shared" si="45"/>
        <v>Admis</v>
      </c>
      <c r="N636" t="str">
        <f t="shared" si="46"/>
        <v>Non Eligible</v>
      </c>
      <c r="O636" t="str">
        <f t="shared" si="47"/>
        <v>RAS</v>
      </c>
      <c r="P636" t="str">
        <f t="shared" si="48"/>
        <v>Hors Data</v>
      </c>
      <c r="Q636">
        <f t="shared" si="49"/>
        <v>17.585000000000001</v>
      </c>
      <c r="R636" t="str" cm="1">
        <f t="array" ref="R636">_xlfn.IFS(Q636&gt;=16, "Excellent",Q636&gt;=14, "Très bien", Q636&gt;=12, "Bien", Q636&gt;=10, "Passable", Q636&lt;10, "Insuffisant")</f>
        <v>Excellent</v>
      </c>
    </row>
    <row r="637" spans="1:18">
      <c r="A637" t="s">
        <v>948</v>
      </c>
      <c r="B637" t="s">
        <v>949</v>
      </c>
      <c r="C637" t="s">
        <v>25</v>
      </c>
      <c r="D637" t="s">
        <v>38</v>
      </c>
      <c r="E637" t="s">
        <v>48</v>
      </c>
      <c r="F637">
        <v>20</v>
      </c>
      <c r="G637">
        <v>17.8</v>
      </c>
      <c r="H637">
        <v>17.38</v>
      </c>
      <c r="I637">
        <v>17.3</v>
      </c>
      <c r="J637" s="4">
        <v>0.87719999999999998</v>
      </c>
      <c r="K637">
        <v>70000</v>
      </c>
      <c r="L637" s="2">
        <v>45884</v>
      </c>
      <c r="M637" t="str">
        <f t="shared" si="45"/>
        <v>Admis</v>
      </c>
      <c r="N637" t="str">
        <f t="shared" si="46"/>
        <v>Eligible</v>
      </c>
      <c r="O637" t="str">
        <f t="shared" si="47"/>
        <v>RAS</v>
      </c>
      <c r="P637" t="str">
        <f t="shared" si="48"/>
        <v>Hors Data</v>
      </c>
      <c r="Q637">
        <f t="shared" si="49"/>
        <v>18.119999999999997</v>
      </c>
      <c r="R637" t="str" cm="1">
        <f t="array" ref="R637">_xlfn.IFS(Q637&gt;=16, "Excellent",Q637&gt;=14, "Très bien", Q637&gt;=12, "Bien", Q637&gt;=10, "Passable", Q637&lt;10, "Insuffisant")</f>
        <v>Excellent</v>
      </c>
    </row>
    <row r="638" spans="1:18">
      <c r="A638" t="s">
        <v>950</v>
      </c>
      <c r="B638" t="s">
        <v>581</v>
      </c>
      <c r="C638" t="s">
        <v>20</v>
      </c>
      <c r="D638" t="s">
        <v>53</v>
      </c>
      <c r="E638" t="s">
        <v>48</v>
      </c>
      <c r="F638">
        <v>10.31</v>
      </c>
      <c r="G638">
        <v>10.46</v>
      </c>
      <c r="H638">
        <v>11.1</v>
      </c>
      <c r="I638">
        <v>8.93</v>
      </c>
      <c r="J638" s="4">
        <v>0.86419999999999997</v>
      </c>
      <c r="K638">
        <v>130000</v>
      </c>
      <c r="L638" s="2">
        <v>46118</v>
      </c>
      <c r="M638" t="str">
        <f t="shared" si="45"/>
        <v>Admis</v>
      </c>
      <c r="N638" t="str">
        <f t="shared" si="46"/>
        <v>Non Eligible</v>
      </c>
      <c r="O638" t="str">
        <f t="shared" si="47"/>
        <v>RAS</v>
      </c>
      <c r="P638" t="str">
        <f t="shared" si="48"/>
        <v>Hors Data</v>
      </c>
      <c r="Q638">
        <f t="shared" si="49"/>
        <v>10.200000000000001</v>
      </c>
      <c r="R638" t="str" cm="1">
        <f t="array" ref="R638">_xlfn.IFS(Q638&gt;=16, "Excellent",Q638&gt;=14, "Très bien", Q638&gt;=12, "Bien", Q638&gt;=10, "Passable", Q638&lt;10, "Insuffisant")</f>
        <v>Passable</v>
      </c>
    </row>
    <row r="639" spans="1:18">
      <c r="A639" t="s">
        <v>951</v>
      </c>
      <c r="B639" t="s">
        <v>562</v>
      </c>
      <c r="C639" t="s">
        <v>20</v>
      </c>
      <c r="D639" t="s">
        <v>41</v>
      </c>
      <c r="E639" t="s">
        <v>35</v>
      </c>
      <c r="F639">
        <v>13.64</v>
      </c>
      <c r="G639">
        <v>14.11</v>
      </c>
      <c r="H639">
        <v>12.31</v>
      </c>
      <c r="I639">
        <v>15.89</v>
      </c>
      <c r="J639" s="4">
        <v>0.76659999999999995</v>
      </c>
      <c r="K639">
        <v>80000</v>
      </c>
      <c r="L639" s="2">
        <v>45942</v>
      </c>
      <c r="M639" t="str">
        <f t="shared" si="45"/>
        <v>Admis</v>
      </c>
      <c r="N639" t="str">
        <f t="shared" si="46"/>
        <v>Non Eligible</v>
      </c>
      <c r="O639" t="str">
        <f t="shared" si="47"/>
        <v>RAS</v>
      </c>
      <c r="P639" t="str">
        <f t="shared" si="48"/>
        <v>Hors Data</v>
      </c>
      <c r="Q639">
        <f t="shared" si="49"/>
        <v>13.987500000000001</v>
      </c>
      <c r="R639" t="str" cm="1">
        <f t="array" ref="R639">_xlfn.IFS(Q639&gt;=16, "Excellent",Q639&gt;=14, "Très bien", Q639&gt;=12, "Bien", Q639&gt;=10, "Passable", Q639&lt;10, "Insuffisant")</f>
        <v>Bien</v>
      </c>
    </row>
    <row r="640" spans="1:18">
      <c r="A640" t="s">
        <v>952</v>
      </c>
      <c r="B640" t="s">
        <v>671</v>
      </c>
      <c r="C640" t="s">
        <v>25</v>
      </c>
      <c r="D640" t="s">
        <v>21</v>
      </c>
      <c r="E640" t="s">
        <v>35</v>
      </c>
      <c r="F640">
        <v>19.04</v>
      </c>
      <c r="G640">
        <v>16.43</v>
      </c>
      <c r="H640">
        <v>16.510000000000002</v>
      </c>
      <c r="I640">
        <v>16.149999999999999</v>
      </c>
      <c r="J640" s="4">
        <v>0.85640000000000005</v>
      </c>
      <c r="K640">
        <v>120000</v>
      </c>
      <c r="L640" s="2">
        <v>45644</v>
      </c>
      <c r="M640" t="str">
        <f t="shared" si="45"/>
        <v>Admis</v>
      </c>
      <c r="N640" t="str">
        <f t="shared" si="46"/>
        <v>Eligible</v>
      </c>
      <c r="O640" t="str">
        <f t="shared" si="47"/>
        <v>RAS</v>
      </c>
      <c r="P640" t="str">
        <f t="shared" si="48"/>
        <v>Hors Data</v>
      </c>
      <c r="Q640">
        <f t="shared" si="49"/>
        <v>17.032499999999999</v>
      </c>
      <c r="R640" t="str" cm="1">
        <f t="array" ref="R640">_xlfn.IFS(Q640&gt;=16, "Excellent",Q640&gt;=14, "Très bien", Q640&gt;=12, "Bien", Q640&gt;=10, "Passable", Q640&lt;10, "Insuffisant")</f>
        <v>Excellent</v>
      </c>
    </row>
    <row r="641" spans="1:18">
      <c r="A641" t="s">
        <v>953</v>
      </c>
      <c r="B641" t="s">
        <v>256</v>
      </c>
      <c r="C641" t="s">
        <v>25</v>
      </c>
      <c r="D641" t="s">
        <v>38</v>
      </c>
      <c r="E641" t="s">
        <v>48</v>
      </c>
      <c r="F641">
        <v>12.16</v>
      </c>
      <c r="G641">
        <v>12.37</v>
      </c>
      <c r="H641">
        <v>14.76</v>
      </c>
      <c r="I641">
        <v>15.68</v>
      </c>
      <c r="J641" s="4">
        <v>0.68010000000000004</v>
      </c>
      <c r="K641">
        <v>90000</v>
      </c>
      <c r="L641" s="2">
        <v>45799</v>
      </c>
      <c r="M641" t="str">
        <f t="shared" si="45"/>
        <v>Admis</v>
      </c>
      <c r="N641" t="str">
        <f t="shared" si="46"/>
        <v>Non Eligible</v>
      </c>
      <c r="O641" t="str">
        <f t="shared" si="47"/>
        <v>RAS</v>
      </c>
      <c r="P641" t="str">
        <f t="shared" si="48"/>
        <v>Hors Data</v>
      </c>
      <c r="Q641">
        <f t="shared" si="49"/>
        <v>13.7425</v>
      </c>
      <c r="R641" t="str" cm="1">
        <f t="array" ref="R641">_xlfn.IFS(Q641&gt;=16, "Excellent",Q641&gt;=14, "Très bien", Q641&gt;=12, "Bien", Q641&gt;=10, "Passable", Q641&lt;10, "Insuffisant")</f>
        <v>Bien</v>
      </c>
    </row>
    <row r="642" spans="1:18">
      <c r="A642" t="s">
        <v>954</v>
      </c>
      <c r="B642" t="s">
        <v>148</v>
      </c>
      <c r="C642" t="s">
        <v>25</v>
      </c>
      <c r="D642" t="s">
        <v>26</v>
      </c>
      <c r="E642" t="s">
        <v>27</v>
      </c>
      <c r="F642">
        <v>15.46</v>
      </c>
      <c r="G642">
        <v>18.02</v>
      </c>
      <c r="H642">
        <v>14.23</v>
      </c>
      <c r="I642">
        <v>14.86</v>
      </c>
      <c r="J642" s="4">
        <v>0.55000000000000004</v>
      </c>
      <c r="K642">
        <v>85000</v>
      </c>
      <c r="L642" s="2">
        <v>45754</v>
      </c>
      <c r="M642" t="str">
        <f t="shared" si="45"/>
        <v>Admis</v>
      </c>
      <c r="N642" t="str">
        <f t="shared" si="46"/>
        <v>Non Eligible</v>
      </c>
      <c r="O642" t="str">
        <f t="shared" si="47"/>
        <v>RAS</v>
      </c>
      <c r="P642" t="str">
        <f t="shared" si="48"/>
        <v>Hors Data</v>
      </c>
      <c r="Q642">
        <f t="shared" si="49"/>
        <v>15.642500000000002</v>
      </c>
      <c r="R642" t="str" cm="1">
        <f t="array" ref="R642">_xlfn.IFS(Q642&gt;=16, "Excellent",Q642&gt;=14, "Très bien", Q642&gt;=12, "Bien", Q642&gt;=10, "Passable", Q642&lt;10, "Insuffisant")</f>
        <v>Très bien</v>
      </c>
    </row>
    <row r="643" spans="1:18">
      <c r="A643" t="s">
        <v>955</v>
      </c>
      <c r="B643" t="s">
        <v>433</v>
      </c>
      <c r="C643" t="s">
        <v>25</v>
      </c>
      <c r="D643" t="s">
        <v>53</v>
      </c>
      <c r="E643" t="s">
        <v>35</v>
      </c>
      <c r="F643">
        <v>11.28</v>
      </c>
      <c r="G643">
        <v>18.77</v>
      </c>
      <c r="H643">
        <v>9.26</v>
      </c>
      <c r="I643">
        <v>11.45</v>
      </c>
      <c r="J643" s="4">
        <v>0.91769999999999996</v>
      </c>
      <c r="K643">
        <v>130000</v>
      </c>
      <c r="L643" s="2">
        <v>46114</v>
      </c>
      <c r="M643" t="str">
        <f t="shared" ref="M643:M706" si="50">IF(H643&gt;=10,"Admis","Non admis")</f>
        <v>Non admis</v>
      </c>
      <c r="N643" t="str">
        <f t="shared" ref="N643:N706" si="51">IF(AND(F643&gt;=12,H643&gt;=12,J643&gt;80%), "Eligible", "Non Eligible")</f>
        <v>Non Eligible</v>
      </c>
      <c r="O643" t="str">
        <f t="shared" ref="O643:O706" si="52">IF(OR(F643&lt;10,H643&lt;10), "A surveiller", "RAS")</f>
        <v>A surveiller</v>
      </c>
      <c r="P643" t="str">
        <f t="shared" ref="P643:P706" si="53">IF(NOT(E643="Data"), "Hors Data", "Data")</f>
        <v>Hors Data</v>
      </c>
      <c r="Q643">
        <f t="shared" ref="Q643:Q706" si="54">AVERAGE(F643:I643)</f>
        <v>12.689999999999998</v>
      </c>
      <c r="R643" t="str" cm="1">
        <f t="array" ref="R643">_xlfn.IFS(Q643&gt;=16, "Excellent",Q643&gt;=14, "Très bien", Q643&gt;=12, "Bien", Q643&gt;=10, "Passable", Q643&lt;10, "Insuffisant")</f>
        <v>Bien</v>
      </c>
    </row>
    <row r="644" spans="1:18">
      <c r="A644" t="s">
        <v>956</v>
      </c>
      <c r="B644" t="s">
        <v>180</v>
      </c>
      <c r="C644" t="s">
        <v>25</v>
      </c>
      <c r="D644" t="s">
        <v>53</v>
      </c>
      <c r="E644" t="s">
        <v>48</v>
      </c>
      <c r="F644">
        <v>13.13</v>
      </c>
      <c r="G644">
        <v>13.81</v>
      </c>
      <c r="H644">
        <v>13.64</v>
      </c>
      <c r="I644">
        <v>10.55</v>
      </c>
      <c r="J644" s="4">
        <v>0.85019999999999996</v>
      </c>
      <c r="K644">
        <v>100000</v>
      </c>
      <c r="L644" s="2">
        <v>45750</v>
      </c>
      <c r="M644" t="str">
        <f t="shared" si="50"/>
        <v>Admis</v>
      </c>
      <c r="N644" t="str">
        <f t="shared" si="51"/>
        <v>Eligible</v>
      </c>
      <c r="O644" t="str">
        <f t="shared" si="52"/>
        <v>RAS</v>
      </c>
      <c r="P644" t="str">
        <f t="shared" si="53"/>
        <v>Hors Data</v>
      </c>
      <c r="Q644">
        <f t="shared" si="54"/>
        <v>12.782499999999999</v>
      </c>
      <c r="R644" t="str" cm="1">
        <f t="array" ref="R644">_xlfn.IFS(Q644&gt;=16, "Excellent",Q644&gt;=14, "Très bien", Q644&gt;=12, "Bien", Q644&gt;=10, "Passable", Q644&lt;10, "Insuffisant")</f>
        <v>Bien</v>
      </c>
    </row>
    <row r="645" spans="1:18">
      <c r="A645" t="s">
        <v>957</v>
      </c>
      <c r="B645" t="s">
        <v>285</v>
      </c>
      <c r="C645" t="s">
        <v>20</v>
      </c>
      <c r="D645" t="s">
        <v>38</v>
      </c>
      <c r="E645" t="s">
        <v>35</v>
      </c>
      <c r="F645">
        <v>13.81</v>
      </c>
      <c r="G645">
        <v>11.79</v>
      </c>
      <c r="H645">
        <v>13.51</v>
      </c>
      <c r="I645">
        <v>13.43</v>
      </c>
      <c r="J645" s="4">
        <v>0.92879999999999996</v>
      </c>
      <c r="K645">
        <v>70000</v>
      </c>
      <c r="L645" s="2">
        <v>45633</v>
      </c>
      <c r="M645" t="str">
        <f t="shared" si="50"/>
        <v>Admis</v>
      </c>
      <c r="N645" t="str">
        <f t="shared" si="51"/>
        <v>Eligible</v>
      </c>
      <c r="O645" t="str">
        <f t="shared" si="52"/>
        <v>RAS</v>
      </c>
      <c r="P645" t="str">
        <f t="shared" si="53"/>
        <v>Hors Data</v>
      </c>
      <c r="Q645">
        <f t="shared" si="54"/>
        <v>13.135</v>
      </c>
      <c r="R645" t="str" cm="1">
        <f t="array" ref="R645">_xlfn.IFS(Q645&gt;=16, "Excellent",Q645&gt;=14, "Très bien", Q645&gt;=12, "Bien", Q645&gt;=10, "Passable", Q645&lt;10, "Insuffisant")</f>
        <v>Bien</v>
      </c>
    </row>
    <row r="646" spans="1:18">
      <c r="A646" t="s">
        <v>958</v>
      </c>
      <c r="B646" t="s">
        <v>127</v>
      </c>
      <c r="C646" t="s">
        <v>25</v>
      </c>
      <c r="D646" t="s">
        <v>21</v>
      </c>
      <c r="E646" t="s">
        <v>35</v>
      </c>
      <c r="F646">
        <v>13.9</v>
      </c>
      <c r="G646">
        <v>11.49</v>
      </c>
      <c r="H646">
        <v>15.77</v>
      </c>
      <c r="I646">
        <v>11.61</v>
      </c>
      <c r="J646" s="4">
        <v>0.97140000000000004</v>
      </c>
      <c r="K646">
        <v>75000</v>
      </c>
      <c r="L646" s="2">
        <v>46051</v>
      </c>
      <c r="M646" t="str">
        <f t="shared" si="50"/>
        <v>Admis</v>
      </c>
      <c r="N646" t="str">
        <f t="shared" si="51"/>
        <v>Eligible</v>
      </c>
      <c r="O646" t="str">
        <f t="shared" si="52"/>
        <v>RAS</v>
      </c>
      <c r="P646" t="str">
        <f t="shared" si="53"/>
        <v>Hors Data</v>
      </c>
      <c r="Q646">
        <f t="shared" si="54"/>
        <v>13.192499999999999</v>
      </c>
      <c r="R646" t="str" cm="1">
        <f t="array" ref="R646">_xlfn.IFS(Q646&gt;=16, "Excellent",Q646&gt;=14, "Très bien", Q646&gt;=12, "Bien", Q646&gt;=10, "Passable", Q646&lt;10, "Insuffisant")</f>
        <v>Bien</v>
      </c>
    </row>
    <row r="647" spans="1:18">
      <c r="A647" t="s">
        <v>959</v>
      </c>
      <c r="B647" t="s">
        <v>241</v>
      </c>
      <c r="C647" t="s">
        <v>20</v>
      </c>
      <c r="D647" t="s">
        <v>21</v>
      </c>
      <c r="E647" t="s">
        <v>35</v>
      </c>
      <c r="F647">
        <v>13.64</v>
      </c>
      <c r="G647">
        <v>14.9</v>
      </c>
      <c r="H647">
        <v>14.88</v>
      </c>
      <c r="I647">
        <v>10.07</v>
      </c>
      <c r="J647" s="4">
        <v>0.94579999999999997</v>
      </c>
      <c r="K647">
        <v>100000</v>
      </c>
      <c r="L647" s="2">
        <v>45835</v>
      </c>
      <c r="M647" t="str">
        <f t="shared" si="50"/>
        <v>Admis</v>
      </c>
      <c r="N647" t="str">
        <f t="shared" si="51"/>
        <v>Eligible</v>
      </c>
      <c r="O647" t="str">
        <f t="shared" si="52"/>
        <v>RAS</v>
      </c>
      <c r="P647" t="str">
        <f t="shared" si="53"/>
        <v>Hors Data</v>
      </c>
      <c r="Q647">
        <f t="shared" si="54"/>
        <v>13.3725</v>
      </c>
      <c r="R647" t="str" cm="1">
        <f t="array" ref="R647">_xlfn.IFS(Q647&gt;=16, "Excellent",Q647&gt;=14, "Très bien", Q647&gt;=12, "Bien", Q647&gt;=10, "Passable", Q647&lt;10, "Insuffisant")</f>
        <v>Bien</v>
      </c>
    </row>
    <row r="648" spans="1:18">
      <c r="A648" t="s">
        <v>960</v>
      </c>
      <c r="B648" t="s">
        <v>872</v>
      </c>
      <c r="C648" t="s">
        <v>20</v>
      </c>
      <c r="D648" t="s">
        <v>38</v>
      </c>
      <c r="E648" t="s">
        <v>22</v>
      </c>
      <c r="F648">
        <v>6.96</v>
      </c>
      <c r="G648">
        <v>17.07</v>
      </c>
      <c r="H648">
        <v>16.489999999999998</v>
      </c>
      <c r="I648">
        <v>12.19</v>
      </c>
      <c r="J648" s="4">
        <v>0.80489999999999995</v>
      </c>
      <c r="K648">
        <v>50000</v>
      </c>
      <c r="L648" s="2">
        <v>45603</v>
      </c>
      <c r="M648" t="str">
        <f t="shared" si="50"/>
        <v>Admis</v>
      </c>
      <c r="N648" t="str">
        <f t="shared" si="51"/>
        <v>Non Eligible</v>
      </c>
      <c r="O648" t="str">
        <f t="shared" si="52"/>
        <v>A surveiller</v>
      </c>
      <c r="P648" t="str">
        <f t="shared" si="53"/>
        <v>Data</v>
      </c>
      <c r="Q648">
        <f t="shared" si="54"/>
        <v>13.177499999999998</v>
      </c>
      <c r="R648" t="str" cm="1">
        <f t="array" ref="R648">_xlfn.IFS(Q648&gt;=16, "Excellent",Q648&gt;=14, "Très bien", Q648&gt;=12, "Bien", Q648&gt;=10, "Passable", Q648&lt;10, "Insuffisant")</f>
        <v>Bien</v>
      </c>
    </row>
    <row r="649" spans="1:18">
      <c r="A649" t="s">
        <v>961</v>
      </c>
      <c r="B649" t="s">
        <v>485</v>
      </c>
      <c r="C649" t="s">
        <v>25</v>
      </c>
      <c r="D649" t="s">
        <v>21</v>
      </c>
      <c r="E649" t="s">
        <v>35</v>
      </c>
      <c r="F649">
        <v>11.99</v>
      </c>
      <c r="G649">
        <v>9.33</v>
      </c>
      <c r="H649">
        <v>9.58</v>
      </c>
      <c r="I649">
        <v>12.09</v>
      </c>
      <c r="J649" s="4">
        <v>0.9093</v>
      </c>
      <c r="K649">
        <v>60000</v>
      </c>
      <c r="L649" s="2">
        <v>46018</v>
      </c>
      <c r="M649" t="str">
        <f t="shared" si="50"/>
        <v>Non admis</v>
      </c>
      <c r="N649" t="str">
        <f t="shared" si="51"/>
        <v>Non Eligible</v>
      </c>
      <c r="O649" t="str">
        <f t="shared" si="52"/>
        <v>A surveiller</v>
      </c>
      <c r="P649" t="str">
        <f t="shared" si="53"/>
        <v>Hors Data</v>
      </c>
      <c r="Q649">
        <f t="shared" si="54"/>
        <v>10.747499999999999</v>
      </c>
      <c r="R649" t="str" cm="1">
        <f t="array" ref="R649">_xlfn.IFS(Q649&gt;=16, "Excellent",Q649&gt;=14, "Très bien", Q649&gt;=12, "Bien", Q649&gt;=10, "Passable", Q649&lt;10, "Insuffisant")</f>
        <v>Passable</v>
      </c>
    </row>
    <row r="650" spans="1:18">
      <c r="A650" t="s">
        <v>962</v>
      </c>
      <c r="B650" t="s">
        <v>761</v>
      </c>
      <c r="C650" t="s">
        <v>25</v>
      </c>
      <c r="D650" t="s">
        <v>21</v>
      </c>
      <c r="E650" t="s">
        <v>48</v>
      </c>
      <c r="F650">
        <v>16.399999999999999</v>
      </c>
      <c r="G650">
        <v>15.12</v>
      </c>
      <c r="H650">
        <v>14.37</v>
      </c>
      <c r="I650">
        <v>17.68</v>
      </c>
      <c r="J650" s="4">
        <v>0.70750000000000002</v>
      </c>
      <c r="K650">
        <v>50000</v>
      </c>
      <c r="L650" s="2">
        <v>45683</v>
      </c>
      <c r="M650" t="str">
        <f t="shared" si="50"/>
        <v>Admis</v>
      </c>
      <c r="N650" t="str">
        <f t="shared" si="51"/>
        <v>Non Eligible</v>
      </c>
      <c r="O650" t="str">
        <f t="shared" si="52"/>
        <v>RAS</v>
      </c>
      <c r="P650" t="str">
        <f t="shared" si="53"/>
        <v>Hors Data</v>
      </c>
      <c r="Q650">
        <f t="shared" si="54"/>
        <v>15.892499999999998</v>
      </c>
      <c r="R650" t="str" cm="1">
        <f t="array" ref="R650">_xlfn.IFS(Q650&gt;=16, "Excellent",Q650&gt;=14, "Très bien", Q650&gt;=12, "Bien", Q650&gt;=10, "Passable", Q650&lt;10, "Insuffisant")</f>
        <v>Très bien</v>
      </c>
    </row>
    <row r="651" spans="1:18">
      <c r="A651" t="s">
        <v>963</v>
      </c>
      <c r="B651" t="s">
        <v>77</v>
      </c>
      <c r="C651" t="s">
        <v>25</v>
      </c>
      <c r="D651" t="s">
        <v>34</v>
      </c>
      <c r="E651" t="s">
        <v>48</v>
      </c>
      <c r="F651">
        <v>20</v>
      </c>
      <c r="G651">
        <v>20</v>
      </c>
      <c r="H651">
        <v>19.13</v>
      </c>
      <c r="I651">
        <v>20</v>
      </c>
      <c r="J651" s="4">
        <v>0.89190000000000003</v>
      </c>
      <c r="K651">
        <v>100000</v>
      </c>
      <c r="L651" s="2">
        <v>46143</v>
      </c>
      <c r="M651" t="str">
        <f t="shared" si="50"/>
        <v>Admis</v>
      </c>
      <c r="N651" t="str">
        <f t="shared" si="51"/>
        <v>Eligible</v>
      </c>
      <c r="O651" t="str">
        <f t="shared" si="52"/>
        <v>RAS</v>
      </c>
      <c r="P651" t="str">
        <f t="shared" si="53"/>
        <v>Hors Data</v>
      </c>
      <c r="Q651">
        <f t="shared" si="54"/>
        <v>19.782499999999999</v>
      </c>
      <c r="R651" t="str" cm="1">
        <f t="array" ref="R651">_xlfn.IFS(Q651&gt;=16, "Excellent",Q651&gt;=14, "Très bien", Q651&gt;=12, "Bien", Q651&gt;=10, "Passable", Q651&lt;10, "Insuffisant")</f>
        <v>Excellent</v>
      </c>
    </row>
    <row r="652" spans="1:18">
      <c r="A652" t="s">
        <v>964</v>
      </c>
      <c r="B652" t="s">
        <v>833</v>
      </c>
      <c r="C652" t="s">
        <v>20</v>
      </c>
      <c r="D652" t="s">
        <v>34</v>
      </c>
      <c r="E652" t="s">
        <v>27</v>
      </c>
      <c r="F652">
        <v>8.3000000000000007</v>
      </c>
      <c r="G652">
        <v>10.83</v>
      </c>
      <c r="H652">
        <v>7.17</v>
      </c>
      <c r="I652">
        <v>2.71</v>
      </c>
      <c r="J652" s="4">
        <v>0.94720000000000004</v>
      </c>
      <c r="K652">
        <v>80000</v>
      </c>
      <c r="L652" s="2">
        <v>46118</v>
      </c>
      <c r="M652" t="str">
        <f t="shared" si="50"/>
        <v>Non admis</v>
      </c>
      <c r="N652" t="str">
        <f t="shared" si="51"/>
        <v>Non Eligible</v>
      </c>
      <c r="O652" t="str">
        <f t="shared" si="52"/>
        <v>A surveiller</v>
      </c>
      <c r="P652" t="str">
        <f t="shared" si="53"/>
        <v>Hors Data</v>
      </c>
      <c r="Q652">
        <f t="shared" si="54"/>
        <v>7.2525000000000013</v>
      </c>
      <c r="R652" t="str" cm="1">
        <f t="array" ref="R652">_xlfn.IFS(Q652&gt;=16, "Excellent",Q652&gt;=14, "Très bien", Q652&gt;=12, "Bien", Q652&gt;=10, "Passable", Q652&lt;10, "Insuffisant")</f>
        <v>Insuffisant</v>
      </c>
    </row>
    <row r="653" spans="1:18">
      <c r="A653" t="s">
        <v>965</v>
      </c>
      <c r="B653" t="s">
        <v>98</v>
      </c>
      <c r="C653" t="s">
        <v>25</v>
      </c>
      <c r="D653" t="s">
        <v>41</v>
      </c>
      <c r="E653" t="s">
        <v>22</v>
      </c>
      <c r="F653">
        <v>18.02</v>
      </c>
      <c r="G653">
        <v>14.05</v>
      </c>
      <c r="H653">
        <v>17.36</v>
      </c>
      <c r="I653">
        <v>15.72</v>
      </c>
      <c r="J653" s="4">
        <v>0.78739999999999999</v>
      </c>
      <c r="K653">
        <v>50000</v>
      </c>
      <c r="L653" s="2">
        <v>45794</v>
      </c>
      <c r="M653" t="str">
        <f t="shared" si="50"/>
        <v>Admis</v>
      </c>
      <c r="N653" t="str">
        <f t="shared" si="51"/>
        <v>Non Eligible</v>
      </c>
      <c r="O653" t="str">
        <f t="shared" si="52"/>
        <v>RAS</v>
      </c>
      <c r="P653" t="str">
        <f t="shared" si="53"/>
        <v>Data</v>
      </c>
      <c r="Q653">
        <f t="shared" si="54"/>
        <v>16.287500000000001</v>
      </c>
      <c r="R653" t="str" cm="1">
        <f t="array" ref="R653">_xlfn.IFS(Q653&gt;=16, "Excellent",Q653&gt;=14, "Très bien", Q653&gt;=12, "Bien", Q653&gt;=10, "Passable", Q653&lt;10, "Insuffisant")</f>
        <v>Excellent</v>
      </c>
    </row>
    <row r="654" spans="1:18">
      <c r="A654" t="s">
        <v>966</v>
      </c>
      <c r="B654" t="s">
        <v>564</v>
      </c>
      <c r="C654" t="s">
        <v>20</v>
      </c>
      <c r="D654" t="s">
        <v>26</v>
      </c>
      <c r="E654" t="s">
        <v>27</v>
      </c>
      <c r="F654">
        <v>12.06</v>
      </c>
      <c r="G654">
        <v>8.33</v>
      </c>
      <c r="H654">
        <v>14.84</v>
      </c>
      <c r="I654">
        <v>10.039999999999999</v>
      </c>
      <c r="J654" s="4">
        <v>0.85770000000000002</v>
      </c>
      <c r="K654">
        <v>110000</v>
      </c>
      <c r="L654" s="2">
        <v>45924</v>
      </c>
      <c r="M654" t="str">
        <f t="shared" si="50"/>
        <v>Admis</v>
      </c>
      <c r="N654" t="str">
        <f t="shared" si="51"/>
        <v>Eligible</v>
      </c>
      <c r="O654" t="str">
        <f t="shared" si="52"/>
        <v>RAS</v>
      </c>
      <c r="P654" t="str">
        <f t="shared" si="53"/>
        <v>Hors Data</v>
      </c>
      <c r="Q654">
        <f t="shared" si="54"/>
        <v>11.317500000000001</v>
      </c>
      <c r="R654" t="str" cm="1">
        <f t="array" ref="R654">_xlfn.IFS(Q654&gt;=16, "Excellent",Q654&gt;=14, "Très bien", Q654&gt;=12, "Bien", Q654&gt;=10, "Passable", Q654&lt;10, "Insuffisant")</f>
        <v>Passable</v>
      </c>
    </row>
    <row r="655" spans="1:18">
      <c r="A655" t="s">
        <v>967</v>
      </c>
      <c r="B655" t="s">
        <v>880</v>
      </c>
      <c r="C655" t="s">
        <v>25</v>
      </c>
      <c r="D655" t="s">
        <v>38</v>
      </c>
      <c r="E655" t="s">
        <v>27</v>
      </c>
      <c r="F655">
        <v>16.079999999999998</v>
      </c>
      <c r="G655">
        <v>16.88</v>
      </c>
      <c r="H655">
        <v>12.79</v>
      </c>
      <c r="I655">
        <v>16.010000000000002</v>
      </c>
      <c r="J655" s="4">
        <v>0.95340000000000003</v>
      </c>
      <c r="K655">
        <v>100000</v>
      </c>
      <c r="L655" s="2">
        <v>45933</v>
      </c>
      <c r="M655" t="str">
        <f t="shared" si="50"/>
        <v>Admis</v>
      </c>
      <c r="N655" t="str">
        <f t="shared" si="51"/>
        <v>Eligible</v>
      </c>
      <c r="O655" t="str">
        <f t="shared" si="52"/>
        <v>RAS</v>
      </c>
      <c r="P655" t="str">
        <f t="shared" si="53"/>
        <v>Hors Data</v>
      </c>
      <c r="Q655">
        <f t="shared" si="54"/>
        <v>15.439999999999998</v>
      </c>
      <c r="R655" t="str" cm="1">
        <f t="array" ref="R655">_xlfn.IFS(Q655&gt;=16, "Excellent",Q655&gt;=14, "Très bien", Q655&gt;=12, "Bien", Q655&gt;=10, "Passable", Q655&lt;10, "Insuffisant")</f>
        <v>Très bien</v>
      </c>
    </row>
    <row r="656" spans="1:18">
      <c r="A656" t="s">
        <v>968</v>
      </c>
      <c r="B656" t="s">
        <v>226</v>
      </c>
      <c r="C656" t="s">
        <v>25</v>
      </c>
      <c r="D656" t="s">
        <v>41</v>
      </c>
      <c r="E656" t="s">
        <v>35</v>
      </c>
      <c r="F656">
        <v>15.93</v>
      </c>
      <c r="G656">
        <v>16.5</v>
      </c>
      <c r="H656">
        <v>12.82</v>
      </c>
      <c r="I656">
        <v>13.5</v>
      </c>
      <c r="J656" s="4">
        <v>0.93410000000000004</v>
      </c>
      <c r="K656">
        <v>100000</v>
      </c>
      <c r="L656" s="2">
        <v>45993</v>
      </c>
      <c r="M656" t="str">
        <f t="shared" si="50"/>
        <v>Admis</v>
      </c>
      <c r="N656" t="str">
        <f t="shared" si="51"/>
        <v>Eligible</v>
      </c>
      <c r="O656" t="str">
        <f t="shared" si="52"/>
        <v>RAS</v>
      </c>
      <c r="P656" t="str">
        <f t="shared" si="53"/>
        <v>Hors Data</v>
      </c>
      <c r="Q656">
        <f t="shared" si="54"/>
        <v>14.6875</v>
      </c>
      <c r="R656" t="str" cm="1">
        <f t="array" ref="R656">_xlfn.IFS(Q656&gt;=16, "Excellent",Q656&gt;=14, "Très bien", Q656&gt;=12, "Bien", Q656&gt;=10, "Passable", Q656&lt;10, "Insuffisant")</f>
        <v>Très bien</v>
      </c>
    </row>
    <row r="657" spans="1:18">
      <c r="A657" t="s">
        <v>969</v>
      </c>
      <c r="B657" t="s">
        <v>50</v>
      </c>
      <c r="C657" t="s">
        <v>25</v>
      </c>
      <c r="D657" t="s">
        <v>34</v>
      </c>
      <c r="E657" t="s">
        <v>35</v>
      </c>
      <c r="F657">
        <v>16.43</v>
      </c>
      <c r="G657">
        <v>15.85</v>
      </c>
      <c r="H657">
        <v>15.67</v>
      </c>
      <c r="I657">
        <v>15.11</v>
      </c>
      <c r="J657" s="4">
        <v>0.88429999999999997</v>
      </c>
      <c r="K657">
        <v>60000</v>
      </c>
      <c r="L657" s="2">
        <v>45584</v>
      </c>
      <c r="M657" t="str">
        <f t="shared" si="50"/>
        <v>Admis</v>
      </c>
      <c r="N657" t="str">
        <f t="shared" si="51"/>
        <v>Eligible</v>
      </c>
      <c r="O657" t="str">
        <f t="shared" si="52"/>
        <v>RAS</v>
      </c>
      <c r="P657" t="str">
        <f t="shared" si="53"/>
        <v>Hors Data</v>
      </c>
      <c r="Q657">
        <f t="shared" si="54"/>
        <v>15.765000000000001</v>
      </c>
      <c r="R657" t="str" cm="1">
        <f t="array" ref="R657">_xlfn.IFS(Q657&gt;=16, "Excellent",Q657&gt;=14, "Très bien", Q657&gt;=12, "Bien", Q657&gt;=10, "Passable", Q657&lt;10, "Insuffisant")</f>
        <v>Très bien</v>
      </c>
    </row>
    <row r="658" spans="1:18">
      <c r="A658" t="s">
        <v>970</v>
      </c>
      <c r="B658" t="s">
        <v>61</v>
      </c>
      <c r="C658" t="s">
        <v>25</v>
      </c>
      <c r="D658" t="s">
        <v>38</v>
      </c>
      <c r="E658" t="s">
        <v>35</v>
      </c>
      <c r="F658">
        <v>14.82</v>
      </c>
      <c r="G658">
        <v>18.079999999999998</v>
      </c>
      <c r="H658">
        <v>18.28</v>
      </c>
      <c r="I658">
        <v>16.47</v>
      </c>
      <c r="J658" s="4">
        <v>0.86040000000000005</v>
      </c>
      <c r="K658">
        <v>120000</v>
      </c>
      <c r="L658" s="2">
        <v>45763</v>
      </c>
      <c r="M658" t="str">
        <f t="shared" si="50"/>
        <v>Admis</v>
      </c>
      <c r="N658" t="str">
        <f t="shared" si="51"/>
        <v>Eligible</v>
      </c>
      <c r="O658" t="str">
        <f t="shared" si="52"/>
        <v>RAS</v>
      </c>
      <c r="P658" t="str">
        <f t="shared" si="53"/>
        <v>Hors Data</v>
      </c>
      <c r="Q658">
        <f t="shared" si="54"/>
        <v>16.912500000000001</v>
      </c>
      <c r="R658" t="str" cm="1">
        <f t="array" ref="R658">_xlfn.IFS(Q658&gt;=16, "Excellent",Q658&gt;=14, "Très bien", Q658&gt;=12, "Bien", Q658&gt;=10, "Passable", Q658&lt;10, "Insuffisant")</f>
        <v>Excellent</v>
      </c>
    </row>
    <row r="659" spans="1:18">
      <c r="A659" t="s">
        <v>971</v>
      </c>
      <c r="B659" t="s">
        <v>310</v>
      </c>
      <c r="C659" t="s">
        <v>25</v>
      </c>
      <c r="D659" t="s">
        <v>21</v>
      </c>
      <c r="E659" t="s">
        <v>48</v>
      </c>
      <c r="F659">
        <v>8.67</v>
      </c>
      <c r="G659">
        <v>13.39</v>
      </c>
      <c r="H659">
        <v>10.37</v>
      </c>
      <c r="I659">
        <v>13.89</v>
      </c>
      <c r="J659" s="4">
        <v>0.89090000000000003</v>
      </c>
      <c r="K659">
        <v>60000</v>
      </c>
      <c r="L659" s="2">
        <v>45655</v>
      </c>
      <c r="M659" t="str">
        <f t="shared" si="50"/>
        <v>Admis</v>
      </c>
      <c r="N659" t="str">
        <f t="shared" si="51"/>
        <v>Non Eligible</v>
      </c>
      <c r="O659" t="str">
        <f t="shared" si="52"/>
        <v>A surveiller</v>
      </c>
      <c r="P659" t="str">
        <f t="shared" si="53"/>
        <v>Hors Data</v>
      </c>
      <c r="Q659">
        <f t="shared" si="54"/>
        <v>11.58</v>
      </c>
      <c r="R659" t="str" cm="1">
        <f t="array" ref="R659">_xlfn.IFS(Q659&gt;=16, "Excellent",Q659&gt;=14, "Très bien", Q659&gt;=12, "Bien", Q659&gt;=10, "Passable", Q659&lt;10, "Insuffisant")</f>
        <v>Passable</v>
      </c>
    </row>
    <row r="660" spans="1:18">
      <c r="A660" t="s">
        <v>972</v>
      </c>
      <c r="B660" t="s">
        <v>494</v>
      </c>
      <c r="C660" t="s">
        <v>20</v>
      </c>
      <c r="D660" t="s">
        <v>26</v>
      </c>
      <c r="E660" t="s">
        <v>27</v>
      </c>
      <c r="F660">
        <v>15.62</v>
      </c>
      <c r="G660">
        <v>15.21</v>
      </c>
      <c r="H660">
        <v>13.34</v>
      </c>
      <c r="I660">
        <v>19.53</v>
      </c>
      <c r="J660" s="4">
        <v>0.69230000000000003</v>
      </c>
      <c r="K660">
        <v>90000</v>
      </c>
      <c r="L660" s="2">
        <v>46024</v>
      </c>
      <c r="M660" t="str">
        <f t="shared" si="50"/>
        <v>Admis</v>
      </c>
      <c r="N660" t="str">
        <f t="shared" si="51"/>
        <v>Non Eligible</v>
      </c>
      <c r="O660" t="str">
        <f t="shared" si="52"/>
        <v>RAS</v>
      </c>
      <c r="P660" t="str">
        <f t="shared" si="53"/>
        <v>Hors Data</v>
      </c>
      <c r="Q660">
        <f t="shared" si="54"/>
        <v>15.925000000000001</v>
      </c>
      <c r="R660" t="str" cm="1">
        <f t="array" ref="R660">_xlfn.IFS(Q660&gt;=16, "Excellent",Q660&gt;=14, "Très bien", Q660&gt;=12, "Bien", Q660&gt;=10, "Passable", Q660&lt;10, "Insuffisant")</f>
        <v>Très bien</v>
      </c>
    </row>
    <row r="661" spans="1:18">
      <c r="A661" t="s">
        <v>973</v>
      </c>
      <c r="B661" t="s">
        <v>555</v>
      </c>
      <c r="C661" t="s">
        <v>20</v>
      </c>
      <c r="D661" t="s">
        <v>26</v>
      </c>
      <c r="E661" t="s">
        <v>48</v>
      </c>
      <c r="F661">
        <v>8.61</v>
      </c>
      <c r="G661">
        <v>9.59</v>
      </c>
      <c r="H661">
        <v>8.2100000000000009</v>
      </c>
      <c r="I661">
        <v>6.79</v>
      </c>
      <c r="J661" s="4">
        <v>0.60650000000000004</v>
      </c>
      <c r="K661">
        <v>90000</v>
      </c>
      <c r="L661" s="2">
        <v>45584</v>
      </c>
      <c r="M661" t="str">
        <f t="shared" si="50"/>
        <v>Non admis</v>
      </c>
      <c r="N661" t="str">
        <f t="shared" si="51"/>
        <v>Non Eligible</v>
      </c>
      <c r="O661" t="str">
        <f t="shared" si="52"/>
        <v>A surveiller</v>
      </c>
      <c r="P661" t="str">
        <f t="shared" si="53"/>
        <v>Hors Data</v>
      </c>
      <c r="Q661">
        <f t="shared" si="54"/>
        <v>8.3000000000000007</v>
      </c>
      <c r="R661" t="str" cm="1">
        <f t="array" ref="R661">_xlfn.IFS(Q661&gt;=16, "Excellent",Q661&gt;=14, "Très bien", Q661&gt;=12, "Bien", Q661&gt;=10, "Passable", Q661&lt;10, "Insuffisant")</f>
        <v>Insuffisant</v>
      </c>
    </row>
    <row r="662" spans="1:18">
      <c r="A662" t="s">
        <v>974</v>
      </c>
      <c r="B662" t="s">
        <v>975</v>
      </c>
      <c r="C662" t="s">
        <v>20</v>
      </c>
      <c r="D662" t="s">
        <v>21</v>
      </c>
      <c r="E662" t="s">
        <v>48</v>
      </c>
      <c r="F662">
        <v>17.18</v>
      </c>
      <c r="G662">
        <v>19.21</v>
      </c>
      <c r="H662">
        <v>13.87</v>
      </c>
      <c r="I662">
        <v>20</v>
      </c>
      <c r="J662" s="4">
        <v>0.95640000000000003</v>
      </c>
      <c r="K662">
        <v>70000</v>
      </c>
      <c r="L662" s="2">
        <v>45897</v>
      </c>
      <c r="M662" t="str">
        <f t="shared" si="50"/>
        <v>Admis</v>
      </c>
      <c r="N662" t="str">
        <f t="shared" si="51"/>
        <v>Eligible</v>
      </c>
      <c r="O662" t="str">
        <f t="shared" si="52"/>
        <v>RAS</v>
      </c>
      <c r="P662" t="str">
        <f t="shared" si="53"/>
        <v>Hors Data</v>
      </c>
      <c r="Q662">
        <f t="shared" si="54"/>
        <v>17.564999999999998</v>
      </c>
      <c r="R662" t="str" cm="1">
        <f t="array" ref="R662">_xlfn.IFS(Q662&gt;=16, "Excellent",Q662&gt;=14, "Très bien", Q662&gt;=12, "Bien", Q662&gt;=10, "Passable", Q662&lt;10, "Insuffisant")</f>
        <v>Excellent</v>
      </c>
    </row>
    <row r="663" spans="1:18">
      <c r="A663" t="s">
        <v>976</v>
      </c>
      <c r="B663" t="s">
        <v>166</v>
      </c>
      <c r="C663" t="s">
        <v>25</v>
      </c>
      <c r="D663" t="s">
        <v>53</v>
      </c>
      <c r="E663" t="s">
        <v>48</v>
      </c>
      <c r="F663">
        <v>16.309999999999999</v>
      </c>
      <c r="G663">
        <v>16.03</v>
      </c>
      <c r="H663">
        <v>13.77</v>
      </c>
      <c r="I663">
        <v>16.52</v>
      </c>
      <c r="J663" s="4">
        <v>0.90159999999999996</v>
      </c>
      <c r="K663">
        <v>80000</v>
      </c>
      <c r="L663" s="2">
        <v>46045</v>
      </c>
      <c r="M663" t="str">
        <f t="shared" si="50"/>
        <v>Admis</v>
      </c>
      <c r="N663" t="str">
        <f t="shared" si="51"/>
        <v>Eligible</v>
      </c>
      <c r="O663" t="str">
        <f t="shared" si="52"/>
        <v>RAS</v>
      </c>
      <c r="P663" t="str">
        <f t="shared" si="53"/>
        <v>Hors Data</v>
      </c>
      <c r="Q663">
        <f t="shared" si="54"/>
        <v>15.657499999999999</v>
      </c>
      <c r="R663" t="str" cm="1">
        <f t="array" ref="R663">_xlfn.IFS(Q663&gt;=16, "Excellent",Q663&gt;=14, "Très bien", Q663&gt;=12, "Bien", Q663&gt;=10, "Passable", Q663&lt;10, "Insuffisant")</f>
        <v>Très bien</v>
      </c>
    </row>
    <row r="664" spans="1:18">
      <c r="A664" t="s">
        <v>977</v>
      </c>
      <c r="B664" t="s">
        <v>482</v>
      </c>
      <c r="C664" t="s">
        <v>20</v>
      </c>
      <c r="D664" t="s">
        <v>38</v>
      </c>
      <c r="E664" t="s">
        <v>22</v>
      </c>
      <c r="F664">
        <v>16.850000000000001</v>
      </c>
      <c r="G664">
        <v>20</v>
      </c>
      <c r="H664">
        <v>17.07</v>
      </c>
      <c r="I664">
        <v>17.89</v>
      </c>
      <c r="J664" s="4">
        <v>0.91339999999999999</v>
      </c>
      <c r="K664">
        <v>50000</v>
      </c>
      <c r="L664" s="2">
        <v>46199</v>
      </c>
      <c r="M664" t="str">
        <f t="shared" si="50"/>
        <v>Admis</v>
      </c>
      <c r="N664" t="str">
        <f t="shared" si="51"/>
        <v>Eligible</v>
      </c>
      <c r="O664" t="str">
        <f t="shared" si="52"/>
        <v>RAS</v>
      </c>
      <c r="P664" t="str">
        <f t="shared" si="53"/>
        <v>Data</v>
      </c>
      <c r="Q664">
        <f t="shared" si="54"/>
        <v>17.952500000000001</v>
      </c>
      <c r="R664" t="str" cm="1">
        <f t="array" ref="R664">_xlfn.IFS(Q664&gt;=16, "Excellent",Q664&gt;=14, "Très bien", Q664&gt;=12, "Bien", Q664&gt;=10, "Passable", Q664&lt;10, "Insuffisant")</f>
        <v>Excellent</v>
      </c>
    </row>
    <row r="665" spans="1:18">
      <c r="A665" t="s">
        <v>978</v>
      </c>
      <c r="B665" t="s">
        <v>202</v>
      </c>
      <c r="C665" t="s">
        <v>20</v>
      </c>
      <c r="D665" t="s">
        <v>53</v>
      </c>
      <c r="E665" t="s">
        <v>48</v>
      </c>
      <c r="F665">
        <v>12.92</v>
      </c>
      <c r="G665">
        <v>8.16</v>
      </c>
      <c r="H665">
        <v>11.2</v>
      </c>
      <c r="I665">
        <v>6.05</v>
      </c>
      <c r="J665" s="4">
        <v>0.94720000000000004</v>
      </c>
      <c r="K665">
        <v>85000</v>
      </c>
      <c r="L665" s="2">
        <v>45737</v>
      </c>
      <c r="M665" t="str">
        <f t="shared" si="50"/>
        <v>Admis</v>
      </c>
      <c r="N665" t="str">
        <f t="shared" si="51"/>
        <v>Non Eligible</v>
      </c>
      <c r="O665" t="str">
        <f t="shared" si="52"/>
        <v>RAS</v>
      </c>
      <c r="P665" t="str">
        <f t="shared" si="53"/>
        <v>Hors Data</v>
      </c>
      <c r="Q665">
        <f t="shared" si="54"/>
        <v>9.5824999999999996</v>
      </c>
      <c r="R665" t="str" cm="1">
        <f t="array" ref="R665">_xlfn.IFS(Q665&gt;=16, "Excellent",Q665&gt;=14, "Très bien", Q665&gt;=12, "Bien", Q665&gt;=10, "Passable", Q665&lt;10, "Insuffisant")</f>
        <v>Insuffisant</v>
      </c>
    </row>
    <row r="666" spans="1:18">
      <c r="A666" t="s">
        <v>979</v>
      </c>
      <c r="B666" t="s">
        <v>315</v>
      </c>
      <c r="C666" t="s">
        <v>25</v>
      </c>
      <c r="D666" t="s">
        <v>26</v>
      </c>
      <c r="E666" t="s">
        <v>22</v>
      </c>
      <c r="F666">
        <v>10.52</v>
      </c>
      <c r="G666">
        <v>10.36</v>
      </c>
      <c r="H666">
        <v>11.06</v>
      </c>
      <c r="I666">
        <v>13.53</v>
      </c>
      <c r="J666" s="4">
        <v>0.97170000000000001</v>
      </c>
      <c r="K666">
        <v>100000</v>
      </c>
      <c r="L666" s="2">
        <v>45541</v>
      </c>
      <c r="M666" t="str">
        <f t="shared" si="50"/>
        <v>Admis</v>
      </c>
      <c r="N666" t="str">
        <f t="shared" si="51"/>
        <v>Non Eligible</v>
      </c>
      <c r="O666" t="str">
        <f t="shared" si="52"/>
        <v>RAS</v>
      </c>
      <c r="P666" t="str">
        <f t="shared" si="53"/>
        <v>Data</v>
      </c>
      <c r="Q666">
        <f t="shared" si="54"/>
        <v>11.3675</v>
      </c>
      <c r="R666" t="str" cm="1">
        <f t="array" ref="R666">_xlfn.IFS(Q666&gt;=16, "Excellent",Q666&gt;=14, "Très bien", Q666&gt;=12, "Bien", Q666&gt;=10, "Passable", Q666&lt;10, "Insuffisant")</f>
        <v>Passable</v>
      </c>
    </row>
    <row r="667" spans="1:18">
      <c r="A667" t="s">
        <v>980</v>
      </c>
      <c r="B667" t="s">
        <v>301</v>
      </c>
      <c r="C667" t="s">
        <v>25</v>
      </c>
      <c r="D667" t="s">
        <v>34</v>
      </c>
      <c r="E667" t="s">
        <v>27</v>
      </c>
      <c r="F667">
        <v>14.94</v>
      </c>
      <c r="G667">
        <v>14.66</v>
      </c>
      <c r="H667">
        <v>13.3</v>
      </c>
      <c r="I667">
        <v>12.8</v>
      </c>
      <c r="J667" s="4">
        <v>0.93730000000000002</v>
      </c>
      <c r="K667">
        <v>75000</v>
      </c>
      <c r="L667" s="2">
        <v>46042</v>
      </c>
      <c r="M667" t="str">
        <f t="shared" si="50"/>
        <v>Admis</v>
      </c>
      <c r="N667" t="str">
        <f t="shared" si="51"/>
        <v>Eligible</v>
      </c>
      <c r="O667" t="str">
        <f t="shared" si="52"/>
        <v>RAS</v>
      </c>
      <c r="P667" t="str">
        <f t="shared" si="53"/>
        <v>Hors Data</v>
      </c>
      <c r="Q667">
        <f t="shared" si="54"/>
        <v>13.925000000000001</v>
      </c>
      <c r="R667" t="str" cm="1">
        <f t="array" ref="R667">_xlfn.IFS(Q667&gt;=16, "Excellent",Q667&gt;=14, "Très bien", Q667&gt;=12, "Bien", Q667&gt;=10, "Passable", Q667&lt;10, "Insuffisant")</f>
        <v>Bien</v>
      </c>
    </row>
    <row r="668" spans="1:18">
      <c r="A668" t="s">
        <v>981</v>
      </c>
      <c r="B668" t="s">
        <v>420</v>
      </c>
      <c r="C668" t="s">
        <v>25</v>
      </c>
      <c r="D668" t="s">
        <v>21</v>
      </c>
      <c r="E668" t="s">
        <v>27</v>
      </c>
      <c r="F668">
        <v>14.57</v>
      </c>
      <c r="G668">
        <v>12.61</v>
      </c>
      <c r="H668">
        <v>15.51</v>
      </c>
      <c r="I668">
        <v>14.93</v>
      </c>
      <c r="J668" s="4">
        <v>0.80459999999999998</v>
      </c>
      <c r="K668">
        <v>85000</v>
      </c>
      <c r="L668" s="2">
        <v>45537</v>
      </c>
      <c r="M668" t="str">
        <f t="shared" si="50"/>
        <v>Admis</v>
      </c>
      <c r="N668" t="str">
        <f t="shared" si="51"/>
        <v>Eligible</v>
      </c>
      <c r="O668" t="str">
        <f t="shared" si="52"/>
        <v>RAS</v>
      </c>
      <c r="P668" t="str">
        <f t="shared" si="53"/>
        <v>Hors Data</v>
      </c>
      <c r="Q668">
        <f t="shared" si="54"/>
        <v>14.404999999999999</v>
      </c>
      <c r="R668" t="str" cm="1">
        <f t="array" ref="R668">_xlfn.IFS(Q668&gt;=16, "Excellent",Q668&gt;=14, "Très bien", Q668&gt;=12, "Bien", Q668&gt;=10, "Passable", Q668&lt;10, "Insuffisant")</f>
        <v>Très bien</v>
      </c>
    </row>
    <row r="669" spans="1:18">
      <c r="A669" t="s">
        <v>982</v>
      </c>
      <c r="B669" t="s">
        <v>123</v>
      </c>
      <c r="C669" t="s">
        <v>25</v>
      </c>
      <c r="D669" t="s">
        <v>26</v>
      </c>
      <c r="E669" t="s">
        <v>48</v>
      </c>
      <c r="F669">
        <v>17.600000000000001</v>
      </c>
      <c r="G669">
        <v>16.420000000000002</v>
      </c>
      <c r="H669">
        <v>15.12</v>
      </c>
      <c r="I669">
        <v>12.05</v>
      </c>
      <c r="J669" s="4">
        <v>0.86370000000000002</v>
      </c>
      <c r="K669">
        <v>130000</v>
      </c>
      <c r="L669" s="2">
        <v>45582</v>
      </c>
      <c r="M669" t="str">
        <f t="shared" si="50"/>
        <v>Admis</v>
      </c>
      <c r="N669" t="str">
        <f t="shared" si="51"/>
        <v>Eligible</v>
      </c>
      <c r="O669" t="str">
        <f t="shared" si="52"/>
        <v>RAS</v>
      </c>
      <c r="P669" t="str">
        <f t="shared" si="53"/>
        <v>Hors Data</v>
      </c>
      <c r="Q669">
        <f t="shared" si="54"/>
        <v>15.297499999999999</v>
      </c>
      <c r="R669" t="str" cm="1">
        <f t="array" ref="R669">_xlfn.IFS(Q669&gt;=16, "Excellent",Q669&gt;=14, "Très bien", Q669&gt;=12, "Bien", Q669&gt;=10, "Passable", Q669&lt;10, "Insuffisant")</f>
        <v>Très bien</v>
      </c>
    </row>
    <row r="670" spans="1:18">
      <c r="A670" t="s">
        <v>983</v>
      </c>
      <c r="B670" t="s">
        <v>984</v>
      </c>
      <c r="C670" t="s">
        <v>25</v>
      </c>
      <c r="D670" t="s">
        <v>26</v>
      </c>
      <c r="E670" t="s">
        <v>35</v>
      </c>
      <c r="F670">
        <v>12.78</v>
      </c>
      <c r="G670">
        <v>16.52</v>
      </c>
      <c r="H670">
        <v>15.31</v>
      </c>
      <c r="I670">
        <v>13.83</v>
      </c>
      <c r="J670" s="4">
        <v>0.71220000000000006</v>
      </c>
      <c r="K670">
        <v>70000</v>
      </c>
      <c r="L670" s="2">
        <v>46229</v>
      </c>
      <c r="M670" t="str">
        <f t="shared" si="50"/>
        <v>Admis</v>
      </c>
      <c r="N670" t="str">
        <f t="shared" si="51"/>
        <v>Non Eligible</v>
      </c>
      <c r="O670" t="str">
        <f t="shared" si="52"/>
        <v>RAS</v>
      </c>
      <c r="P670" t="str">
        <f t="shared" si="53"/>
        <v>Hors Data</v>
      </c>
      <c r="Q670">
        <f t="shared" si="54"/>
        <v>14.61</v>
      </c>
      <c r="R670" t="str" cm="1">
        <f t="array" ref="R670">_xlfn.IFS(Q670&gt;=16, "Excellent",Q670&gt;=14, "Très bien", Q670&gt;=12, "Bien", Q670&gt;=10, "Passable", Q670&lt;10, "Insuffisant")</f>
        <v>Très bien</v>
      </c>
    </row>
    <row r="671" spans="1:18">
      <c r="A671" t="s">
        <v>985</v>
      </c>
      <c r="B671" t="s">
        <v>496</v>
      </c>
      <c r="C671" t="s">
        <v>20</v>
      </c>
      <c r="D671" t="s">
        <v>26</v>
      </c>
      <c r="E671" t="s">
        <v>48</v>
      </c>
      <c r="F671">
        <v>7.55</v>
      </c>
      <c r="G671">
        <v>6.77</v>
      </c>
      <c r="H671">
        <v>8.84</v>
      </c>
      <c r="I671">
        <v>12.81</v>
      </c>
      <c r="J671" s="4">
        <v>0.88290000000000002</v>
      </c>
      <c r="K671">
        <v>75000</v>
      </c>
      <c r="L671" s="2">
        <v>46139</v>
      </c>
      <c r="M671" t="str">
        <f t="shared" si="50"/>
        <v>Non admis</v>
      </c>
      <c r="N671" t="str">
        <f t="shared" si="51"/>
        <v>Non Eligible</v>
      </c>
      <c r="O671" t="str">
        <f t="shared" si="52"/>
        <v>A surveiller</v>
      </c>
      <c r="P671" t="str">
        <f t="shared" si="53"/>
        <v>Hors Data</v>
      </c>
      <c r="Q671">
        <f t="shared" si="54"/>
        <v>8.9924999999999997</v>
      </c>
      <c r="R671" t="str" cm="1">
        <f t="array" ref="R671">_xlfn.IFS(Q671&gt;=16, "Excellent",Q671&gt;=14, "Très bien", Q671&gt;=12, "Bien", Q671&gt;=10, "Passable", Q671&lt;10, "Insuffisant")</f>
        <v>Insuffisant</v>
      </c>
    </row>
    <row r="672" spans="1:18">
      <c r="A672" t="s">
        <v>986</v>
      </c>
      <c r="B672" t="s">
        <v>213</v>
      </c>
      <c r="C672" t="s">
        <v>25</v>
      </c>
      <c r="D672" t="s">
        <v>53</v>
      </c>
      <c r="E672" t="s">
        <v>48</v>
      </c>
      <c r="F672">
        <v>18.09</v>
      </c>
      <c r="G672">
        <v>16.77</v>
      </c>
      <c r="H672">
        <v>17.27</v>
      </c>
      <c r="I672">
        <v>14.02</v>
      </c>
      <c r="J672" s="4">
        <v>0.84699999999999998</v>
      </c>
      <c r="K672">
        <v>60000</v>
      </c>
      <c r="L672" s="2">
        <v>46031</v>
      </c>
      <c r="M672" t="str">
        <f t="shared" si="50"/>
        <v>Admis</v>
      </c>
      <c r="N672" t="str">
        <f t="shared" si="51"/>
        <v>Eligible</v>
      </c>
      <c r="O672" t="str">
        <f t="shared" si="52"/>
        <v>RAS</v>
      </c>
      <c r="P672" t="str">
        <f t="shared" si="53"/>
        <v>Hors Data</v>
      </c>
      <c r="Q672">
        <f t="shared" si="54"/>
        <v>16.537499999999998</v>
      </c>
      <c r="R672" t="str" cm="1">
        <f t="array" ref="R672">_xlfn.IFS(Q672&gt;=16, "Excellent",Q672&gt;=14, "Très bien", Q672&gt;=12, "Bien", Q672&gt;=10, "Passable", Q672&lt;10, "Insuffisant")</f>
        <v>Excellent</v>
      </c>
    </row>
    <row r="673" spans="1:18">
      <c r="A673" t="s">
        <v>987</v>
      </c>
      <c r="B673" t="s">
        <v>734</v>
      </c>
      <c r="C673" t="s">
        <v>25</v>
      </c>
      <c r="D673" t="s">
        <v>34</v>
      </c>
      <c r="E673" t="s">
        <v>48</v>
      </c>
      <c r="F673">
        <v>16.920000000000002</v>
      </c>
      <c r="G673">
        <v>14.3</v>
      </c>
      <c r="H673">
        <v>17.5</v>
      </c>
      <c r="I673">
        <v>15.94</v>
      </c>
      <c r="J673" s="4">
        <v>0.55000000000000004</v>
      </c>
      <c r="K673">
        <v>85000</v>
      </c>
      <c r="L673" s="2">
        <v>46120</v>
      </c>
      <c r="M673" t="str">
        <f t="shared" si="50"/>
        <v>Admis</v>
      </c>
      <c r="N673" t="str">
        <f t="shared" si="51"/>
        <v>Non Eligible</v>
      </c>
      <c r="O673" t="str">
        <f t="shared" si="52"/>
        <v>RAS</v>
      </c>
      <c r="P673" t="str">
        <f t="shared" si="53"/>
        <v>Hors Data</v>
      </c>
      <c r="Q673">
        <f t="shared" si="54"/>
        <v>16.164999999999999</v>
      </c>
      <c r="R673" t="str" cm="1">
        <f t="array" ref="R673">_xlfn.IFS(Q673&gt;=16, "Excellent",Q673&gt;=14, "Très bien", Q673&gt;=12, "Bien", Q673&gt;=10, "Passable", Q673&lt;10, "Insuffisant")</f>
        <v>Excellent</v>
      </c>
    </row>
    <row r="674" spans="1:18">
      <c r="A674" t="s">
        <v>988</v>
      </c>
      <c r="B674" t="s">
        <v>237</v>
      </c>
      <c r="C674" t="s">
        <v>25</v>
      </c>
      <c r="D674" t="s">
        <v>41</v>
      </c>
      <c r="E674" t="s">
        <v>48</v>
      </c>
      <c r="F674">
        <v>13.46</v>
      </c>
      <c r="G674">
        <v>15.39</v>
      </c>
      <c r="H674">
        <v>14.86</v>
      </c>
      <c r="I674">
        <v>13.09</v>
      </c>
      <c r="J674" s="4">
        <v>0.65739999999999998</v>
      </c>
      <c r="K674">
        <v>70000</v>
      </c>
      <c r="L674" s="2">
        <v>45588</v>
      </c>
      <c r="M674" t="str">
        <f t="shared" si="50"/>
        <v>Admis</v>
      </c>
      <c r="N674" t="str">
        <f t="shared" si="51"/>
        <v>Non Eligible</v>
      </c>
      <c r="O674" t="str">
        <f t="shared" si="52"/>
        <v>RAS</v>
      </c>
      <c r="P674" t="str">
        <f t="shared" si="53"/>
        <v>Hors Data</v>
      </c>
      <c r="Q674">
        <f t="shared" si="54"/>
        <v>14.2</v>
      </c>
      <c r="R674" t="str" cm="1">
        <f t="array" ref="R674">_xlfn.IFS(Q674&gt;=16, "Excellent",Q674&gt;=14, "Très bien", Q674&gt;=12, "Bien", Q674&gt;=10, "Passable", Q674&lt;10, "Insuffisant")</f>
        <v>Très bien</v>
      </c>
    </row>
    <row r="675" spans="1:18">
      <c r="A675" t="s">
        <v>989</v>
      </c>
      <c r="B675" t="s">
        <v>926</v>
      </c>
      <c r="C675" t="s">
        <v>20</v>
      </c>
      <c r="D675" t="s">
        <v>26</v>
      </c>
      <c r="E675" t="s">
        <v>22</v>
      </c>
      <c r="F675">
        <v>8.74</v>
      </c>
      <c r="G675">
        <v>10.65</v>
      </c>
      <c r="H675">
        <v>12.25</v>
      </c>
      <c r="I675">
        <v>8.36</v>
      </c>
      <c r="J675" s="4">
        <v>0.59</v>
      </c>
      <c r="K675">
        <v>120000</v>
      </c>
      <c r="L675" s="2">
        <v>45598</v>
      </c>
      <c r="M675" t="str">
        <f t="shared" si="50"/>
        <v>Admis</v>
      </c>
      <c r="N675" t="str">
        <f t="shared" si="51"/>
        <v>Non Eligible</v>
      </c>
      <c r="O675" t="str">
        <f t="shared" si="52"/>
        <v>A surveiller</v>
      </c>
      <c r="P675" t="str">
        <f t="shared" si="53"/>
        <v>Data</v>
      </c>
      <c r="Q675">
        <f t="shared" si="54"/>
        <v>10</v>
      </c>
      <c r="R675" t="str" cm="1">
        <f t="array" ref="R675">_xlfn.IFS(Q675&gt;=16, "Excellent",Q675&gt;=14, "Très bien", Q675&gt;=12, "Bien", Q675&gt;=10, "Passable", Q675&lt;10, "Insuffisant")</f>
        <v>Passable</v>
      </c>
    </row>
    <row r="676" spans="1:18">
      <c r="A676" t="s">
        <v>990</v>
      </c>
      <c r="B676" t="s">
        <v>589</v>
      </c>
      <c r="C676" t="s">
        <v>25</v>
      </c>
      <c r="D676" t="s">
        <v>38</v>
      </c>
      <c r="E676" t="s">
        <v>22</v>
      </c>
      <c r="F676">
        <v>16.57</v>
      </c>
      <c r="G676">
        <v>16.32</v>
      </c>
      <c r="H676">
        <v>13.77</v>
      </c>
      <c r="I676">
        <v>14.71</v>
      </c>
      <c r="J676" s="4">
        <v>0.73750000000000004</v>
      </c>
      <c r="K676">
        <v>75000</v>
      </c>
      <c r="L676" s="2">
        <v>45746</v>
      </c>
      <c r="M676" t="str">
        <f t="shared" si="50"/>
        <v>Admis</v>
      </c>
      <c r="N676" t="str">
        <f t="shared" si="51"/>
        <v>Non Eligible</v>
      </c>
      <c r="O676" t="str">
        <f t="shared" si="52"/>
        <v>RAS</v>
      </c>
      <c r="P676" t="str">
        <f t="shared" si="53"/>
        <v>Data</v>
      </c>
      <c r="Q676">
        <f t="shared" si="54"/>
        <v>15.342499999999999</v>
      </c>
      <c r="R676" t="str" cm="1">
        <f t="array" ref="R676">_xlfn.IFS(Q676&gt;=16, "Excellent",Q676&gt;=14, "Très bien", Q676&gt;=12, "Bien", Q676&gt;=10, "Passable", Q676&lt;10, "Insuffisant")</f>
        <v>Très bien</v>
      </c>
    </row>
    <row r="677" spans="1:18">
      <c r="A677" t="s">
        <v>991</v>
      </c>
      <c r="B677" t="s">
        <v>229</v>
      </c>
      <c r="C677" t="s">
        <v>25</v>
      </c>
      <c r="D677" t="s">
        <v>21</v>
      </c>
      <c r="E677" t="s">
        <v>35</v>
      </c>
      <c r="F677">
        <v>8.65</v>
      </c>
      <c r="G677">
        <v>7.85</v>
      </c>
      <c r="H677">
        <v>5.79</v>
      </c>
      <c r="I677">
        <v>3.78</v>
      </c>
      <c r="J677" s="4">
        <v>0.88280000000000003</v>
      </c>
      <c r="K677">
        <v>100000</v>
      </c>
      <c r="L677" s="2">
        <v>45552</v>
      </c>
      <c r="M677" t="str">
        <f t="shared" si="50"/>
        <v>Non admis</v>
      </c>
      <c r="N677" t="str">
        <f t="shared" si="51"/>
        <v>Non Eligible</v>
      </c>
      <c r="O677" t="str">
        <f t="shared" si="52"/>
        <v>A surveiller</v>
      </c>
      <c r="P677" t="str">
        <f t="shared" si="53"/>
        <v>Hors Data</v>
      </c>
      <c r="Q677">
        <f t="shared" si="54"/>
        <v>6.5175000000000001</v>
      </c>
      <c r="R677" t="str" cm="1">
        <f t="array" ref="R677">_xlfn.IFS(Q677&gt;=16, "Excellent",Q677&gt;=14, "Très bien", Q677&gt;=12, "Bien", Q677&gt;=10, "Passable", Q677&lt;10, "Insuffisant")</f>
        <v>Insuffisant</v>
      </c>
    </row>
    <row r="678" spans="1:18">
      <c r="A678" t="s">
        <v>992</v>
      </c>
      <c r="B678" t="s">
        <v>226</v>
      </c>
      <c r="C678" t="s">
        <v>25</v>
      </c>
      <c r="D678" t="s">
        <v>41</v>
      </c>
      <c r="E678" t="s">
        <v>48</v>
      </c>
      <c r="F678">
        <v>14.52</v>
      </c>
      <c r="G678">
        <v>15.3</v>
      </c>
      <c r="H678">
        <v>15</v>
      </c>
      <c r="I678">
        <v>15.19</v>
      </c>
      <c r="J678" s="4">
        <v>0.93310000000000004</v>
      </c>
      <c r="K678">
        <v>70000</v>
      </c>
      <c r="L678" s="2">
        <v>46157</v>
      </c>
      <c r="M678" t="str">
        <f t="shared" si="50"/>
        <v>Admis</v>
      </c>
      <c r="N678" t="str">
        <f t="shared" si="51"/>
        <v>Eligible</v>
      </c>
      <c r="O678" t="str">
        <f t="shared" si="52"/>
        <v>RAS</v>
      </c>
      <c r="P678" t="str">
        <f t="shared" si="53"/>
        <v>Hors Data</v>
      </c>
      <c r="Q678">
        <f t="shared" si="54"/>
        <v>15.0025</v>
      </c>
      <c r="R678" t="str" cm="1">
        <f t="array" ref="R678">_xlfn.IFS(Q678&gt;=16, "Excellent",Q678&gt;=14, "Très bien", Q678&gt;=12, "Bien", Q678&gt;=10, "Passable", Q678&lt;10, "Insuffisant")</f>
        <v>Très bien</v>
      </c>
    </row>
    <row r="679" spans="1:18">
      <c r="A679" t="s">
        <v>993</v>
      </c>
      <c r="B679" t="s">
        <v>444</v>
      </c>
      <c r="C679" t="s">
        <v>20</v>
      </c>
      <c r="D679" t="s">
        <v>53</v>
      </c>
      <c r="E679" t="s">
        <v>35</v>
      </c>
      <c r="F679">
        <v>10.050000000000001</v>
      </c>
      <c r="G679">
        <v>8.15</v>
      </c>
      <c r="H679">
        <v>9.2100000000000009</v>
      </c>
      <c r="I679">
        <v>6.84</v>
      </c>
      <c r="J679" s="4">
        <v>0.85160000000000002</v>
      </c>
      <c r="K679">
        <v>75000</v>
      </c>
      <c r="L679" s="2">
        <v>45575</v>
      </c>
      <c r="M679" t="str">
        <f t="shared" si="50"/>
        <v>Non admis</v>
      </c>
      <c r="N679" t="str">
        <f t="shared" si="51"/>
        <v>Non Eligible</v>
      </c>
      <c r="O679" t="str">
        <f t="shared" si="52"/>
        <v>A surveiller</v>
      </c>
      <c r="P679" t="str">
        <f t="shared" si="53"/>
        <v>Hors Data</v>
      </c>
      <c r="Q679">
        <f t="shared" si="54"/>
        <v>8.5625</v>
      </c>
      <c r="R679" t="str" cm="1">
        <f t="array" ref="R679">_xlfn.IFS(Q679&gt;=16, "Excellent",Q679&gt;=14, "Très bien", Q679&gt;=12, "Bien", Q679&gt;=10, "Passable", Q679&lt;10, "Insuffisant")</f>
        <v>Insuffisant</v>
      </c>
    </row>
    <row r="680" spans="1:18">
      <c r="A680" t="s">
        <v>994</v>
      </c>
      <c r="B680" t="s">
        <v>690</v>
      </c>
      <c r="C680" t="s">
        <v>25</v>
      </c>
      <c r="D680" t="s">
        <v>34</v>
      </c>
      <c r="E680" t="s">
        <v>48</v>
      </c>
      <c r="F680">
        <v>16.25</v>
      </c>
      <c r="G680">
        <v>14.69</v>
      </c>
      <c r="H680">
        <v>11.63</v>
      </c>
      <c r="I680">
        <v>12.68</v>
      </c>
      <c r="J680" s="4">
        <v>0.75070000000000003</v>
      </c>
      <c r="K680">
        <v>60000</v>
      </c>
      <c r="L680" s="2">
        <v>45916</v>
      </c>
      <c r="M680" t="str">
        <f t="shared" si="50"/>
        <v>Admis</v>
      </c>
      <c r="N680" t="str">
        <f t="shared" si="51"/>
        <v>Non Eligible</v>
      </c>
      <c r="O680" t="str">
        <f t="shared" si="52"/>
        <v>RAS</v>
      </c>
      <c r="P680" t="str">
        <f t="shared" si="53"/>
        <v>Hors Data</v>
      </c>
      <c r="Q680">
        <f t="shared" si="54"/>
        <v>13.8125</v>
      </c>
      <c r="R680" t="str" cm="1">
        <f t="array" ref="R680">_xlfn.IFS(Q680&gt;=16, "Excellent",Q680&gt;=14, "Très bien", Q680&gt;=12, "Bien", Q680&gt;=10, "Passable", Q680&lt;10, "Insuffisant")</f>
        <v>Bien</v>
      </c>
    </row>
    <row r="681" spans="1:18">
      <c r="A681" t="s">
        <v>995</v>
      </c>
      <c r="B681" t="s">
        <v>307</v>
      </c>
      <c r="C681" t="s">
        <v>25</v>
      </c>
      <c r="D681" t="s">
        <v>53</v>
      </c>
      <c r="E681" t="s">
        <v>35</v>
      </c>
      <c r="F681">
        <v>17.329999999999998</v>
      </c>
      <c r="G681">
        <v>12.83</v>
      </c>
      <c r="H681">
        <v>16.149999999999999</v>
      </c>
      <c r="I681">
        <v>15.1</v>
      </c>
      <c r="J681" s="4">
        <v>0.84740000000000004</v>
      </c>
      <c r="K681">
        <v>90000</v>
      </c>
      <c r="L681" s="2">
        <v>46133</v>
      </c>
      <c r="M681" t="str">
        <f t="shared" si="50"/>
        <v>Admis</v>
      </c>
      <c r="N681" t="str">
        <f t="shared" si="51"/>
        <v>Eligible</v>
      </c>
      <c r="O681" t="str">
        <f t="shared" si="52"/>
        <v>RAS</v>
      </c>
      <c r="P681" t="str">
        <f t="shared" si="53"/>
        <v>Hors Data</v>
      </c>
      <c r="Q681">
        <f t="shared" si="54"/>
        <v>15.352499999999999</v>
      </c>
      <c r="R681" t="str" cm="1">
        <f t="array" ref="R681">_xlfn.IFS(Q681&gt;=16, "Excellent",Q681&gt;=14, "Très bien", Q681&gt;=12, "Bien", Q681&gt;=10, "Passable", Q681&lt;10, "Insuffisant")</f>
        <v>Très bien</v>
      </c>
    </row>
    <row r="682" spans="1:18">
      <c r="A682" t="s">
        <v>996</v>
      </c>
      <c r="B682" t="s">
        <v>690</v>
      </c>
      <c r="C682" t="s">
        <v>25</v>
      </c>
      <c r="D682" t="s">
        <v>41</v>
      </c>
      <c r="E682" t="s">
        <v>27</v>
      </c>
      <c r="F682">
        <v>18.41</v>
      </c>
      <c r="G682">
        <v>20</v>
      </c>
      <c r="H682">
        <v>18.920000000000002</v>
      </c>
      <c r="I682">
        <v>17.23</v>
      </c>
      <c r="J682" s="4">
        <v>0.73050000000000004</v>
      </c>
      <c r="K682">
        <v>50000</v>
      </c>
      <c r="L682" s="2">
        <v>46050</v>
      </c>
      <c r="M682" t="str">
        <f t="shared" si="50"/>
        <v>Admis</v>
      </c>
      <c r="N682" t="str">
        <f t="shared" si="51"/>
        <v>Non Eligible</v>
      </c>
      <c r="O682" t="str">
        <f t="shared" si="52"/>
        <v>RAS</v>
      </c>
      <c r="P682" t="str">
        <f t="shared" si="53"/>
        <v>Hors Data</v>
      </c>
      <c r="Q682">
        <f t="shared" si="54"/>
        <v>18.64</v>
      </c>
      <c r="R682" t="str" cm="1">
        <f t="array" ref="R682">_xlfn.IFS(Q682&gt;=16, "Excellent",Q682&gt;=14, "Très bien", Q682&gt;=12, "Bien", Q682&gt;=10, "Passable", Q682&lt;10, "Insuffisant")</f>
        <v>Excellent</v>
      </c>
    </row>
    <row r="683" spans="1:18">
      <c r="A683" t="s">
        <v>997</v>
      </c>
      <c r="B683" t="s">
        <v>474</v>
      </c>
      <c r="C683" t="s">
        <v>20</v>
      </c>
      <c r="D683" t="s">
        <v>53</v>
      </c>
      <c r="E683" t="s">
        <v>35</v>
      </c>
      <c r="F683">
        <v>13.1</v>
      </c>
      <c r="G683">
        <v>16.350000000000001</v>
      </c>
      <c r="H683">
        <v>12.53</v>
      </c>
      <c r="I683">
        <v>9.64</v>
      </c>
      <c r="J683" s="4">
        <v>0.82169999999999999</v>
      </c>
      <c r="K683">
        <v>50000</v>
      </c>
      <c r="L683" s="2">
        <v>45700</v>
      </c>
      <c r="M683" t="str">
        <f t="shared" si="50"/>
        <v>Admis</v>
      </c>
      <c r="N683" t="str">
        <f t="shared" si="51"/>
        <v>Eligible</v>
      </c>
      <c r="O683" t="str">
        <f t="shared" si="52"/>
        <v>RAS</v>
      </c>
      <c r="P683" t="str">
        <f t="shared" si="53"/>
        <v>Hors Data</v>
      </c>
      <c r="Q683">
        <f t="shared" si="54"/>
        <v>12.905000000000001</v>
      </c>
      <c r="R683" t="str" cm="1">
        <f t="array" ref="R683">_xlfn.IFS(Q683&gt;=16, "Excellent",Q683&gt;=14, "Très bien", Q683&gt;=12, "Bien", Q683&gt;=10, "Passable", Q683&lt;10, "Insuffisant")</f>
        <v>Bien</v>
      </c>
    </row>
    <row r="684" spans="1:18">
      <c r="A684" t="s">
        <v>998</v>
      </c>
      <c r="B684" t="s">
        <v>67</v>
      </c>
      <c r="C684" t="s">
        <v>25</v>
      </c>
      <c r="D684" t="s">
        <v>53</v>
      </c>
      <c r="E684" t="s">
        <v>27</v>
      </c>
      <c r="F684">
        <v>11.44</v>
      </c>
      <c r="G684">
        <v>13.35</v>
      </c>
      <c r="H684">
        <v>13.17</v>
      </c>
      <c r="I684">
        <v>13.33</v>
      </c>
      <c r="J684" s="4">
        <v>0.83730000000000004</v>
      </c>
      <c r="K684">
        <v>85000</v>
      </c>
      <c r="L684" s="2">
        <v>45865</v>
      </c>
      <c r="M684" t="str">
        <f t="shared" si="50"/>
        <v>Admis</v>
      </c>
      <c r="N684" t="str">
        <f t="shared" si="51"/>
        <v>Non Eligible</v>
      </c>
      <c r="O684" t="str">
        <f t="shared" si="52"/>
        <v>RAS</v>
      </c>
      <c r="P684" t="str">
        <f t="shared" si="53"/>
        <v>Hors Data</v>
      </c>
      <c r="Q684">
        <f t="shared" si="54"/>
        <v>12.8225</v>
      </c>
      <c r="R684" t="str" cm="1">
        <f t="array" ref="R684">_xlfn.IFS(Q684&gt;=16, "Excellent",Q684&gt;=14, "Très bien", Q684&gt;=12, "Bien", Q684&gt;=10, "Passable", Q684&lt;10, "Insuffisant")</f>
        <v>Bien</v>
      </c>
    </row>
    <row r="685" spans="1:18">
      <c r="A685" t="s">
        <v>999</v>
      </c>
      <c r="B685" t="s">
        <v>420</v>
      </c>
      <c r="C685" t="s">
        <v>25</v>
      </c>
      <c r="D685" t="s">
        <v>38</v>
      </c>
      <c r="E685" t="s">
        <v>35</v>
      </c>
      <c r="F685">
        <v>13.31</v>
      </c>
      <c r="G685">
        <v>13.31</v>
      </c>
      <c r="H685">
        <v>12.77</v>
      </c>
      <c r="I685">
        <v>11.97</v>
      </c>
      <c r="J685" s="4">
        <v>0.92469999999999997</v>
      </c>
      <c r="K685">
        <v>90000</v>
      </c>
      <c r="L685" s="2">
        <v>45919</v>
      </c>
      <c r="M685" t="str">
        <f t="shared" si="50"/>
        <v>Admis</v>
      </c>
      <c r="N685" t="str">
        <f t="shared" si="51"/>
        <v>Eligible</v>
      </c>
      <c r="O685" t="str">
        <f t="shared" si="52"/>
        <v>RAS</v>
      </c>
      <c r="P685" t="str">
        <f t="shared" si="53"/>
        <v>Hors Data</v>
      </c>
      <c r="Q685">
        <f t="shared" si="54"/>
        <v>12.84</v>
      </c>
      <c r="R685" t="str" cm="1">
        <f t="array" ref="R685">_xlfn.IFS(Q685&gt;=16, "Excellent",Q685&gt;=14, "Très bien", Q685&gt;=12, "Bien", Q685&gt;=10, "Passable", Q685&lt;10, "Insuffisant")</f>
        <v>Bien</v>
      </c>
    </row>
    <row r="686" spans="1:18">
      <c r="A686" t="s">
        <v>1000</v>
      </c>
      <c r="B686" t="s">
        <v>157</v>
      </c>
      <c r="C686" t="s">
        <v>20</v>
      </c>
      <c r="D686" t="s">
        <v>38</v>
      </c>
      <c r="E686" t="s">
        <v>35</v>
      </c>
      <c r="F686">
        <v>16.809999999999999</v>
      </c>
      <c r="G686">
        <v>17.27</v>
      </c>
      <c r="H686">
        <v>18.850000000000001</v>
      </c>
      <c r="I686">
        <v>15.77</v>
      </c>
      <c r="J686" s="4">
        <v>0.55000000000000004</v>
      </c>
      <c r="K686">
        <v>75000</v>
      </c>
      <c r="L686" s="2">
        <v>46073</v>
      </c>
      <c r="M686" t="str">
        <f t="shared" si="50"/>
        <v>Admis</v>
      </c>
      <c r="N686" t="str">
        <f t="shared" si="51"/>
        <v>Non Eligible</v>
      </c>
      <c r="O686" t="str">
        <f t="shared" si="52"/>
        <v>RAS</v>
      </c>
      <c r="P686" t="str">
        <f t="shared" si="53"/>
        <v>Hors Data</v>
      </c>
      <c r="Q686">
        <f t="shared" si="54"/>
        <v>17.175000000000001</v>
      </c>
      <c r="R686" t="str" cm="1">
        <f t="array" ref="R686">_xlfn.IFS(Q686&gt;=16, "Excellent",Q686&gt;=14, "Très bien", Q686&gt;=12, "Bien", Q686&gt;=10, "Passable", Q686&lt;10, "Insuffisant")</f>
        <v>Excellent</v>
      </c>
    </row>
    <row r="687" spans="1:18">
      <c r="A687" t="s">
        <v>1001</v>
      </c>
      <c r="B687" t="s">
        <v>315</v>
      </c>
      <c r="C687" t="s">
        <v>25</v>
      </c>
      <c r="D687" t="s">
        <v>21</v>
      </c>
      <c r="E687" t="s">
        <v>48</v>
      </c>
      <c r="F687">
        <v>15.42</v>
      </c>
      <c r="G687">
        <v>12.63</v>
      </c>
      <c r="H687">
        <v>12.24</v>
      </c>
      <c r="I687">
        <v>16.54</v>
      </c>
      <c r="J687" s="4">
        <v>0.93669999999999998</v>
      </c>
      <c r="K687">
        <v>80000</v>
      </c>
      <c r="L687" s="2">
        <v>45834</v>
      </c>
      <c r="M687" t="str">
        <f t="shared" si="50"/>
        <v>Admis</v>
      </c>
      <c r="N687" t="str">
        <f t="shared" si="51"/>
        <v>Eligible</v>
      </c>
      <c r="O687" t="str">
        <f t="shared" si="52"/>
        <v>RAS</v>
      </c>
      <c r="P687" t="str">
        <f t="shared" si="53"/>
        <v>Hors Data</v>
      </c>
      <c r="Q687">
        <f t="shared" si="54"/>
        <v>14.2075</v>
      </c>
      <c r="R687" t="str" cm="1">
        <f t="array" ref="R687">_xlfn.IFS(Q687&gt;=16, "Excellent",Q687&gt;=14, "Très bien", Q687&gt;=12, "Bien", Q687&gt;=10, "Passable", Q687&lt;10, "Insuffisant")</f>
        <v>Très bien</v>
      </c>
    </row>
    <row r="688" spans="1:18">
      <c r="A688" t="s">
        <v>1002</v>
      </c>
      <c r="B688" t="s">
        <v>467</v>
      </c>
      <c r="C688" t="s">
        <v>20</v>
      </c>
      <c r="D688" t="s">
        <v>38</v>
      </c>
      <c r="E688" t="s">
        <v>35</v>
      </c>
      <c r="F688">
        <v>10.09</v>
      </c>
      <c r="G688">
        <v>12.34</v>
      </c>
      <c r="H688">
        <v>12.3</v>
      </c>
      <c r="I688">
        <v>11.95</v>
      </c>
      <c r="J688" s="4">
        <v>0.81459999999999999</v>
      </c>
      <c r="K688">
        <v>80000</v>
      </c>
      <c r="L688" s="2">
        <v>45735</v>
      </c>
      <c r="M688" t="str">
        <f t="shared" si="50"/>
        <v>Admis</v>
      </c>
      <c r="N688" t="str">
        <f t="shared" si="51"/>
        <v>Non Eligible</v>
      </c>
      <c r="O688" t="str">
        <f t="shared" si="52"/>
        <v>RAS</v>
      </c>
      <c r="P688" t="str">
        <f t="shared" si="53"/>
        <v>Hors Data</v>
      </c>
      <c r="Q688">
        <f t="shared" si="54"/>
        <v>11.670000000000002</v>
      </c>
      <c r="R688" t="str" cm="1">
        <f t="array" ref="R688">_xlfn.IFS(Q688&gt;=16, "Excellent",Q688&gt;=14, "Très bien", Q688&gt;=12, "Bien", Q688&gt;=10, "Passable", Q688&lt;10, "Insuffisant")</f>
        <v>Passable</v>
      </c>
    </row>
    <row r="689" spans="1:18">
      <c r="A689" t="s">
        <v>1003</v>
      </c>
      <c r="B689" t="s">
        <v>173</v>
      </c>
      <c r="C689" t="s">
        <v>25</v>
      </c>
      <c r="D689" t="s">
        <v>21</v>
      </c>
      <c r="E689" t="s">
        <v>22</v>
      </c>
      <c r="F689">
        <v>15.69</v>
      </c>
      <c r="G689">
        <v>13.46</v>
      </c>
      <c r="H689">
        <v>12.91</v>
      </c>
      <c r="I689">
        <v>10.17</v>
      </c>
      <c r="J689" s="4">
        <v>0.90949999999999998</v>
      </c>
      <c r="K689">
        <v>110000</v>
      </c>
      <c r="L689" s="2">
        <v>46092</v>
      </c>
      <c r="M689" t="str">
        <f t="shared" si="50"/>
        <v>Admis</v>
      </c>
      <c r="N689" t="str">
        <f t="shared" si="51"/>
        <v>Eligible</v>
      </c>
      <c r="O689" t="str">
        <f t="shared" si="52"/>
        <v>RAS</v>
      </c>
      <c r="P689" t="str">
        <f t="shared" si="53"/>
        <v>Data</v>
      </c>
      <c r="Q689">
        <f t="shared" si="54"/>
        <v>13.057500000000001</v>
      </c>
      <c r="R689" t="str" cm="1">
        <f t="array" ref="R689">_xlfn.IFS(Q689&gt;=16, "Excellent",Q689&gt;=14, "Très bien", Q689&gt;=12, "Bien", Q689&gt;=10, "Passable", Q689&lt;10, "Insuffisant")</f>
        <v>Bien</v>
      </c>
    </row>
    <row r="690" spans="1:18">
      <c r="A690" t="s">
        <v>1004</v>
      </c>
      <c r="B690" t="s">
        <v>231</v>
      </c>
      <c r="C690" t="s">
        <v>20</v>
      </c>
      <c r="D690" t="s">
        <v>34</v>
      </c>
      <c r="E690" t="s">
        <v>35</v>
      </c>
      <c r="F690">
        <v>6.6</v>
      </c>
      <c r="G690">
        <v>10.02</v>
      </c>
      <c r="H690">
        <v>10.68</v>
      </c>
      <c r="I690">
        <v>13.08</v>
      </c>
      <c r="J690" s="4">
        <v>0.81869999999999998</v>
      </c>
      <c r="K690">
        <v>80000</v>
      </c>
      <c r="L690" s="2">
        <v>46156</v>
      </c>
      <c r="M690" t="str">
        <f t="shared" si="50"/>
        <v>Admis</v>
      </c>
      <c r="N690" t="str">
        <f t="shared" si="51"/>
        <v>Non Eligible</v>
      </c>
      <c r="O690" t="str">
        <f t="shared" si="52"/>
        <v>A surveiller</v>
      </c>
      <c r="P690" t="str">
        <f t="shared" si="53"/>
        <v>Hors Data</v>
      </c>
      <c r="Q690">
        <f t="shared" si="54"/>
        <v>10.094999999999999</v>
      </c>
      <c r="R690" t="str" cm="1">
        <f t="array" ref="R690">_xlfn.IFS(Q690&gt;=16, "Excellent",Q690&gt;=14, "Très bien", Q690&gt;=12, "Bien", Q690&gt;=10, "Passable", Q690&lt;10, "Insuffisant")</f>
        <v>Passable</v>
      </c>
    </row>
    <row r="691" spans="1:18">
      <c r="A691" t="s">
        <v>1005</v>
      </c>
      <c r="B691" t="s">
        <v>344</v>
      </c>
      <c r="C691" t="s">
        <v>25</v>
      </c>
      <c r="D691" t="s">
        <v>34</v>
      </c>
      <c r="E691" t="s">
        <v>27</v>
      </c>
      <c r="F691">
        <v>13.64</v>
      </c>
      <c r="G691">
        <v>16.02</v>
      </c>
      <c r="H691">
        <v>13.41</v>
      </c>
      <c r="I691">
        <v>14.45</v>
      </c>
      <c r="J691" s="4">
        <v>0.95199999999999996</v>
      </c>
      <c r="K691">
        <v>120000</v>
      </c>
      <c r="L691" s="2">
        <v>45878</v>
      </c>
      <c r="M691" t="str">
        <f t="shared" si="50"/>
        <v>Admis</v>
      </c>
      <c r="N691" t="str">
        <f t="shared" si="51"/>
        <v>Eligible</v>
      </c>
      <c r="O691" t="str">
        <f t="shared" si="52"/>
        <v>RAS</v>
      </c>
      <c r="P691" t="str">
        <f t="shared" si="53"/>
        <v>Hors Data</v>
      </c>
      <c r="Q691">
        <f t="shared" si="54"/>
        <v>14.379999999999999</v>
      </c>
      <c r="R691" t="str" cm="1">
        <f t="array" ref="R691">_xlfn.IFS(Q691&gt;=16, "Excellent",Q691&gt;=14, "Très bien", Q691&gt;=12, "Bien", Q691&gt;=10, "Passable", Q691&lt;10, "Insuffisant")</f>
        <v>Très bien</v>
      </c>
    </row>
    <row r="692" spans="1:18">
      <c r="A692" t="s">
        <v>1006</v>
      </c>
      <c r="B692" t="s">
        <v>490</v>
      </c>
      <c r="C692" t="s">
        <v>25</v>
      </c>
      <c r="D692" t="s">
        <v>41</v>
      </c>
      <c r="E692" t="s">
        <v>22</v>
      </c>
      <c r="F692">
        <v>8.7899999999999991</v>
      </c>
      <c r="G692">
        <v>11</v>
      </c>
      <c r="H692">
        <v>3.27</v>
      </c>
      <c r="I692">
        <v>8.2899999999999991</v>
      </c>
      <c r="J692" s="4">
        <v>0.57320000000000004</v>
      </c>
      <c r="K692">
        <v>70000</v>
      </c>
      <c r="L692" s="2">
        <v>45555</v>
      </c>
      <c r="M692" t="str">
        <f t="shared" si="50"/>
        <v>Non admis</v>
      </c>
      <c r="N692" t="str">
        <f t="shared" si="51"/>
        <v>Non Eligible</v>
      </c>
      <c r="O692" t="str">
        <f t="shared" si="52"/>
        <v>A surveiller</v>
      </c>
      <c r="P692" t="str">
        <f t="shared" si="53"/>
        <v>Data</v>
      </c>
      <c r="Q692">
        <f t="shared" si="54"/>
        <v>7.8374999999999995</v>
      </c>
      <c r="R692" t="str" cm="1">
        <f t="array" ref="R692">_xlfn.IFS(Q692&gt;=16, "Excellent",Q692&gt;=14, "Très bien", Q692&gt;=12, "Bien", Q692&gt;=10, "Passable", Q692&lt;10, "Insuffisant")</f>
        <v>Insuffisant</v>
      </c>
    </row>
    <row r="693" spans="1:18">
      <c r="A693" t="s">
        <v>1007</v>
      </c>
      <c r="B693" t="s">
        <v>908</v>
      </c>
      <c r="C693" t="s">
        <v>25</v>
      </c>
      <c r="D693" t="s">
        <v>21</v>
      </c>
      <c r="E693" t="s">
        <v>35</v>
      </c>
      <c r="F693">
        <v>19.989999999999998</v>
      </c>
      <c r="G693">
        <v>14.48</v>
      </c>
      <c r="H693">
        <v>13.43</v>
      </c>
      <c r="I693">
        <v>14.61</v>
      </c>
      <c r="J693" s="4">
        <v>0.87280000000000002</v>
      </c>
      <c r="K693">
        <v>70000</v>
      </c>
      <c r="L693" s="2">
        <v>45886</v>
      </c>
      <c r="M693" t="str">
        <f t="shared" si="50"/>
        <v>Admis</v>
      </c>
      <c r="N693" t="str">
        <f t="shared" si="51"/>
        <v>Eligible</v>
      </c>
      <c r="O693" t="str">
        <f t="shared" si="52"/>
        <v>RAS</v>
      </c>
      <c r="P693" t="str">
        <f t="shared" si="53"/>
        <v>Hors Data</v>
      </c>
      <c r="Q693">
        <f t="shared" si="54"/>
        <v>15.6275</v>
      </c>
      <c r="R693" t="str" cm="1">
        <f t="array" ref="R693">_xlfn.IFS(Q693&gt;=16, "Excellent",Q693&gt;=14, "Très bien", Q693&gt;=12, "Bien", Q693&gt;=10, "Passable", Q693&lt;10, "Insuffisant")</f>
        <v>Très bien</v>
      </c>
    </row>
    <row r="694" spans="1:18">
      <c r="A694" t="s">
        <v>1008</v>
      </c>
      <c r="B694" t="s">
        <v>1009</v>
      </c>
      <c r="C694" t="s">
        <v>25</v>
      </c>
      <c r="D694" t="s">
        <v>34</v>
      </c>
      <c r="E694" t="s">
        <v>48</v>
      </c>
      <c r="F694">
        <v>12.93</v>
      </c>
      <c r="G694">
        <v>12.76</v>
      </c>
      <c r="H694">
        <v>13.93</v>
      </c>
      <c r="I694">
        <v>16.36</v>
      </c>
      <c r="J694" s="4">
        <v>0.78190000000000004</v>
      </c>
      <c r="K694">
        <v>80000</v>
      </c>
      <c r="L694" s="2">
        <v>46158</v>
      </c>
      <c r="M694" t="str">
        <f t="shared" si="50"/>
        <v>Admis</v>
      </c>
      <c r="N694" t="str">
        <f t="shared" si="51"/>
        <v>Non Eligible</v>
      </c>
      <c r="O694" t="str">
        <f t="shared" si="52"/>
        <v>RAS</v>
      </c>
      <c r="P694" t="str">
        <f t="shared" si="53"/>
        <v>Hors Data</v>
      </c>
      <c r="Q694">
        <f t="shared" si="54"/>
        <v>13.994999999999999</v>
      </c>
      <c r="R694" t="str" cm="1">
        <f t="array" ref="R694">_xlfn.IFS(Q694&gt;=16, "Excellent",Q694&gt;=14, "Très bien", Q694&gt;=12, "Bien", Q694&gt;=10, "Passable", Q694&lt;10, "Insuffisant")</f>
        <v>Bien</v>
      </c>
    </row>
    <row r="695" spans="1:18">
      <c r="A695" t="s">
        <v>1010</v>
      </c>
      <c r="B695" t="s">
        <v>636</v>
      </c>
      <c r="C695" t="s">
        <v>25</v>
      </c>
      <c r="D695" t="s">
        <v>26</v>
      </c>
      <c r="E695" t="s">
        <v>48</v>
      </c>
      <c r="F695">
        <v>18.72</v>
      </c>
      <c r="G695">
        <v>20</v>
      </c>
      <c r="H695">
        <v>20</v>
      </c>
      <c r="I695">
        <v>18.93</v>
      </c>
      <c r="J695" s="4">
        <v>0.91690000000000005</v>
      </c>
      <c r="K695">
        <v>50000</v>
      </c>
      <c r="L695" s="2">
        <v>46228</v>
      </c>
      <c r="M695" t="str">
        <f t="shared" si="50"/>
        <v>Admis</v>
      </c>
      <c r="N695" t="str">
        <f t="shared" si="51"/>
        <v>Eligible</v>
      </c>
      <c r="O695" t="str">
        <f t="shared" si="52"/>
        <v>RAS</v>
      </c>
      <c r="P695" t="str">
        <f t="shared" si="53"/>
        <v>Hors Data</v>
      </c>
      <c r="Q695">
        <f t="shared" si="54"/>
        <v>19.412500000000001</v>
      </c>
      <c r="R695" t="str" cm="1">
        <f t="array" ref="R695">_xlfn.IFS(Q695&gt;=16, "Excellent",Q695&gt;=14, "Très bien", Q695&gt;=12, "Bien", Q695&gt;=10, "Passable", Q695&lt;10, "Insuffisant")</f>
        <v>Excellent</v>
      </c>
    </row>
    <row r="696" spans="1:18">
      <c r="A696" t="s">
        <v>1011</v>
      </c>
      <c r="B696" t="s">
        <v>669</v>
      </c>
      <c r="C696" t="s">
        <v>20</v>
      </c>
      <c r="D696" t="s">
        <v>38</v>
      </c>
      <c r="E696" t="s">
        <v>35</v>
      </c>
      <c r="F696">
        <v>9.2100000000000009</v>
      </c>
      <c r="G696">
        <v>12.52</v>
      </c>
      <c r="H696">
        <v>14.32</v>
      </c>
      <c r="I696">
        <v>6.92</v>
      </c>
      <c r="J696" s="4">
        <v>0.99099999999999999</v>
      </c>
      <c r="K696">
        <v>100000</v>
      </c>
      <c r="L696" s="2">
        <v>45816</v>
      </c>
      <c r="M696" t="str">
        <f t="shared" si="50"/>
        <v>Admis</v>
      </c>
      <c r="N696" t="str">
        <f t="shared" si="51"/>
        <v>Non Eligible</v>
      </c>
      <c r="O696" t="str">
        <f t="shared" si="52"/>
        <v>A surveiller</v>
      </c>
      <c r="P696" t="str">
        <f t="shared" si="53"/>
        <v>Hors Data</v>
      </c>
      <c r="Q696">
        <f t="shared" si="54"/>
        <v>10.7425</v>
      </c>
      <c r="R696" t="str" cm="1">
        <f t="array" ref="R696">_xlfn.IFS(Q696&gt;=16, "Excellent",Q696&gt;=14, "Très bien", Q696&gt;=12, "Bien", Q696&gt;=10, "Passable", Q696&lt;10, "Insuffisant")</f>
        <v>Passable</v>
      </c>
    </row>
    <row r="697" spans="1:18">
      <c r="A697" t="s">
        <v>1012</v>
      </c>
      <c r="B697" t="s">
        <v>532</v>
      </c>
      <c r="C697" t="s">
        <v>20</v>
      </c>
      <c r="D697" t="s">
        <v>26</v>
      </c>
      <c r="E697" t="s">
        <v>22</v>
      </c>
      <c r="F697">
        <v>16.86</v>
      </c>
      <c r="G697">
        <v>12.75</v>
      </c>
      <c r="H697">
        <v>14.69</v>
      </c>
      <c r="I697">
        <v>11.62</v>
      </c>
      <c r="J697" s="4">
        <v>0.84560000000000002</v>
      </c>
      <c r="K697">
        <v>80000</v>
      </c>
      <c r="L697" s="2">
        <v>45641</v>
      </c>
      <c r="M697" t="str">
        <f t="shared" si="50"/>
        <v>Admis</v>
      </c>
      <c r="N697" t="str">
        <f t="shared" si="51"/>
        <v>Eligible</v>
      </c>
      <c r="O697" t="str">
        <f t="shared" si="52"/>
        <v>RAS</v>
      </c>
      <c r="P697" t="str">
        <f t="shared" si="53"/>
        <v>Data</v>
      </c>
      <c r="Q697">
        <f t="shared" si="54"/>
        <v>13.979999999999999</v>
      </c>
      <c r="R697" t="str" cm="1">
        <f t="array" ref="R697">_xlfn.IFS(Q697&gt;=16, "Excellent",Q697&gt;=14, "Très bien", Q697&gt;=12, "Bien", Q697&gt;=10, "Passable", Q697&lt;10, "Insuffisant")</f>
        <v>Bien</v>
      </c>
    </row>
    <row r="698" spans="1:18">
      <c r="A698" t="s">
        <v>1013</v>
      </c>
      <c r="B698" t="s">
        <v>173</v>
      </c>
      <c r="C698" t="s">
        <v>25</v>
      </c>
      <c r="D698" t="s">
        <v>41</v>
      </c>
      <c r="E698" t="s">
        <v>22</v>
      </c>
      <c r="F698">
        <v>12.35</v>
      </c>
      <c r="G698">
        <v>18.7</v>
      </c>
      <c r="H698">
        <v>18.91</v>
      </c>
      <c r="I698">
        <v>20</v>
      </c>
      <c r="J698" s="4">
        <v>0.82499999999999996</v>
      </c>
      <c r="K698">
        <v>80000</v>
      </c>
      <c r="L698" s="2">
        <v>45936</v>
      </c>
      <c r="M698" t="str">
        <f t="shared" si="50"/>
        <v>Admis</v>
      </c>
      <c r="N698" t="str">
        <f t="shared" si="51"/>
        <v>Eligible</v>
      </c>
      <c r="O698" t="str">
        <f t="shared" si="52"/>
        <v>RAS</v>
      </c>
      <c r="P698" t="str">
        <f t="shared" si="53"/>
        <v>Data</v>
      </c>
      <c r="Q698">
        <f t="shared" si="54"/>
        <v>17.489999999999998</v>
      </c>
      <c r="R698" t="str" cm="1">
        <f t="array" ref="R698">_xlfn.IFS(Q698&gt;=16, "Excellent",Q698&gt;=14, "Très bien", Q698&gt;=12, "Bien", Q698&gt;=10, "Passable", Q698&lt;10, "Insuffisant")</f>
        <v>Excellent</v>
      </c>
    </row>
    <row r="699" spans="1:18">
      <c r="A699" t="s">
        <v>1014</v>
      </c>
      <c r="B699" t="s">
        <v>853</v>
      </c>
      <c r="C699" t="s">
        <v>25</v>
      </c>
      <c r="D699" t="s">
        <v>38</v>
      </c>
      <c r="E699" t="s">
        <v>35</v>
      </c>
      <c r="F699">
        <v>14.63</v>
      </c>
      <c r="G699">
        <v>17.010000000000002</v>
      </c>
      <c r="H699">
        <v>16.96</v>
      </c>
      <c r="I699">
        <v>18.57</v>
      </c>
      <c r="J699" s="4">
        <v>0.93830000000000002</v>
      </c>
      <c r="K699">
        <v>85000</v>
      </c>
      <c r="L699" s="2">
        <v>46117</v>
      </c>
      <c r="M699" t="str">
        <f t="shared" si="50"/>
        <v>Admis</v>
      </c>
      <c r="N699" t="str">
        <f t="shared" si="51"/>
        <v>Eligible</v>
      </c>
      <c r="O699" t="str">
        <f t="shared" si="52"/>
        <v>RAS</v>
      </c>
      <c r="P699" t="str">
        <f t="shared" si="53"/>
        <v>Hors Data</v>
      </c>
      <c r="Q699">
        <f t="shared" si="54"/>
        <v>16.7925</v>
      </c>
      <c r="R699" t="str" cm="1">
        <f t="array" ref="R699">_xlfn.IFS(Q699&gt;=16, "Excellent",Q699&gt;=14, "Très bien", Q699&gt;=12, "Bien", Q699&gt;=10, "Passable", Q699&lt;10, "Insuffisant")</f>
        <v>Excellent</v>
      </c>
    </row>
    <row r="700" spans="1:18">
      <c r="A700" t="s">
        <v>1015</v>
      </c>
      <c r="B700" t="s">
        <v>594</v>
      </c>
      <c r="C700" t="s">
        <v>20</v>
      </c>
      <c r="D700" t="s">
        <v>38</v>
      </c>
      <c r="E700" t="s">
        <v>27</v>
      </c>
      <c r="F700">
        <v>17.559999999999999</v>
      </c>
      <c r="G700">
        <v>12.02</v>
      </c>
      <c r="H700">
        <v>14.18</v>
      </c>
      <c r="I700">
        <v>10.89</v>
      </c>
      <c r="J700" s="4">
        <v>0.83220000000000005</v>
      </c>
      <c r="K700">
        <v>50000</v>
      </c>
      <c r="L700" s="2">
        <v>46197</v>
      </c>
      <c r="M700" t="str">
        <f t="shared" si="50"/>
        <v>Admis</v>
      </c>
      <c r="N700" t="str">
        <f t="shared" si="51"/>
        <v>Eligible</v>
      </c>
      <c r="O700" t="str">
        <f t="shared" si="52"/>
        <v>RAS</v>
      </c>
      <c r="P700" t="str">
        <f t="shared" si="53"/>
        <v>Hors Data</v>
      </c>
      <c r="Q700">
        <f t="shared" si="54"/>
        <v>13.6625</v>
      </c>
      <c r="R700" t="str" cm="1">
        <f t="array" ref="R700">_xlfn.IFS(Q700&gt;=16, "Excellent",Q700&gt;=14, "Très bien", Q700&gt;=12, "Bien", Q700&gt;=10, "Passable", Q700&lt;10, "Insuffisant")</f>
        <v>Bien</v>
      </c>
    </row>
    <row r="701" spans="1:18">
      <c r="A701" t="s">
        <v>1016</v>
      </c>
      <c r="B701" t="s">
        <v>139</v>
      </c>
      <c r="C701" t="s">
        <v>20</v>
      </c>
      <c r="D701" t="s">
        <v>21</v>
      </c>
      <c r="E701" t="s">
        <v>22</v>
      </c>
      <c r="F701">
        <v>15.43</v>
      </c>
      <c r="G701">
        <v>15.57</v>
      </c>
      <c r="H701">
        <v>13.03</v>
      </c>
      <c r="I701">
        <v>17.05</v>
      </c>
      <c r="J701" s="4">
        <v>0.76729999999999998</v>
      </c>
      <c r="K701">
        <v>80000</v>
      </c>
      <c r="L701" s="2">
        <v>45572</v>
      </c>
      <c r="M701" t="str">
        <f t="shared" si="50"/>
        <v>Admis</v>
      </c>
      <c r="N701" t="str">
        <f t="shared" si="51"/>
        <v>Non Eligible</v>
      </c>
      <c r="O701" t="str">
        <f t="shared" si="52"/>
        <v>RAS</v>
      </c>
      <c r="P701" t="str">
        <f t="shared" si="53"/>
        <v>Data</v>
      </c>
      <c r="Q701">
        <f t="shared" si="54"/>
        <v>15.27</v>
      </c>
      <c r="R701" t="str" cm="1">
        <f t="array" ref="R701">_xlfn.IFS(Q701&gt;=16, "Excellent",Q701&gt;=14, "Très bien", Q701&gt;=12, "Bien", Q701&gt;=10, "Passable", Q701&lt;10, "Insuffisant")</f>
        <v>Très bien</v>
      </c>
    </row>
    <row r="702" spans="1:18">
      <c r="A702" t="s">
        <v>1017</v>
      </c>
      <c r="B702" t="s">
        <v>362</v>
      </c>
      <c r="C702" t="s">
        <v>25</v>
      </c>
      <c r="D702" t="s">
        <v>38</v>
      </c>
      <c r="E702" t="s">
        <v>27</v>
      </c>
      <c r="F702">
        <v>11.07</v>
      </c>
      <c r="G702">
        <v>19.48</v>
      </c>
      <c r="H702">
        <v>13.4</v>
      </c>
      <c r="I702">
        <v>15.05</v>
      </c>
      <c r="J702" s="4">
        <v>0.79579999999999995</v>
      </c>
      <c r="K702">
        <v>130000</v>
      </c>
      <c r="L702" s="2">
        <v>45739</v>
      </c>
      <c r="M702" t="str">
        <f t="shared" si="50"/>
        <v>Admis</v>
      </c>
      <c r="N702" t="str">
        <f t="shared" si="51"/>
        <v>Non Eligible</v>
      </c>
      <c r="O702" t="str">
        <f t="shared" si="52"/>
        <v>RAS</v>
      </c>
      <c r="P702" t="str">
        <f t="shared" si="53"/>
        <v>Hors Data</v>
      </c>
      <c r="Q702">
        <f t="shared" si="54"/>
        <v>14.75</v>
      </c>
      <c r="R702" t="str" cm="1">
        <f t="array" ref="R702">_xlfn.IFS(Q702&gt;=16, "Excellent",Q702&gt;=14, "Très bien", Q702&gt;=12, "Bien", Q702&gt;=10, "Passable", Q702&lt;10, "Insuffisant")</f>
        <v>Très bien</v>
      </c>
    </row>
    <row r="703" spans="1:18">
      <c r="A703" t="s">
        <v>1018</v>
      </c>
      <c r="B703" t="s">
        <v>748</v>
      </c>
      <c r="C703" t="s">
        <v>25</v>
      </c>
      <c r="D703" t="s">
        <v>34</v>
      </c>
      <c r="E703" t="s">
        <v>48</v>
      </c>
      <c r="F703">
        <v>14.2</v>
      </c>
      <c r="G703">
        <v>15.11</v>
      </c>
      <c r="H703">
        <v>12.09</v>
      </c>
      <c r="I703">
        <v>13.6</v>
      </c>
      <c r="J703" s="4">
        <v>0.96560000000000001</v>
      </c>
      <c r="K703">
        <v>90000</v>
      </c>
      <c r="L703" s="2">
        <v>45870</v>
      </c>
      <c r="M703" t="str">
        <f t="shared" si="50"/>
        <v>Admis</v>
      </c>
      <c r="N703" t="str">
        <f t="shared" si="51"/>
        <v>Eligible</v>
      </c>
      <c r="O703" t="str">
        <f t="shared" si="52"/>
        <v>RAS</v>
      </c>
      <c r="P703" t="str">
        <f t="shared" si="53"/>
        <v>Hors Data</v>
      </c>
      <c r="Q703">
        <f t="shared" si="54"/>
        <v>13.75</v>
      </c>
      <c r="R703" t="str" cm="1">
        <f t="array" ref="R703">_xlfn.IFS(Q703&gt;=16, "Excellent",Q703&gt;=14, "Très bien", Q703&gt;=12, "Bien", Q703&gt;=10, "Passable", Q703&lt;10, "Insuffisant")</f>
        <v>Bien</v>
      </c>
    </row>
    <row r="704" spans="1:18">
      <c r="A704" t="s">
        <v>1019</v>
      </c>
      <c r="B704" t="s">
        <v>975</v>
      </c>
      <c r="C704" t="s">
        <v>20</v>
      </c>
      <c r="D704" t="s">
        <v>41</v>
      </c>
      <c r="E704" t="s">
        <v>22</v>
      </c>
      <c r="F704">
        <v>11.69</v>
      </c>
      <c r="G704">
        <v>13.4</v>
      </c>
      <c r="H704">
        <v>14.87</v>
      </c>
      <c r="I704">
        <v>11.08</v>
      </c>
      <c r="J704" s="4">
        <v>0.90649999999999997</v>
      </c>
      <c r="K704">
        <v>90000</v>
      </c>
      <c r="L704" s="2">
        <v>45604</v>
      </c>
      <c r="M704" t="str">
        <f t="shared" si="50"/>
        <v>Admis</v>
      </c>
      <c r="N704" t="str">
        <f t="shared" si="51"/>
        <v>Non Eligible</v>
      </c>
      <c r="O704" t="str">
        <f t="shared" si="52"/>
        <v>RAS</v>
      </c>
      <c r="P704" t="str">
        <f t="shared" si="53"/>
        <v>Data</v>
      </c>
      <c r="Q704">
        <f t="shared" si="54"/>
        <v>12.76</v>
      </c>
      <c r="R704" t="str" cm="1">
        <f t="array" ref="R704">_xlfn.IFS(Q704&gt;=16, "Excellent",Q704&gt;=14, "Très bien", Q704&gt;=12, "Bien", Q704&gt;=10, "Passable", Q704&lt;10, "Insuffisant")</f>
        <v>Bien</v>
      </c>
    </row>
    <row r="705" spans="1:18">
      <c r="A705" t="s">
        <v>1020</v>
      </c>
      <c r="B705" t="s">
        <v>354</v>
      </c>
      <c r="C705" t="s">
        <v>20</v>
      </c>
      <c r="D705" t="s">
        <v>34</v>
      </c>
      <c r="E705" t="s">
        <v>35</v>
      </c>
      <c r="F705">
        <v>15.11</v>
      </c>
      <c r="G705">
        <v>9.94</v>
      </c>
      <c r="H705">
        <v>14.31</v>
      </c>
      <c r="I705">
        <v>13.87</v>
      </c>
      <c r="J705" s="4">
        <v>0.74729999999999996</v>
      </c>
      <c r="K705">
        <v>85000</v>
      </c>
      <c r="L705" s="2">
        <v>46156</v>
      </c>
      <c r="M705" t="str">
        <f t="shared" si="50"/>
        <v>Admis</v>
      </c>
      <c r="N705" t="str">
        <f t="shared" si="51"/>
        <v>Non Eligible</v>
      </c>
      <c r="O705" t="str">
        <f t="shared" si="52"/>
        <v>RAS</v>
      </c>
      <c r="P705" t="str">
        <f t="shared" si="53"/>
        <v>Hors Data</v>
      </c>
      <c r="Q705">
        <f t="shared" si="54"/>
        <v>13.307499999999999</v>
      </c>
      <c r="R705" t="str" cm="1">
        <f t="array" ref="R705">_xlfn.IFS(Q705&gt;=16, "Excellent",Q705&gt;=14, "Très bien", Q705&gt;=12, "Bien", Q705&gt;=10, "Passable", Q705&lt;10, "Insuffisant")</f>
        <v>Bien</v>
      </c>
    </row>
    <row r="706" spans="1:18">
      <c r="A706" t="s">
        <v>1021</v>
      </c>
      <c r="B706" t="s">
        <v>246</v>
      </c>
      <c r="C706" t="s">
        <v>20</v>
      </c>
      <c r="D706" t="s">
        <v>53</v>
      </c>
      <c r="E706" t="s">
        <v>22</v>
      </c>
      <c r="F706">
        <v>13.07</v>
      </c>
      <c r="G706">
        <v>8.36</v>
      </c>
      <c r="H706">
        <v>7.67</v>
      </c>
      <c r="I706">
        <v>7.1</v>
      </c>
      <c r="J706" s="4">
        <v>0.95489999999999997</v>
      </c>
      <c r="K706">
        <v>85000</v>
      </c>
      <c r="L706" s="2">
        <v>45614</v>
      </c>
      <c r="M706" t="str">
        <f t="shared" si="50"/>
        <v>Non admis</v>
      </c>
      <c r="N706" t="str">
        <f t="shared" si="51"/>
        <v>Non Eligible</v>
      </c>
      <c r="O706" t="str">
        <f t="shared" si="52"/>
        <v>A surveiller</v>
      </c>
      <c r="P706" t="str">
        <f t="shared" si="53"/>
        <v>Data</v>
      </c>
      <c r="Q706">
        <f t="shared" si="54"/>
        <v>9.0500000000000007</v>
      </c>
      <c r="R706" t="str" cm="1">
        <f t="array" ref="R706">_xlfn.IFS(Q706&gt;=16, "Excellent",Q706&gt;=14, "Très bien", Q706&gt;=12, "Bien", Q706&gt;=10, "Passable", Q706&lt;10, "Insuffisant")</f>
        <v>Insuffisant</v>
      </c>
    </row>
    <row r="707" spans="1:18">
      <c r="A707" t="s">
        <v>1022</v>
      </c>
      <c r="B707" t="s">
        <v>908</v>
      </c>
      <c r="C707" t="s">
        <v>25</v>
      </c>
      <c r="D707" t="s">
        <v>38</v>
      </c>
      <c r="E707" t="s">
        <v>27</v>
      </c>
      <c r="F707">
        <v>14.73</v>
      </c>
      <c r="G707">
        <v>16.98</v>
      </c>
      <c r="H707">
        <v>13.83</v>
      </c>
      <c r="I707">
        <v>13.79</v>
      </c>
      <c r="J707" s="4">
        <v>0.95860000000000001</v>
      </c>
      <c r="K707">
        <v>130000</v>
      </c>
      <c r="L707" s="2">
        <v>46001</v>
      </c>
      <c r="M707" t="str">
        <f t="shared" ref="M707:M770" si="55">IF(H707&gt;=10,"Admis","Non admis")</f>
        <v>Admis</v>
      </c>
      <c r="N707" t="str">
        <f t="shared" ref="N707:N770" si="56">IF(AND(F707&gt;=12,H707&gt;=12,J707&gt;80%), "Eligible", "Non Eligible")</f>
        <v>Eligible</v>
      </c>
      <c r="O707" t="str">
        <f t="shared" ref="O707:O770" si="57">IF(OR(F707&lt;10,H707&lt;10), "A surveiller", "RAS")</f>
        <v>RAS</v>
      </c>
      <c r="P707" t="str">
        <f t="shared" ref="P707:P770" si="58">IF(NOT(E707="Data"), "Hors Data", "Data")</f>
        <v>Hors Data</v>
      </c>
      <c r="Q707">
        <f t="shared" ref="Q707:Q770" si="59">AVERAGE(F707:I707)</f>
        <v>14.8325</v>
      </c>
      <c r="R707" t="str" cm="1">
        <f t="array" ref="R707">_xlfn.IFS(Q707&gt;=16, "Excellent",Q707&gt;=14, "Très bien", Q707&gt;=12, "Bien", Q707&gt;=10, "Passable", Q707&lt;10, "Insuffisant")</f>
        <v>Très bien</v>
      </c>
    </row>
    <row r="708" spans="1:18">
      <c r="A708" t="s">
        <v>1023</v>
      </c>
      <c r="B708" t="s">
        <v>625</v>
      </c>
      <c r="C708" t="s">
        <v>20</v>
      </c>
      <c r="D708" t="s">
        <v>26</v>
      </c>
      <c r="E708" t="s">
        <v>48</v>
      </c>
      <c r="F708">
        <v>13.57</v>
      </c>
      <c r="G708">
        <v>16.05</v>
      </c>
      <c r="H708">
        <v>16.079999999999998</v>
      </c>
      <c r="I708">
        <v>15.34</v>
      </c>
      <c r="J708" s="4">
        <v>0.65720000000000001</v>
      </c>
      <c r="K708">
        <v>130000</v>
      </c>
      <c r="L708" s="2">
        <v>46179</v>
      </c>
      <c r="M708" t="str">
        <f t="shared" si="55"/>
        <v>Admis</v>
      </c>
      <c r="N708" t="str">
        <f t="shared" si="56"/>
        <v>Non Eligible</v>
      </c>
      <c r="O708" t="str">
        <f t="shared" si="57"/>
        <v>RAS</v>
      </c>
      <c r="P708" t="str">
        <f t="shared" si="58"/>
        <v>Hors Data</v>
      </c>
      <c r="Q708">
        <f t="shared" si="59"/>
        <v>15.260000000000002</v>
      </c>
      <c r="R708" t="str" cm="1">
        <f t="array" ref="R708">_xlfn.IFS(Q708&gt;=16, "Excellent",Q708&gt;=14, "Très bien", Q708&gt;=12, "Bien", Q708&gt;=10, "Passable", Q708&lt;10, "Insuffisant")</f>
        <v>Très bien</v>
      </c>
    </row>
    <row r="709" spans="1:18">
      <c r="A709" t="s">
        <v>1024</v>
      </c>
      <c r="B709" t="s">
        <v>184</v>
      </c>
      <c r="C709" t="s">
        <v>25</v>
      </c>
      <c r="D709" t="s">
        <v>38</v>
      </c>
      <c r="E709" t="s">
        <v>35</v>
      </c>
      <c r="F709">
        <v>14.59</v>
      </c>
      <c r="G709">
        <v>3.61</v>
      </c>
      <c r="H709">
        <v>12.51</v>
      </c>
      <c r="I709">
        <v>9.0500000000000007</v>
      </c>
      <c r="J709" s="4">
        <v>0.83020000000000005</v>
      </c>
      <c r="K709">
        <v>80000</v>
      </c>
      <c r="L709" s="2">
        <v>46015</v>
      </c>
      <c r="M709" t="str">
        <f t="shared" si="55"/>
        <v>Admis</v>
      </c>
      <c r="N709" t="str">
        <f t="shared" si="56"/>
        <v>Eligible</v>
      </c>
      <c r="O709" t="str">
        <f t="shared" si="57"/>
        <v>RAS</v>
      </c>
      <c r="P709" t="str">
        <f t="shared" si="58"/>
        <v>Hors Data</v>
      </c>
      <c r="Q709">
        <f t="shared" si="59"/>
        <v>9.9400000000000013</v>
      </c>
      <c r="R709" t="str" cm="1">
        <f t="array" ref="R709">_xlfn.IFS(Q709&gt;=16, "Excellent",Q709&gt;=14, "Très bien", Q709&gt;=12, "Bien", Q709&gt;=10, "Passable", Q709&lt;10, "Insuffisant")</f>
        <v>Insuffisant</v>
      </c>
    </row>
    <row r="710" spans="1:18">
      <c r="A710" t="s">
        <v>1025</v>
      </c>
      <c r="B710" t="s">
        <v>258</v>
      </c>
      <c r="C710" t="s">
        <v>20</v>
      </c>
      <c r="D710" t="s">
        <v>34</v>
      </c>
      <c r="E710" t="s">
        <v>35</v>
      </c>
      <c r="F710">
        <v>7.44</v>
      </c>
      <c r="G710">
        <v>10.86</v>
      </c>
      <c r="H710">
        <v>8</v>
      </c>
      <c r="I710">
        <v>8.4600000000000009</v>
      </c>
      <c r="J710" s="4">
        <v>0.8266</v>
      </c>
      <c r="K710">
        <v>130000</v>
      </c>
      <c r="L710" s="2">
        <v>46070</v>
      </c>
      <c r="M710" t="str">
        <f t="shared" si="55"/>
        <v>Non admis</v>
      </c>
      <c r="N710" t="str">
        <f t="shared" si="56"/>
        <v>Non Eligible</v>
      </c>
      <c r="O710" t="str">
        <f t="shared" si="57"/>
        <v>A surveiller</v>
      </c>
      <c r="P710" t="str">
        <f t="shared" si="58"/>
        <v>Hors Data</v>
      </c>
      <c r="Q710">
        <f t="shared" si="59"/>
        <v>8.6900000000000013</v>
      </c>
      <c r="R710" t="str" cm="1">
        <f t="array" ref="R710">_xlfn.IFS(Q710&gt;=16, "Excellent",Q710&gt;=14, "Très bien", Q710&gt;=12, "Bien", Q710&gt;=10, "Passable", Q710&lt;10, "Insuffisant")</f>
        <v>Insuffisant</v>
      </c>
    </row>
    <row r="711" spans="1:18">
      <c r="A711" t="s">
        <v>1026</v>
      </c>
      <c r="B711" t="s">
        <v>555</v>
      </c>
      <c r="C711" t="s">
        <v>20</v>
      </c>
      <c r="D711" t="s">
        <v>26</v>
      </c>
      <c r="E711" t="s">
        <v>48</v>
      </c>
      <c r="F711">
        <v>13.99</v>
      </c>
      <c r="G711">
        <v>20</v>
      </c>
      <c r="H711">
        <v>15.03</v>
      </c>
      <c r="I711">
        <v>15.5</v>
      </c>
      <c r="J711" s="4">
        <v>0.8448</v>
      </c>
      <c r="K711">
        <v>50000</v>
      </c>
      <c r="L711" s="2">
        <v>45720</v>
      </c>
      <c r="M711" t="str">
        <f t="shared" si="55"/>
        <v>Admis</v>
      </c>
      <c r="N711" t="str">
        <f t="shared" si="56"/>
        <v>Eligible</v>
      </c>
      <c r="O711" t="str">
        <f t="shared" si="57"/>
        <v>RAS</v>
      </c>
      <c r="P711" t="str">
        <f t="shared" si="58"/>
        <v>Hors Data</v>
      </c>
      <c r="Q711">
        <f t="shared" si="59"/>
        <v>16.130000000000003</v>
      </c>
      <c r="R711" t="str" cm="1">
        <f t="array" ref="R711">_xlfn.IFS(Q711&gt;=16, "Excellent",Q711&gt;=14, "Très bien", Q711&gt;=12, "Bien", Q711&gt;=10, "Passable", Q711&lt;10, "Insuffisant")</f>
        <v>Excellent</v>
      </c>
    </row>
    <row r="712" spans="1:18">
      <c r="A712" t="s">
        <v>1027</v>
      </c>
      <c r="B712" t="s">
        <v>224</v>
      </c>
      <c r="C712" t="s">
        <v>25</v>
      </c>
      <c r="D712" t="s">
        <v>38</v>
      </c>
      <c r="E712" t="s">
        <v>22</v>
      </c>
      <c r="F712">
        <v>10.65</v>
      </c>
      <c r="G712">
        <v>10.53</v>
      </c>
      <c r="H712">
        <v>15.47</v>
      </c>
      <c r="I712">
        <v>16.68</v>
      </c>
      <c r="J712" s="4">
        <v>0.87219999999999998</v>
      </c>
      <c r="K712">
        <v>75000</v>
      </c>
      <c r="L712" s="2">
        <v>46115</v>
      </c>
      <c r="M712" t="str">
        <f t="shared" si="55"/>
        <v>Admis</v>
      </c>
      <c r="N712" t="str">
        <f t="shared" si="56"/>
        <v>Non Eligible</v>
      </c>
      <c r="O712" t="str">
        <f t="shared" si="57"/>
        <v>RAS</v>
      </c>
      <c r="P712" t="str">
        <f t="shared" si="58"/>
        <v>Data</v>
      </c>
      <c r="Q712">
        <f t="shared" si="59"/>
        <v>13.3325</v>
      </c>
      <c r="R712" t="str" cm="1">
        <f t="array" ref="R712">_xlfn.IFS(Q712&gt;=16, "Excellent",Q712&gt;=14, "Très bien", Q712&gt;=12, "Bien", Q712&gt;=10, "Passable", Q712&lt;10, "Insuffisant")</f>
        <v>Bien</v>
      </c>
    </row>
    <row r="713" spans="1:18">
      <c r="A713" t="s">
        <v>1028</v>
      </c>
      <c r="B713" t="s">
        <v>113</v>
      </c>
      <c r="C713" t="s">
        <v>25</v>
      </c>
      <c r="D713" t="s">
        <v>34</v>
      </c>
      <c r="E713" t="s">
        <v>35</v>
      </c>
      <c r="F713">
        <v>8.02</v>
      </c>
      <c r="G713">
        <v>15.21</v>
      </c>
      <c r="H713">
        <v>10.88</v>
      </c>
      <c r="I713">
        <v>7.31</v>
      </c>
      <c r="J713" s="4">
        <v>0.96599999999999997</v>
      </c>
      <c r="K713">
        <v>75000</v>
      </c>
      <c r="L713" s="2">
        <v>45829</v>
      </c>
      <c r="M713" t="str">
        <f t="shared" si="55"/>
        <v>Admis</v>
      </c>
      <c r="N713" t="str">
        <f t="shared" si="56"/>
        <v>Non Eligible</v>
      </c>
      <c r="O713" t="str">
        <f t="shared" si="57"/>
        <v>A surveiller</v>
      </c>
      <c r="P713" t="str">
        <f t="shared" si="58"/>
        <v>Hors Data</v>
      </c>
      <c r="Q713">
        <f t="shared" si="59"/>
        <v>10.355</v>
      </c>
      <c r="R713" t="str" cm="1">
        <f t="array" ref="R713">_xlfn.IFS(Q713&gt;=16, "Excellent",Q713&gt;=14, "Très bien", Q713&gt;=12, "Bien", Q713&gt;=10, "Passable", Q713&lt;10, "Insuffisant")</f>
        <v>Passable</v>
      </c>
    </row>
    <row r="714" spans="1:18">
      <c r="A714" t="s">
        <v>1029</v>
      </c>
      <c r="B714" t="s">
        <v>79</v>
      </c>
      <c r="C714" t="s">
        <v>25</v>
      </c>
      <c r="D714" t="s">
        <v>21</v>
      </c>
      <c r="E714" t="s">
        <v>22</v>
      </c>
      <c r="F714">
        <v>10.74</v>
      </c>
      <c r="G714">
        <v>7.02</v>
      </c>
      <c r="H714">
        <v>11.92</v>
      </c>
      <c r="I714">
        <v>11.78</v>
      </c>
      <c r="J714" s="4">
        <v>0.76700000000000002</v>
      </c>
      <c r="K714">
        <v>100000</v>
      </c>
      <c r="L714" s="2">
        <v>45578</v>
      </c>
      <c r="M714" t="str">
        <f t="shared" si="55"/>
        <v>Admis</v>
      </c>
      <c r="N714" t="str">
        <f t="shared" si="56"/>
        <v>Non Eligible</v>
      </c>
      <c r="O714" t="str">
        <f t="shared" si="57"/>
        <v>RAS</v>
      </c>
      <c r="P714" t="str">
        <f t="shared" si="58"/>
        <v>Data</v>
      </c>
      <c r="Q714">
        <f t="shared" si="59"/>
        <v>10.365</v>
      </c>
      <c r="R714" t="str" cm="1">
        <f t="array" ref="R714">_xlfn.IFS(Q714&gt;=16, "Excellent",Q714&gt;=14, "Très bien", Q714&gt;=12, "Bien", Q714&gt;=10, "Passable", Q714&lt;10, "Insuffisant")</f>
        <v>Passable</v>
      </c>
    </row>
    <row r="715" spans="1:18">
      <c r="A715" t="s">
        <v>1030</v>
      </c>
      <c r="B715" t="s">
        <v>436</v>
      </c>
      <c r="C715" t="s">
        <v>25</v>
      </c>
      <c r="D715" t="s">
        <v>53</v>
      </c>
      <c r="E715" t="s">
        <v>48</v>
      </c>
      <c r="F715">
        <v>6.71</v>
      </c>
      <c r="G715">
        <v>11.76</v>
      </c>
      <c r="H715">
        <v>6.56</v>
      </c>
      <c r="I715">
        <v>8.14</v>
      </c>
      <c r="J715" s="4">
        <v>0.99</v>
      </c>
      <c r="K715">
        <v>90000</v>
      </c>
      <c r="L715" s="2">
        <v>45792</v>
      </c>
      <c r="M715" t="str">
        <f t="shared" si="55"/>
        <v>Non admis</v>
      </c>
      <c r="N715" t="str">
        <f t="shared" si="56"/>
        <v>Non Eligible</v>
      </c>
      <c r="O715" t="str">
        <f t="shared" si="57"/>
        <v>A surveiller</v>
      </c>
      <c r="P715" t="str">
        <f t="shared" si="58"/>
        <v>Hors Data</v>
      </c>
      <c r="Q715">
        <f t="shared" si="59"/>
        <v>8.2925000000000004</v>
      </c>
      <c r="R715" t="str" cm="1">
        <f t="array" ref="R715">_xlfn.IFS(Q715&gt;=16, "Excellent",Q715&gt;=14, "Très bien", Q715&gt;=12, "Bien", Q715&gt;=10, "Passable", Q715&lt;10, "Insuffisant")</f>
        <v>Insuffisant</v>
      </c>
    </row>
    <row r="716" spans="1:18">
      <c r="A716" t="s">
        <v>1031</v>
      </c>
      <c r="B716" t="s">
        <v>1009</v>
      </c>
      <c r="C716" t="s">
        <v>25</v>
      </c>
      <c r="D716" t="s">
        <v>21</v>
      </c>
      <c r="E716" t="s">
        <v>48</v>
      </c>
      <c r="F716">
        <v>11.32</v>
      </c>
      <c r="G716">
        <v>11.01</v>
      </c>
      <c r="H716">
        <v>11</v>
      </c>
      <c r="I716">
        <v>12.64</v>
      </c>
      <c r="J716" s="4">
        <v>0.89849999999999997</v>
      </c>
      <c r="K716">
        <v>85000</v>
      </c>
      <c r="L716" s="2">
        <v>45780</v>
      </c>
      <c r="M716" t="str">
        <f t="shared" si="55"/>
        <v>Admis</v>
      </c>
      <c r="N716" t="str">
        <f t="shared" si="56"/>
        <v>Non Eligible</v>
      </c>
      <c r="O716" t="str">
        <f t="shared" si="57"/>
        <v>RAS</v>
      </c>
      <c r="P716" t="str">
        <f t="shared" si="58"/>
        <v>Hors Data</v>
      </c>
      <c r="Q716">
        <f t="shared" si="59"/>
        <v>11.4925</v>
      </c>
      <c r="R716" t="str" cm="1">
        <f t="array" ref="R716">_xlfn.IFS(Q716&gt;=16, "Excellent",Q716&gt;=14, "Très bien", Q716&gt;=12, "Bien", Q716&gt;=10, "Passable", Q716&lt;10, "Insuffisant")</f>
        <v>Passable</v>
      </c>
    </row>
    <row r="717" spans="1:18">
      <c r="A717" t="s">
        <v>1032</v>
      </c>
      <c r="B717" t="s">
        <v>912</v>
      </c>
      <c r="C717" t="s">
        <v>25</v>
      </c>
      <c r="D717" t="s">
        <v>21</v>
      </c>
      <c r="E717" t="s">
        <v>35</v>
      </c>
      <c r="F717">
        <v>9.36</v>
      </c>
      <c r="G717">
        <v>7.22</v>
      </c>
      <c r="H717">
        <v>11.8</v>
      </c>
      <c r="I717">
        <v>11.8</v>
      </c>
      <c r="J717" s="4">
        <v>0.71240000000000003</v>
      </c>
      <c r="K717">
        <v>70000</v>
      </c>
      <c r="L717" s="2">
        <v>45901</v>
      </c>
      <c r="M717" t="str">
        <f t="shared" si="55"/>
        <v>Admis</v>
      </c>
      <c r="N717" t="str">
        <f t="shared" si="56"/>
        <v>Non Eligible</v>
      </c>
      <c r="O717" t="str">
        <f t="shared" si="57"/>
        <v>A surveiller</v>
      </c>
      <c r="P717" t="str">
        <f t="shared" si="58"/>
        <v>Hors Data</v>
      </c>
      <c r="Q717">
        <f t="shared" si="59"/>
        <v>10.045</v>
      </c>
      <c r="R717" t="str" cm="1">
        <f t="array" ref="R717">_xlfn.IFS(Q717&gt;=16, "Excellent",Q717&gt;=14, "Très bien", Q717&gt;=12, "Bien", Q717&gt;=10, "Passable", Q717&lt;10, "Insuffisant")</f>
        <v>Passable</v>
      </c>
    </row>
    <row r="718" spans="1:18">
      <c r="A718" t="s">
        <v>1033</v>
      </c>
      <c r="B718" t="s">
        <v>1034</v>
      </c>
      <c r="C718" t="s">
        <v>25</v>
      </c>
      <c r="D718" t="s">
        <v>53</v>
      </c>
      <c r="E718" t="s">
        <v>22</v>
      </c>
      <c r="F718">
        <v>10.02</v>
      </c>
      <c r="G718">
        <v>18.32</v>
      </c>
      <c r="H718">
        <v>16.43</v>
      </c>
      <c r="I718">
        <v>20</v>
      </c>
      <c r="J718" s="4">
        <v>0.88649999999999995</v>
      </c>
      <c r="K718">
        <v>85000</v>
      </c>
      <c r="L718" s="2">
        <v>45721</v>
      </c>
      <c r="M718" t="str">
        <f t="shared" si="55"/>
        <v>Admis</v>
      </c>
      <c r="N718" t="str">
        <f t="shared" si="56"/>
        <v>Non Eligible</v>
      </c>
      <c r="O718" t="str">
        <f t="shared" si="57"/>
        <v>RAS</v>
      </c>
      <c r="P718" t="str">
        <f t="shared" si="58"/>
        <v>Data</v>
      </c>
      <c r="Q718">
        <f t="shared" si="59"/>
        <v>16.192499999999999</v>
      </c>
      <c r="R718" t="str" cm="1">
        <f t="array" ref="R718">_xlfn.IFS(Q718&gt;=16, "Excellent",Q718&gt;=14, "Très bien", Q718&gt;=12, "Bien", Q718&gt;=10, "Passable", Q718&lt;10, "Insuffisant")</f>
        <v>Excellent</v>
      </c>
    </row>
    <row r="719" spans="1:18">
      <c r="A719" t="s">
        <v>1035</v>
      </c>
      <c r="B719" t="s">
        <v>1036</v>
      </c>
      <c r="C719" t="s">
        <v>20</v>
      </c>
      <c r="D719" t="s">
        <v>41</v>
      </c>
      <c r="E719" t="s">
        <v>35</v>
      </c>
      <c r="F719">
        <v>9.41</v>
      </c>
      <c r="G719">
        <v>14.64</v>
      </c>
      <c r="H719">
        <v>12.35</v>
      </c>
      <c r="I719">
        <v>13.07</v>
      </c>
      <c r="J719" s="4">
        <v>0.92649999999999999</v>
      </c>
      <c r="K719">
        <v>70000</v>
      </c>
      <c r="L719" s="2">
        <v>45859</v>
      </c>
      <c r="M719" t="str">
        <f t="shared" si="55"/>
        <v>Admis</v>
      </c>
      <c r="N719" t="str">
        <f t="shared" si="56"/>
        <v>Non Eligible</v>
      </c>
      <c r="O719" t="str">
        <f t="shared" si="57"/>
        <v>A surveiller</v>
      </c>
      <c r="P719" t="str">
        <f t="shared" si="58"/>
        <v>Hors Data</v>
      </c>
      <c r="Q719">
        <f t="shared" si="59"/>
        <v>12.3675</v>
      </c>
      <c r="R719" t="str" cm="1">
        <f t="array" ref="R719">_xlfn.IFS(Q719&gt;=16, "Excellent",Q719&gt;=14, "Très bien", Q719&gt;=12, "Bien", Q719&gt;=10, "Passable", Q719&lt;10, "Insuffisant")</f>
        <v>Bien</v>
      </c>
    </row>
    <row r="720" spans="1:18">
      <c r="A720" t="s">
        <v>1037</v>
      </c>
      <c r="B720" t="s">
        <v>1038</v>
      </c>
      <c r="C720" t="s">
        <v>20</v>
      </c>
      <c r="D720" t="s">
        <v>34</v>
      </c>
      <c r="E720" t="s">
        <v>27</v>
      </c>
      <c r="F720">
        <v>14.25</v>
      </c>
      <c r="G720">
        <v>16.489999999999998</v>
      </c>
      <c r="H720">
        <v>17.14</v>
      </c>
      <c r="I720">
        <v>14.29</v>
      </c>
      <c r="J720" s="4">
        <v>0.93859999999999999</v>
      </c>
      <c r="K720">
        <v>85000</v>
      </c>
      <c r="L720" s="2">
        <v>45835</v>
      </c>
      <c r="M720" t="str">
        <f t="shared" si="55"/>
        <v>Admis</v>
      </c>
      <c r="N720" t="str">
        <f t="shared" si="56"/>
        <v>Eligible</v>
      </c>
      <c r="O720" t="str">
        <f t="shared" si="57"/>
        <v>RAS</v>
      </c>
      <c r="P720" t="str">
        <f t="shared" si="58"/>
        <v>Hors Data</v>
      </c>
      <c r="Q720">
        <f t="shared" si="59"/>
        <v>15.542499999999999</v>
      </c>
      <c r="R720" t="str" cm="1">
        <f t="array" ref="R720">_xlfn.IFS(Q720&gt;=16, "Excellent",Q720&gt;=14, "Très bien", Q720&gt;=12, "Bien", Q720&gt;=10, "Passable", Q720&lt;10, "Insuffisant")</f>
        <v>Très bien</v>
      </c>
    </row>
    <row r="721" spans="1:18">
      <c r="A721" t="s">
        <v>1039</v>
      </c>
      <c r="B721" t="s">
        <v>557</v>
      </c>
      <c r="C721" t="s">
        <v>25</v>
      </c>
      <c r="D721" t="s">
        <v>53</v>
      </c>
      <c r="E721" t="s">
        <v>22</v>
      </c>
      <c r="F721">
        <v>10.66</v>
      </c>
      <c r="G721">
        <v>13.68</v>
      </c>
      <c r="H721">
        <v>13.74</v>
      </c>
      <c r="I721">
        <v>12.42</v>
      </c>
      <c r="J721" s="4">
        <v>0.80149999999999999</v>
      </c>
      <c r="K721">
        <v>75000</v>
      </c>
      <c r="L721" s="2">
        <v>45764</v>
      </c>
      <c r="M721" t="str">
        <f t="shared" si="55"/>
        <v>Admis</v>
      </c>
      <c r="N721" t="str">
        <f t="shared" si="56"/>
        <v>Non Eligible</v>
      </c>
      <c r="O721" t="str">
        <f t="shared" si="57"/>
        <v>RAS</v>
      </c>
      <c r="P721" t="str">
        <f t="shared" si="58"/>
        <v>Data</v>
      </c>
      <c r="Q721">
        <f t="shared" si="59"/>
        <v>12.625</v>
      </c>
      <c r="R721" t="str" cm="1">
        <f t="array" ref="R721">_xlfn.IFS(Q721&gt;=16, "Excellent",Q721&gt;=14, "Très bien", Q721&gt;=12, "Bien", Q721&gt;=10, "Passable", Q721&lt;10, "Insuffisant")</f>
        <v>Bien</v>
      </c>
    </row>
    <row r="722" spans="1:18">
      <c r="A722" t="s">
        <v>1040</v>
      </c>
      <c r="B722" t="s">
        <v>210</v>
      </c>
      <c r="C722" t="s">
        <v>20</v>
      </c>
      <c r="D722" t="s">
        <v>41</v>
      </c>
      <c r="E722" t="s">
        <v>22</v>
      </c>
      <c r="F722">
        <v>17.54</v>
      </c>
      <c r="G722">
        <v>13.69</v>
      </c>
      <c r="H722">
        <v>15.61</v>
      </c>
      <c r="I722">
        <v>13.32</v>
      </c>
      <c r="J722" s="4">
        <v>0.55000000000000004</v>
      </c>
      <c r="K722">
        <v>120000</v>
      </c>
      <c r="L722" s="2">
        <v>46023</v>
      </c>
      <c r="M722" t="str">
        <f t="shared" si="55"/>
        <v>Admis</v>
      </c>
      <c r="N722" t="str">
        <f t="shared" si="56"/>
        <v>Non Eligible</v>
      </c>
      <c r="O722" t="str">
        <f t="shared" si="57"/>
        <v>RAS</v>
      </c>
      <c r="P722" t="str">
        <f t="shared" si="58"/>
        <v>Data</v>
      </c>
      <c r="Q722">
        <f t="shared" si="59"/>
        <v>15.04</v>
      </c>
      <c r="R722" t="str" cm="1">
        <f t="array" ref="R722">_xlfn.IFS(Q722&gt;=16, "Excellent",Q722&gt;=14, "Très bien", Q722&gt;=12, "Bien", Q722&gt;=10, "Passable", Q722&lt;10, "Insuffisant")</f>
        <v>Très bien</v>
      </c>
    </row>
    <row r="723" spans="1:18">
      <c r="A723" t="s">
        <v>1041</v>
      </c>
      <c r="B723" t="s">
        <v>805</v>
      </c>
      <c r="C723" t="s">
        <v>25</v>
      </c>
      <c r="D723" t="s">
        <v>41</v>
      </c>
      <c r="E723" t="s">
        <v>22</v>
      </c>
      <c r="F723">
        <v>11.75</v>
      </c>
      <c r="G723">
        <v>9.41</v>
      </c>
      <c r="H723">
        <v>12.77</v>
      </c>
      <c r="I723">
        <v>14.89</v>
      </c>
      <c r="J723" s="4">
        <v>0.9073</v>
      </c>
      <c r="K723">
        <v>110000</v>
      </c>
      <c r="L723" s="2">
        <v>45749</v>
      </c>
      <c r="M723" t="str">
        <f t="shared" si="55"/>
        <v>Admis</v>
      </c>
      <c r="N723" t="str">
        <f t="shared" si="56"/>
        <v>Non Eligible</v>
      </c>
      <c r="O723" t="str">
        <f t="shared" si="57"/>
        <v>RAS</v>
      </c>
      <c r="P723" t="str">
        <f t="shared" si="58"/>
        <v>Data</v>
      </c>
      <c r="Q723">
        <f t="shared" si="59"/>
        <v>12.205</v>
      </c>
      <c r="R723" t="str" cm="1">
        <f t="array" ref="R723">_xlfn.IFS(Q723&gt;=16, "Excellent",Q723&gt;=14, "Très bien", Q723&gt;=12, "Bien", Q723&gt;=10, "Passable", Q723&lt;10, "Insuffisant")</f>
        <v>Bien</v>
      </c>
    </row>
    <row r="724" spans="1:18">
      <c r="A724" t="s">
        <v>1042</v>
      </c>
      <c r="B724" t="s">
        <v>455</v>
      </c>
      <c r="C724" t="s">
        <v>25</v>
      </c>
      <c r="D724" t="s">
        <v>53</v>
      </c>
      <c r="E724" t="s">
        <v>27</v>
      </c>
      <c r="F724">
        <v>17.88</v>
      </c>
      <c r="G724">
        <v>17.87</v>
      </c>
      <c r="H724">
        <v>14.9</v>
      </c>
      <c r="I724">
        <v>12.91</v>
      </c>
      <c r="J724" s="4">
        <v>0.55000000000000004</v>
      </c>
      <c r="K724">
        <v>60000</v>
      </c>
      <c r="L724" s="2">
        <v>46072</v>
      </c>
      <c r="M724" t="str">
        <f t="shared" si="55"/>
        <v>Admis</v>
      </c>
      <c r="N724" t="str">
        <f t="shared" si="56"/>
        <v>Non Eligible</v>
      </c>
      <c r="O724" t="str">
        <f t="shared" si="57"/>
        <v>RAS</v>
      </c>
      <c r="P724" t="str">
        <f t="shared" si="58"/>
        <v>Hors Data</v>
      </c>
      <c r="Q724">
        <f t="shared" si="59"/>
        <v>15.89</v>
      </c>
      <c r="R724" t="str" cm="1">
        <f t="array" ref="R724">_xlfn.IFS(Q724&gt;=16, "Excellent",Q724&gt;=14, "Très bien", Q724&gt;=12, "Bien", Q724&gt;=10, "Passable", Q724&lt;10, "Insuffisant")</f>
        <v>Très bien</v>
      </c>
    </row>
    <row r="725" spans="1:18">
      <c r="A725" t="s">
        <v>1043</v>
      </c>
      <c r="B725" t="s">
        <v>496</v>
      </c>
      <c r="C725" t="s">
        <v>20</v>
      </c>
      <c r="D725" t="s">
        <v>53</v>
      </c>
      <c r="E725" t="s">
        <v>22</v>
      </c>
      <c r="F725">
        <v>11.96</v>
      </c>
      <c r="G725">
        <v>16.25</v>
      </c>
      <c r="H725">
        <v>9.91</v>
      </c>
      <c r="I725">
        <v>10.09</v>
      </c>
      <c r="J725" s="4">
        <v>0.91900000000000004</v>
      </c>
      <c r="K725">
        <v>130000</v>
      </c>
      <c r="L725" s="2">
        <v>45711</v>
      </c>
      <c r="M725" t="str">
        <f t="shared" si="55"/>
        <v>Non admis</v>
      </c>
      <c r="N725" t="str">
        <f t="shared" si="56"/>
        <v>Non Eligible</v>
      </c>
      <c r="O725" t="str">
        <f t="shared" si="57"/>
        <v>A surveiller</v>
      </c>
      <c r="P725" t="str">
        <f t="shared" si="58"/>
        <v>Data</v>
      </c>
      <c r="Q725">
        <f t="shared" si="59"/>
        <v>12.052500000000002</v>
      </c>
      <c r="R725" t="str" cm="1">
        <f t="array" ref="R725">_xlfn.IFS(Q725&gt;=16, "Excellent",Q725&gt;=14, "Très bien", Q725&gt;=12, "Bien", Q725&gt;=10, "Passable", Q725&lt;10, "Insuffisant")</f>
        <v>Bien</v>
      </c>
    </row>
    <row r="726" spans="1:18">
      <c r="A726" t="s">
        <v>1044</v>
      </c>
      <c r="B726" t="s">
        <v>984</v>
      </c>
      <c r="C726" t="s">
        <v>25</v>
      </c>
      <c r="D726" t="s">
        <v>21</v>
      </c>
      <c r="E726" t="s">
        <v>48</v>
      </c>
      <c r="F726">
        <v>9</v>
      </c>
      <c r="G726">
        <v>11.98</v>
      </c>
      <c r="H726">
        <v>7.99</v>
      </c>
      <c r="I726">
        <v>10</v>
      </c>
      <c r="J726" s="4">
        <v>0.86519999999999997</v>
      </c>
      <c r="K726">
        <v>100000</v>
      </c>
      <c r="L726" s="2">
        <v>46141</v>
      </c>
      <c r="M726" t="str">
        <f t="shared" si="55"/>
        <v>Non admis</v>
      </c>
      <c r="N726" t="str">
        <f t="shared" si="56"/>
        <v>Non Eligible</v>
      </c>
      <c r="O726" t="str">
        <f t="shared" si="57"/>
        <v>A surveiller</v>
      </c>
      <c r="P726" t="str">
        <f t="shared" si="58"/>
        <v>Hors Data</v>
      </c>
      <c r="Q726">
        <f t="shared" si="59"/>
        <v>9.7424999999999997</v>
      </c>
      <c r="R726" t="str" cm="1">
        <f t="array" ref="R726">_xlfn.IFS(Q726&gt;=16, "Excellent",Q726&gt;=14, "Très bien", Q726&gt;=12, "Bien", Q726&gt;=10, "Passable", Q726&lt;10, "Insuffisant")</f>
        <v>Insuffisant</v>
      </c>
    </row>
    <row r="727" spans="1:18">
      <c r="A727" t="s">
        <v>1045</v>
      </c>
      <c r="B727" t="s">
        <v>1046</v>
      </c>
      <c r="C727" t="s">
        <v>20</v>
      </c>
      <c r="D727" t="s">
        <v>34</v>
      </c>
      <c r="E727" t="s">
        <v>27</v>
      </c>
      <c r="F727">
        <v>7.79</v>
      </c>
      <c r="G727">
        <v>5.66</v>
      </c>
      <c r="H727">
        <v>9.8699999999999992</v>
      </c>
      <c r="I727">
        <v>12.23</v>
      </c>
      <c r="J727" s="4">
        <v>0.83299999999999996</v>
      </c>
      <c r="K727">
        <v>75000</v>
      </c>
      <c r="L727" s="2">
        <v>45791</v>
      </c>
      <c r="M727" t="str">
        <f t="shared" si="55"/>
        <v>Non admis</v>
      </c>
      <c r="N727" t="str">
        <f t="shared" si="56"/>
        <v>Non Eligible</v>
      </c>
      <c r="O727" t="str">
        <f t="shared" si="57"/>
        <v>A surveiller</v>
      </c>
      <c r="P727" t="str">
        <f t="shared" si="58"/>
        <v>Hors Data</v>
      </c>
      <c r="Q727">
        <f t="shared" si="59"/>
        <v>8.8874999999999993</v>
      </c>
      <c r="R727" t="str" cm="1">
        <f t="array" ref="R727">_xlfn.IFS(Q727&gt;=16, "Excellent",Q727&gt;=14, "Très bien", Q727&gt;=12, "Bien", Q727&gt;=10, "Passable", Q727&lt;10, "Insuffisant")</f>
        <v>Insuffisant</v>
      </c>
    </row>
    <row r="728" spans="1:18">
      <c r="A728" t="s">
        <v>1047</v>
      </c>
      <c r="B728" t="s">
        <v>159</v>
      </c>
      <c r="C728" t="s">
        <v>25</v>
      </c>
      <c r="D728" t="s">
        <v>26</v>
      </c>
      <c r="E728" t="s">
        <v>48</v>
      </c>
      <c r="F728">
        <v>11.88</v>
      </c>
      <c r="G728">
        <v>9.08</v>
      </c>
      <c r="H728">
        <v>10.48</v>
      </c>
      <c r="I728">
        <v>7.07</v>
      </c>
      <c r="J728" s="4">
        <v>0.74470000000000003</v>
      </c>
      <c r="K728">
        <v>85000</v>
      </c>
      <c r="L728" s="2">
        <v>45564</v>
      </c>
      <c r="M728" t="str">
        <f t="shared" si="55"/>
        <v>Admis</v>
      </c>
      <c r="N728" t="str">
        <f t="shared" si="56"/>
        <v>Non Eligible</v>
      </c>
      <c r="O728" t="str">
        <f t="shared" si="57"/>
        <v>RAS</v>
      </c>
      <c r="P728" t="str">
        <f t="shared" si="58"/>
        <v>Hors Data</v>
      </c>
      <c r="Q728">
        <f t="shared" si="59"/>
        <v>9.6275000000000013</v>
      </c>
      <c r="R728" t="str" cm="1">
        <f t="array" ref="R728">_xlfn.IFS(Q728&gt;=16, "Excellent",Q728&gt;=14, "Très bien", Q728&gt;=12, "Bien", Q728&gt;=10, "Passable", Q728&lt;10, "Insuffisant")</f>
        <v>Insuffisant</v>
      </c>
    </row>
    <row r="729" spans="1:18">
      <c r="A729" t="s">
        <v>1048</v>
      </c>
      <c r="B729" t="s">
        <v>202</v>
      </c>
      <c r="C729" t="s">
        <v>20</v>
      </c>
      <c r="D729" t="s">
        <v>21</v>
      </c>
      <c r="E729" t="s">
        <v>35</v>
      </c>
      <c r="F729">
        <v>8.32</v>
      </c>
      <c r="G729">
        <v>8.5399999999999991</v>
      </c>
      <c r="H729">
        <v>10.41</v>
      </c>
      <c r="I729">
        <v>12.93</v>
      </c>
      <c r="J729" s="4">
        <v>0.90090000000000003</v>
      </c>
      <c r="K729">
        <v>70000</v>
      </c>
      <c r="L729" s="2">
        <v>45640</v>
      </c>
      <c r="M729" t="str">
        <f t="shared" si="55"/>
        <v>Admis</v>
      </c>
      <c r="N729" t="str">
        <f t="shared" si="56"/>
        <v>Non Eligible</v>
      </c>
      <c r="O729" t="str">
        <f t="shared" si="57"/>
        <v>A surveiller</v>
      </c>
      <c r="P729" t="str">
        <f t="shared" si="58"/>
        <v>Hors Data</v>
      </c>
      <c r="Q729">
        <f t="shared" si="59"/>
        <v>10.050000000000001</v>
      </c>
      <c r="R729" t="str" cm="1">
        <f t="array" ref="R729">_xlfn.IFS(Q729&gt;=16, "Excellent",Q729&gt;=14, "Très bien", Q729&gt;=12, "Bien", Q729&gt;=10, "Passable", Q729&lt;10, "Insuffisant")</f>
        <v>Passable</v>
      </c>
    </row>
    <row r="730" spans="1:18">
      <c r="A730" t="s">
        <v>1049</v>
      </c>
      <c r="B730" t="s">
        <v>1050</v>
      </c>
      <c r="C730" t="s">
        <v>20</v>
      </c>
      <c r="D730" t="s">
        <v>34</v>
      </c>
      <c r="E730" t="s">
        <v>22</v>
      </c>
      <c r="F730">
        <v>15.02</v>
      </c>
      <c r="G730">
        <v>11.54</v>
      </c>
      <c r="H730">
        <v>12.72</v>
      </c>
      <c r="I730">
        <v>14.24</v>
      </c>
      <c r="J730" s="4">
        <v>0.94320000000000004</v>
      </c>
      <c r="K730">
        <v>50000</v>
      </c>
      <c r="L730" s="2">
        <v>46100</v>
      </c>
      <c r="M730" t="str">
        <f t="shared" si="55"/>
        <v>Admis</v>
      </c>
      <c r="N730" t="str">
        <f t="shared" si="56"/>
        <v>Eligible</v>
      </c>
      <c r="O730" t="str">
        <f t="shared" si="57"/>
        <v>RAS</v>
      </c>
      <c r="P730" t="str">
        <f t="shared" si="58"/>
        <v>Data</v>
      </c>
      <c r="Q730">
        <f t="shared" si="59"/>
        <v>13.38</v>
      </c>
      <c r="R730" t="str" cm="1">
        <f t="array" ref="R730">_xlfn.IFS(Q730&gt;=16, "Excellent",Q730&gt;=14, "Très bien", Q730&gt;=12, "Bien", Q730&gt;=10, "Passable", Q730&lt;10, "Insuffisant")</f>
        <v>Bien</v>
      </c>
    </row>
    <row r="731" spans="1:18">
      <c r="A731" t="s">
        <v>1051</v>
      </c>
      <c r="B731" t="s">
        <v>323</v>
      </c>
      <c r="C731" t="s">
        <v>25</v>
      </c>
      <c r="D731" t="s">
        <v>53</v>
      </c>
      <c r="E731" t="s">
        <v>22</v>
      </c>
      <c r="F731">
        <v>11.68</v>
      </c>
      <c r="G731">
        <v>12.69</v>
      </c>
      <c r="H731">
        <v>8.74</v>
      </c>
      <c r="I731">
        <v>7.95</v>
      </c>
      <c r="J731" s="4">
        <v>0.71120000000000005</v>
      </c>
      <c r="K731">
        <v>80000</v>
      </c>
      <c r="L731" s="2">
        <v>46146</v>
      </c>
      <c r="M731" t="str">
        <f t="shared" si="55"/>
        <v>Non admis</v>
      </c>
      <c r="N731" t="str">
        <f t="shared" si="56"/>
        <v>Non Eligible</v>
      </c>
      <c r="O731" t="str">
        <f t="shared" si="57"/>
        <v>A surveiller</v>
      </c>
      <c r="P731" t="str">
        <f t="shared" si="58"/>
        <v>Data</v>
      </c>
      <c r="Q731">
        <f t="shared" si="59"/>
        <v>10.265000000000001</v>
      </c>
      <c r="R731" t="str" cm="1">
        <f t="array" ref="R731">_xlfn.IFS(Q731&gt;=16, "Excellent",Q731&gt;=14, "Très bien", Q731&gt;=12, "Bien", Q731&gt;=10, "Passable", Q731&lt;10, "Insuffisant")</f>
        <v>Passable</v>
      </c>
    </row>
    <row r="732" spans="1:18">
      <c r="A732" t="s">
        <v>1052</v>
      </c>
      <c r="B732" t="s">
        <v>651</v>
      </c>
      <c r="C732" t="s">
        <v>25</v>
      </c>
      <c r="D732" t="s">
        <v>34</v>
      </c>
      <c r="E732" t="s">
        <v>22</v>
      </c>
      <c r="F732">
        <v>18.07</v>
      </c>
      <c r="G732">
        <v>20</v>
      </c>
      <c r="H732">
        <v>20</v>
      </c>
      <c r="I732">
        <v>13.45</v>
      </c>
      <c r="J732" s="4">
        <v>0.88790000000000002</v>
      </c>
      <c r="K732">
        <v>110000</v>
      </c>
      <c r="L732" s="2">
        <v>45684</v>
      </c>
      <c r="M732" t="str">
        <f t="shared" si="55"/>
        <v>Admis</v>
      </c>
      <c r="N732" t="str">
        <f t="shared" si="56"/>
        <v>Eligible</v>
      </c>
      <c r="O732" t="str">
        <f t="shared" si="57"/>
        <v>RAS</v>
      </c>
      <c r="P732" t="str">
        <f t="shared" si="58"/>
        <v>Data</v>
      </c>
      <c r="Q732">
        <f t="shared" si="59"/>
        <v>17.88</v>
      </c>
      <c r="R732" t="str" cm="1">
        <f t="array" ref="R732">_xlfn.IFS(Q732&gt;=16, "Excellent",Q732&gt;=14, "Très bien", Q732&gt;=12, "Bien", Q732&gt;=10, "Passable", Q732&lt;10, "Insuffisant")</f>
        <v>Excellent</v>
      </c>
    </row>
    <row r="733" spans="1:18">
      <c r="A733" t="s">
        <v>1053</v>
      </c>
      <c r="B733" t="s">
        <v>246</v>
      </c>
      <c r="C733" t="s">
        <v>20</v>
      </c>
      <c r="D733" t="s">
        <v>41</v>
      </c>
      <c r="E733" t="s">
        <v>27</v>
      </c>
      <c r="F733">
        <v>10.82</v>
      </c>
      <c r="G733">
        <v>5.89</v>
      </c>
      <c r="H733">
        <v>7.79</v>
      </c>
      <c r="I733">
        <v>5.17</v>
      </c>
      <c r="J733" s="4">
        <v>0.74019999999999997</v>
      </c>
      <c r="K733">
        <v>75000</v>
      </c>
      <c r="L733" s="2">
        <v>45957</v>
      </c>
      <c r="M733" t="str">
        <f t="shared" si="55"/>
        <v>Non admis</v>
      </c>
      <c r="N733" t="str">
        <f t="shared" si="56"/>
        <v>Non Eligible</v>
      </c>
      <c r="O733" t="str">
        <f t="shared" si="57"/>
        <v>A surveiller</v>
      </c>
      <c r="P733" t="str">
        <f t="shared" si="58"/>
        <v>Hors Data</v>
      </c>
      <c r="Q733">
        <f t="shared" si="59"/>
        <v>7.4175000000000004</v>
      </c>
      <c r="R733" t="str" cm="1">
        <f t="array" ref="R733">_xlfn.IFS(Q733&gt;=16, "Excellent",Q733&gt;=14, "Très bien", Q733&gt;=12, "Bien", Q733&gt;=10, "Passable", Q733&lt;10, "Insuffisant")</f>
        <v>Insuffisant</v>
      </c>
    </row>
    <row r="734" spans="1:18">
      <c r="A734" t="s">
        <v>1054</v>
      </c>
      <c r="B734" t="s">
        <v>150</v>
      </c>
      <c r="C734" t="s">
        <v>25</v>
      </c>
      <c r="D734" t="s">
        <v>34</v>
      </c>
      <c r="E734" t="s">
        <v>22</v>
      </c>
      <c r="F734">
        <v>15.01</v>
      </c>
      <c r="G734">
        <v>16.18</v>
      </c>
      <c r="H734">
        <v>12.43</v>
      </c>
      <c r="I734">
        <v>13.93</v>
      </c>
      <c r="J734" s="4">
        <v>0.81210000000000004</v>
      </c>
      <c r="K734">
        <v>80000</v>
      </c>
      <c r="L734" s="2">
        <v>45938</v>
      </c>
      <c r="M734" t="str">
        <f t="shared" si="55"/>
        <v>Admis</v>
      </c>
      <c r="N734" t="str">
        <f t="shared" si="56"/>
        <v>Eligible</v>
      </c>
      <c r="O734" t="str">
        <f t="shared" si="57"/>
        <v>RAS</v>
      </c>
      <c r="P734" t="str">
        <f t="shared" si="58"/>
        <v>Data</v>
      </c>
      <c r="Q734">
        <f t="shared" si="59"/>
        <v>14.387499999999999</v>
      </c>
      <c r="R734" t="str" cm="1">
        <f t="array" ref="R734">_xlfn.IFS(Q734&gt;=16, "Excellent",Q734&gt;=14, "Très bien", Q734&gt;=12, "Bien", Q734&gt;=10, "Passable", Q734&lt;10, "Insuffisant")</f>
        <v>Très bien</v>
      </c>
    </row>
    <row r="735" spans="1:18">
      <c r="A735" t="s">
        <v>1055</v>
      </c>
      <c r="B735" t="s">
        <v>262</v>
      </c>
      <c r="C735" t="s">
        <v>25</v>
      </c>
      <c r="D735" t="s">
        <v>21</v>
      </c>
      <c r="E735" t="s">
        <v>22</v>
      </c>
      <c r="F735">
        <v>9.36</v>
      </c>
      <c r="G735">
        <v>12.06</v>
      </c>
      <c r="H735">
        <v>8.14</v>
      </c>
      <c r="I735">
        <v>10.1</v>
      </c>
      <c r="J735" s="4">
        <v>0.70140000000000002</v>
      </c>
      <c r="K735">
        <v>130000</v>
      </c>
      <c r="L735" s="2">
        <v>45629</v>
      </c>
      <c r="M735" t="str">
        <f t="shared" si="55"/>
        <v>Non admis</v>
      </c>
      <c r="N735" t="str">
        <f t="shared" si="56"/>
        <v>Non Eligible</v>
      </c>
      <c r="O735" t="str">
        <f t="shared" si="57"/>
        <v>A surveiller</v>
      </c>
      <c r="P735" t="str">
        <f t="shared" si="58"/>
        <v>Data</v>
      </c>
      <c r="Q735">
        <f t="shared" si="59"/>
        <v>9.9150000000000009</v>
      </c>
      <c r="R735" t="str" cm="1">
        <f t="array" ref="R735">_xlfn.IFS(Q735&gt;=16, "Excellent",Q735&gt;=14, "Très bien", Q735&gt;=12, "Bien", Q735&gt;=10, "Passable", Q735&lt;10, "Insuffisant")</f>
        <v>Insuffisant</v>
      </c>
    </row>
    <row r="736" spans="1:18">
      <c r="A736" t="s">
        <v>1056</v>
      </c>
      <c r="B736" t="s">
        <v>194</v>
      </c>
      <c r="C736" t="s">
        <v>20</v>
      </c>
      <c r="D736" t="s">
        <v>38</v>
      </c>
      <c r="E736" t="s">
        <v>27</v>
      </c>
      <c r="F736">
        <v>12.44</v>
      </c>
      <c r="G736">
        <v>11.31</v>
      </c>
      <c r="H736">
        <v>13.25</v>
      </c>
      <c r="I736">
        <v>13.41</v>
      </c>
      <c r="J736" s="4">
        <v>0.99739999999999995</v>
      </c>
      <c r="K736">
        <v>130000</v>
      </c>
      <c r="L736" s="2">
        <v>45852</v>
      </c>
      <c r="M736" t="str">
        <f t="shared" si="55"/>
        <v>Admis</v>
      </c>
      <c r="N736" t="str">
        <f t="shared" si="56"/>
        <v>Eligible</v>
      </c>
      <c r="O736" t="str">
        <f t="shared" si="57"/>
        <v>RAS</v>
      </c>
      <c r="P736" t="str">
        <f t="shared" si="58"/>
        <v>Hors Data</v>
      </c>
      <c r="Q736">
        <f t="shared" si="59"/>
        <v>12.602499999999999</v>
      </c>
      <c r="R736" t="str" cm="1">
        <f t="array" ref="R736">_xlfn.IFS(Q736&gt;=16, "Excellent",Q736&gt;=14, "Très bien", Q736&gt;=12, "Bien", Q736&gt;=10, "Passable", Q736&lt;10, "Insuffisant")</f>
        <v>Bien</v>
      </c>
    </row>
    <row r="737" spans="1:18">
      <c r="A737" t="s">
        <v>1057</v>
      </c>
      <c r="B737" t="s">
        <v>805</v>
      </c>
      <c r="C737" t="s">
        <v>25</v>
      </c>
      <c r="D737" t="s">
        <v>41</v>
      </c>
      <c r="E737" t="s">
        <v>35</v>
      </c>
      <c r="F737">
        <v>13.71</v>
      </c>
      <c r="G737">
        <v>13.92</v>
      </c>
      <c r="H737">
        <v>17.12</v>
      </c>
      <c r="I737">
        <v>12.59</v>
      </c>
      <c r="J737" s="4">
        <v>0.90329999999999999</v>
      </c>
      <c r="K737">
        <v>85000</v>
      </c>
      <c r="L737" s="2">
        <v>46021</v>
      </c>
      <c r="M737" t="str">
        <f t="shared" si="55"/>
        <v>Admis</v>
      </c>
      <c r="N737" t="str">
        <f t="shared" si="56"/>
        <v>Eligible</v>
      </c>
      <c r="O737" t="str">
        <f t="shared" si="57"/>
        <v>RAS</v>
      </c>
      <c r="P737" t="str">
        <f t="shared" si="58"/>
        <v>Hors Data</v>
      </c>
      <c r="Q737">
        <f t="shared" si="59"/>
        <v>14.335000000000001</v>
      </c>
      <c r="R737" t="str" cm="1">
        <f t="array" ref="R737">_xlfn.IFS(Q737&gt;=16, "Excellent",Q737&gt;=14, "Très bien", Q737&gt;=12, "Bien", Q737&gt;=10, "Passable", Q737&lt;10, "Insuffisant")</f>
        <v>Très bien</v>
      </c>
    </row>
    <row r="738" spans="1:18">
      <c r="A738" t="s">
        <v>1058</v>
      </c>
      <c r="B738" t="s">
        <v>734</v>
      </c>
      <c r="C738" t="s">
        <v>25</v>
      </c>
      <c r="D738" t="s">
        <v>53</v>
      </c>
      <c r="E738" t="s">
        <v>35</v>
      </c>
      <c r="F738">
        <v>5.08</v>
      </c>
      <c r="G738">
        <v>3.1</v>
      </c>
      <c r="H738">
        <v>6.3</v>
      </c>
      <c r="I738">
        <v>4.45</v>
      </c>
      <c r="J738" s="4">
        <v>0.90510000000000002</v>
      </c>
      <c r="K738">
        <v>50000</v>
      </c>
      <c r="L738" s="2">
        <v>46212</v>
      </c>
      <c r="M738" t="str">
        <f t="shared" si="55"/>
        <v>Non admis</v>
      </c>
      <c r="N738" t="str">
        <f t="shared" si="56"/>
        <v>Non Eligible</v>
      </c>
      <c r="O738" t="str">
        <f t="shared" si="57"/>
        <v>A surveiller</v>
      </c>
      <c r="P738" t="str">
        <f t="shared" si="58"/>
        <v>Hors Data</v>
      </c>
      <c r="Q738">
        <f t="shared" si="59"/>
        <v>4.7324999999999999</v>
      </c>
      <c r="R738" t="str" cm="1">
        <f t="array" ref="R738">_xlfn.IFS(Q738&gt;=16, "Excellent",Q738&gt;=14, "Très bien", Q738&gt;=12, "Bien", Q738&gt;=10, "Passable", Q738&lt;10, "Insuffisant")</f>
        <v>Insuffisant</v>
      </c>
    </row>
    <row r="739" spans="1:18">
      <c r="A739" t="s">
        <v>1059</v>
      </c>
      <c r="B739" t="s">
        <v>492</v>
      </c>
      <c r="C739" t="s">
        <v>20</v>
      </c>
      <c r="D739" t="s">
        <v>38</v>
      </c>
      <c r="E739" t="s">
        <v>48</v>
      </c>
      <c r="F739">
        <v>14.32</v>
      </c>
      <c r="G739">
        <v>13.83</v>
      </c>
      <c r="H739">
        <v>13.89</v>
      </c>
      <c r="I739">
        <v>13.15</v>
      </c>
      <c r="J739" s="4">
        <v>0.96609999999999996</v>
      </c>
      <c r="K739">
        <v>100000</v>
      </c>
      <c r="L739" s="2">
        <v>46129</v>
      </c>
      <c r="M739" t="str">
        <f t="shared" si="55"/>
        <v>Admis</v>
      </c>
      <c r="N739" t="str">
        <f t="shared" si="56"/>
        <v>Eligible</v>
      </c>
      <c r="O739" t="str">
        <f t="shared" si="57"/>
        <v>RAS</v>
      </c>
      <c r="P739" t="str">
        <f t="shared" si="58"/>
        <v>Hors Data</v>
      </c>
      <c r="Q739">
        <f t="shared" si="59"/>
        <v>13.797499999999999</v>
      </c>
      <c r="R739" t="str" cm="1">
        <f t="array" ref="R739">_xlfn.IFS(Q739&gt;=16, "Excellent",Q739&gt;=14, "Très bien", Q739&gt;=12, "Bien", Q739&gt;=10, "Passable", Q739&lt;10, "Insuffisant")</f>
        <v>Bien</v>
      </c>
    </row>
    <row r="740" spans="1:18">
      <c r="A740" t="s">
        <v>1060</v>
      </c>
      <c r="B740" t="s">
        <v>744</v>
      </c>
      <c r="C740" t="s">
        <v>25</v>
      </c>
      <c r="D740" t="s">
        <v>53</v>
      </c>
      <c r="E740" t="s">
        <v>48</v>
      </c>
      <c r="F740">
        <v>17.46</v>
      </c>
      <c r="G740">
        <v>19.239999999999998</v>
      </c>
      <c r="H740">
        <v>20</v>
      </c>
      <c r="I740">
        <v>18.8</v>
      </c>
      <c r="J740" s="4">
        <v>0.95450000000000002</v>
      </c>
      <c r="K740">
        <v>100000</v>
      </c>
      <c r="L740" s="2">
        <v>45604</v>
      </c>
      <c r="M740" t="str">
        <f t="shared" si="55"/>
        <v>Admis</v>
      </c>
      <c r="N740" t="str">
        <f t="shared" si="56"/>
        <v>Eligible</v>
      </c>
      <c r="O740" t="str">
        <f t="shared" si="57"/>
        <v>RAS</v>
      </c>
      <c r="P740" t="str">
        <f t="shared" si="58"/>
        <v>Hors Data</v>
      </c>
      <c r="Q740">
        <f t="shared" si="59"/>
        <v>18.875</v>
      </c>
      <c r="R740" t="str" cm="1">
        <f t="array" ref="R740">_xlfn.IFS(Q740&gt;=16, "Excellent",Q740&gt;=14, "Très bien", Q740&gt;=12, "Bien", Q740&gt;=10, "Passable", Q740&lt;10, "Insuffisant")</f>
        <v>Excellent</v>
      </c>
    </row>
    <row r="741" spans="1:18">
      <c r="A741" t="s">
        <v>1061</v>
      </c>
      <c r="B741" t="s">
        <v>237</v>
      </c>
      <c r="C741" t="s">
        <v>25</v>
      </c>
      <c r="D741" t="s">
        <v>41</v>
      </c>
      <c r="E741" t="s">
        <v>27</v>
      </c>
      <c r="F741">
        <v>10.15</v>
      </c>
      <c r="G741">
        <v>13</v>
      </c>
      <c r="H741">
        <v>8.4499999999999993</v>
      </c>
      <c r="I741">
        <v>12.64</v>
      </c>
      <c r="J741" s="4">
        <v>0.97</v>
      </c>
      <c r="K741">
        <v>130000</v>
      </c>
      <c r="L741" s="2">
        <v>45702</v>
      </c>
      <c r="M741" t="str">
        <f t="shared" si="55"/>
        <v>Non admis</v>
      </c>
      <c r="N741" t="str">
        <f t="shared" si="56"/>
        <v>Non Eligible</v>
      </c>
      <c r="O741" t="str">
        <f t="shared" si="57"/>
        <v>A surveiller</v>
      </c>
      <c r="P741" t="str">
        <f t="shared" si="58"/>
        <v>Hors Data</v>
      </c>
      <c r="Q741">
        <f t="shared" si="59"/>
        <v>11.059999999999999</v>
      </c>
      <c r="R741" t="str" cm="1">
        <f t="array" ref="R741">_xlfn.IFS(Q741&gt;=16, "Excellent",Q741&gt;=14, "Très bien", Q741&gt;=12, "Bien", Q741&gt;=10, "Passable", Q741&lt;10, "Insuffisant")</f>
        <v>Passable</v>
      </c>
    </row>
    <row r="742" spans="1:18">
      <c r="A742" t="s">
        <v>1062</v>
      </c>
      <c r="B742" t="s">
        <v>141</v>
      </c>
      <c r="C742" t="s">
        <v>25</v>
      </c>
      <c r="D742" t="s">
        <v>21</v>
      </c>
      <c r="E742" t="s">
        <v>35</v>
      </c>
      <c r="F742">
        <v>10.66</v>
      </c>
      <c r="G742">
        <v>15.46</v>
      </c>
      <c r="H742">
        <v>18.75</v>
      </c>
      <c r="I742">
        <v>12.39</v>
      </c>
      <c r="J742" s="4">
        <v>0.90059999999999996</v>
      </c>
      <c r="K742">
        <v>130000</v>
      </c>
      <c r="L742" s="2">
        <v>45841</v>
      </c>
      <c r="M742" t="str">
        <f t="shared" si="55"/>
        <v>Admis</v>
      </c>
      <c r="N742" t="str">
        <f t="shared" si="56"/>
        <v>Non Eligible</v>
      </c>
      <c r="O742" t="str">
        <f t="shared" si="57"/>
        <v>RAS</v>
      </c>
      <c r="P742" t="str">
        <f t="shared" si="58"/>
        <v>Hors Data</v>
      </c>
      <c r="Q742">
        <f t="shared" si="59"/>
        <v>14.315000000000001</v>
      </c>
      <c r="R742" t="str" cm="1">
        <f t="array" ref="R742">_xlfn.IFS(Q742&gt;=16, "Excellent",Q742&gt;=14, "Très bien", Q742&gt;=12, "Bien", Q742&gt;=10, "Passable", Q742&lt;10, "Insuffisant")</f>
        <v>Très bien</v>
      </c>
    </row>
    <row r="743" spans="1:18">
      <c r="A743" t="s">
        <v>1063</v>
      </c>
      <c r="B743" t="s">
        <v>148</v>
      </c>
      <c r="C743" t="s">
        <v>25</v>
      </c>
      <c r="D743" t="s">
        <v>41</v>
      </c>
      <c r="E743" t="s">
        <v>48</v>
      </c>
      <c r="F743">
        <v>15.58</v>
      </c>
      <c r="G743">
        <v>17.309999999999999</v>
      </c>
      <c r="H743">
        <v>20</v>
      </c>
      <c r="I743">
        <v>18.25</v>
      </c>
      <c r="J743" s="4">
        <v>0.82840000000000003</v>
      </c>
      <c r="K743">
        <v>90000</v>
      </c>
      <c r="L743" s="2">
        <v>45641</v>
      </c>
      <c r="M743" t="str">
        <f t="shared" si="55"/>
        <v>Admis</v>
      </c>
      <c r="N743" t="str">
        <f t="shared" si="56"/>
        <v>Eligible</v>
      </c>
      <c r="O743" t="str">
        <f t="shared" si="57"/>
        <v>RAS</v>
      </c>
      <c r="P743" t="str">
        <f t="shared" si="58"/>
        <v>Hors Data</v>
      </c>
      <c r="Q743">
        <f t="shared" si="59"/>
        <v>17.785</v>
      </c>
      <c r="R743" t="str" cm="1">
        <f t="array" ref="R743">_xlfn.IFS(Q743&gt;=16, "Excellent",Q743&gt;=14, "Très bien", Q743&gt;=12, "Bien", Q743&gt;=10, "Passable", Q743&lt;10, "Insuffisant")</f>
        <v>Excellent</v>
      </c>
    </row>
    <row r="744" spans="1:18">
      <c r="A744" t="s">
        <v>1064</v>
      </c>
      <c r="B744" t="s">
        <v>204</v>
      </c>
      <c r="C744" t="s">
        <v>25</v>
      </c>
      <c r="D744" t="s">
        <v>34</v>
      </c>
      <c r="E744" t="s">
        <v>27</v>
      </c>
      <c r="F744">
        <v>14.29</v>
      </c>
      <c r="G744">
        <v>12.86</v>
      </c>
      <c r="H744">
        <v>7.29</v>
      </c>
      <c r="I744">
        <v>11.57</v>
      </c>
      <c r="J744" s="4">
        <v>0.90700000000000003</v>
      </c>
      <c r="K744">
        <v>60000</v>
      </c>
      <c r="L744" s="2">
        <v>45935</v>
      </c>
      <c r="M744" t="str">
        <f t="shared" si="55"/>
        <v>Non admis</v>
      </c>
      <c r="N744" t="str">
        <f t="shared" si="56"/>
        <v>Non Eligible</v>
      </c>
      <c r="O744" t="str">
        <f t="shared" si="57"/>
        <v>A surveiller</v>
      </c>
      <c r="P744" t="str">
        <f t="shared" si="58"/>
        <v>Hors Data</v>
      </c>
      <c r="Q744">
        <f t="shared" si="59"/>
        <v>11.5025</v>
      </c>
      <c r="R744" t="str" cm="1">
        <f t="array" ref="R744">_xlfn.IFS(Q744&gt;=16, "Excellent",Q744&gt;=14, "Très bien", Q744&gt;=12, "Bien", Q744&gt;=10, "Passable", Q744&lt;10, "Insuffisant")</f>
        <v>Passable</v>
      </c>
    </row>
    <row r="745" spans="1:18">
      <c r="A745" t="s">
        <v>1065</v>
      </c>
      <c r="B745" t="s">
        <v>73</v>
      </c>
      <c r="C745" t="s">
        <v>20</v>
      </c>
      <c r="D745" t="s">
        <v>34</v>
      </c>
      <c r="E745" t="s">
        <v>35</v>
      </c>
      <c r="F745">
        <v>10.35</v>
      </c>
      <c r="G745">
        <v>12.9</v>
      </c>
      <c r="H745">
        <v>11.86</v>
      </c>
      <c r="I745">
        <v>9.86</v>
      </c>
      <c r="J745" s="4">
        <v>0.87639999999999996</v>
      </c>
      <c r="K745">
        <v>70000</v>
      </c>
      <c r="L745" s="2">
        <v>45542</v>
      </c>
      <c r="M745" t="str">
        <f t="shared" si="55"/>
        <v>Admis</v>
      </c>
      <c r="N745" t="str">
        <f t="shared" si="56"/>
        <v>Non Eligible</v>
      </c>
      <c r="O745" t="str">
        <f t="shared" si="57"/>
        <v>RAS</v>
      </c>
      <c r="P745" t="str">
        <f t="shared" si="58"/>
        <v>Hors Data</v>
      </c>
      <c r="Q745">
        <f t="shared" si="59"/>
        <v>11.2425</v>
      </c>
      <c r="R745" t="str" cm="1">
        <f t="array" ref="R745">_xlfn.IFS(Q745&gt;=16, "Excellent",Q745&gt;=14, "Très bien", Q745&gt;=12, "Bien", Q745&gt;=10, "Passable", Q745&lt;10, "Insuffisant")</f>
        <v>Passable</v>
      </c>
    </row>
    <row r="746" spans="1:18">
      <c r="A746" t="s">
        <v>1066</v>
      </c>
      <c r="B746" t="s">
        <v>256</v>
      </c>
      <c r="C746" t="s">
        <v>25</v>
      </c>
      <c r="D746" t="s">
        <v>34</v>
      </c>
      <c r="E746" t="s">
        <v>35</v>
      </c>
      <c r="F746">
        <v>12.67</v>
      </c>
      <c r="G746">
        <v>9.73</v>
      </c>
      <c r="H746">
        <v>5.75</v>
      </c>
      <c r="I746">
        <v>5.83</v>
      </c>
      <c r="J746" s="4">
        <v>0.78259999999999996</v>
      </c>
      <c r="K746">
        <v>100000</v>
      </c>
      <c r="L746" s="2">
        <v>45615</v>
      </c>
      <c r="M746" t="str">
        <f t="shared" si="55"/>
        <v>Non admis</v>
      </c>
      <c r="N746" t="str">
        <f t="shared" si="56"/>
        <v>Non Eligible</v>
      </c>
      <c r="O746" t="str">
        <f t="shared" si="57"/>
        <v>A surveiller</v>
      </c>
      <c r="P746" t="str">
        <f t="shared" si="58"/>
        <v>Hors Data</v>
      </c>
      <c r="Q746">
        <f t="shared" si="59"/>
        <v>8.4949999999999992</v>
      </c>
      <c r="R746" t="str" cm="1">
        <f t="array" ref="R746">_xlfn.IFS(Q746&gt;=16, "Excellent",Q746&gt;=14, "Très bien", Q746&gt;=12, "Bien", Q746&gt;=10, "Passable", Q746&lt;10, "Insuffisant")</f>
        <v>Insuffisant</v>
      </c>
    </row>
    <row r="747" spans="1:18">
      <c r="A747" t="s">
        <v>1067</v>
      </c>
      <c r="B747" t="s">
        <v>139</v>
      </c>
      <c r="C747" t="s">
        <v>20</v>
      </c>
      <c r="D747" t="s">
        <v>38</v>
      </c>
      <c r="E747" t="s">
        <v>27</v>
      </c>
      <c r="F747">
        <v>17.239999999999998</v>
      </c>
      <c r="G747">
        <v>15.48</v>
      </c>
      <c r="H747">
        <v>14.91</v>
      </c>
      <c r="I747">
        <v>17.559999999999999</v>
      </c>
      <c r="J747" s="4">
        <v>0.62980000000000003</v>
      </c>
      <c r="K747">
        <v>90000</v>
      </c>
      <c r="L747" s="2">
        <v>45569</v>
      </c>
      <c r="M747" t="str">
        <f t="shared" si="55"/>
        <v>Admis</v>
      </c>
      <c r="N747" t="str">
        <f t="shared" si="56"/>
        <v>Non Eligible</v>
      </c>
      <c r="O747" t="str">
        <f t="shared" si="57"/>
        <v>RAS</v>
      </c>
      <c r="P747" t="str">
        <f t="shared" si="58"/>
        <v>Hors Data</v>
      </c>
      <c r="Q747">
        <f t="shared" si="59"/>
        <v>16.297499999999999</v>
      </c>
      <c r="R747" t="str" cm="1">
        <f t="array" ref="R747">_xlfn.IFS(Q747&gt;=16, "Excellent",Q747&gt;=14, "Très bien", Q747&gt;=12, "Bien", Q747&gt;=10, "Passable", Q747&lt;10, "Insuffisant")</f>
        <v>Excellent</v>
      </c>
    </row>
    <row r="748" spans="1:18">
      <c r="A748" t="s">
        <v>1068</v>
      </c>
      <c r="B748" t="s">
        <v>477</v>
      </c>
      <c r="C748" t="s">
        <v>25</v>
      </c>
      <c r="D748" t="s">
        <v>34</v>
      </c>
      <c r="E748" t="s">
        <v>22</v>
      </c>
      <c r="F748">
        <v>16.05</v>
      </c>
      <c r="G748">
        <v>14.28</v>
      </c>
      <c r="H748">
        <v>12.46</v>
      </c>
      <c r="I748">
        <v>12.79</v>
      </c>
      <c r="J748" s="4">
        <v>0.95550000000000002</v>
      </c>
      <c r="K748">
        <v>80000</v>
      </c>
      <c r="L748" s="2">
        <v>45742</v>
      </c>
      <c r="M748" t="str">
        <f t="shared" si="55"/>
        <v>Admis</v>
      </c>
      <c r="N748" t="str">
        <f t="shared" si="56"/>
        <v>Eligible</v>
      </c>
      <c r="O748" t="str">
        <f t="shared" si="57"/>
        <v>RAS</v>
      </c>
      <c r="P748" t="str">
        <f t="shared" si="58"/>
        <v>Data</v>
      </c>
      <c r="Q748">
        <f t="shared" si="59"/>
        <v>13.895</v>
      </c>
      <c r="R748" t="str" cm="1">
        <f t="array" ref="R748">_xlfn.IFS(Q748&gt;=16, "Excellent",Q748&gt;=14, "Très bien", Q748&gt;=12, "Bien", Q748&gt;=10, "Passable", Q748&lt;10, "Insuffisant")</f>
        <v>Bien</v>
      </c>
    </row>
    <row r="749" spans="1:18">
      <c r="A749" t="s">
        <v>1069</v>
      </c>
      <c r="B749" t="s">
        <v>607</v>
      </c>
      <c r="C749" t="s">
        <v>20</v>
      </c>
      <c r="D749" t="s">
        <v>26</v>
      </c>
      <c r="E749" t="s">
        <v>22</v>
      </c>
      <c r="F749">
        <v>12.41</v>
      </c>
      <c r="G749">
        <v>10.65</v>
      </c>
      <c r="H749">
        <v>12.65</v>
      </c>
      <c r="I749">
        <v>9.0399999999999991</v>
      </c>
      <c r="J749" s="4">
        <v>0.79549999999999998</v>
      </c>
      <c r="K749">
        <v>80000</v>
      </c>
      <c r="L749" s="2">
        <v>46069</v>
      </c>
      <c r="M749" t="str">
        <f t="shared" si="55"/>
        <v>Admis</v>
      </c>
      <c r="N749" t="str">
        <f t="shared" si="56"/>
        <v>Non Eligible</v>
      </c>
      <c r="O749" t="str">
        <f t="shared" si="57"/>
        <v>RAS</v>
      </c>
      <c r="P749" t="str">
        <f t="shared" si="58"/>
        <v>Data</v>
      </c>
      <c r="Q749">
        <f t="shared" si="59"/>
        <v>11.1875</v>
      </c>
      <c r="R749" t="str" cm="1">
        <f t="array" ref="R749">_xlfn.IFS(Q749&gt;=16, "Excellent",Q749&gt;=14, "Très bien", Q749&gt;=12, "Bien", Q749&gt;=10, "Passable", Q749&lt;10, "Insuffisant")</f>
        <v>Passable</v>
      </c>
    </row>
    <row r="750" spans="1:18">
      <c r="A750" t="s">
        <v>1070</v>
      </c>
      <c r="B750" t="s">
        <v>494</v>
      </c>
      <c r="C750" t="s">
        <v>20</v>
      </c>
      <c r="D750" t="s">
        <v>41</v>
      </c>
      <c r="E750" t="s">
        <v>48</v>
      </c>
      <c r="F750">
        <v>17.93</v>
      </c>
      <c r="G750">
        <v>12.83</v>
      </c>
      <c r="H750">
        <v>13.81</v>
      </c>
      <c r="I750">
        <v>15.79</v>
      </c>
      <c r="J750" s="4">
        <v>0.93710000000000004</v>
      </c>
      <c r="K750">
        <v>100000</v>
      </c>
      <c r="L750" s="2">
        <v>45660</v>
      </c>
      <c r="M750" t="str">
        <f t="shared" si="55"/>
        <v>Admis</v>
      </c>
      <c r="N750" t="str">
        <f t="shared" si="56"/>
        <v>Eligible</v>
      </c>
      <c r="O750" t="str">
        <f t="shared" si="57"/>
        <v>RAS</v>
      </c>
      <c r="P750" t="str">
        <f t="shared" si="58"/>
        <v>Hors Data</v>
      </c>
      <c r="Q750">
        <f t="shared" si="59"/>
        <v>15.09</v>
      </c>
      <c r="R750" t="str" cm="1">
        <f t="array" ref="R750">_xlfn.IFS(Q750&gt;=16, "Excellent",Q750&gt;=14, "Très bien", Q750&gt;=12, "Bien", Q750&gt;=10, "Passable", Q750&lt;10, "Insuffisant")</f>
        <v>Très bien</v>
      </c>
    </row>
    <row r="751" spans="1:18">
      <c r="A751" t="s">
        <v>1071</v>
      </c>
      <c r="B751" t="s">
        <v>117</v>
      </c>
      <c r="C751" t="s">
        <v>20</v>
      </c>
      <c r="D751" t="s">
        <v>34</v>
      </c>
      <c r="E751" t="s">
        <v>27</v>
      </c>
      <c r="F751">
        <v>10.130000000000001</v>
      </c>
      <c r="G751">
        <v>13.42</v>
      </c>
      <c r="H751">
        <v>10.06</v>
      </c>
      <c r="I751">
        <v>16.48</v>
      </c>
      <c r="J751" s="4">
        <v>0.90339999999999998</v>
      </c>
      <c r="K751">
        <v>80000</v>
      </c>
      <c r="L751" s="2">
        <v>46227</v>
      </c>
      <c r="M751" t="str">
        <f t="shared" si="55"/>
        <v>Admis</v>
      </c>
      <c r="N751" t="str">
        <f t="shared" si="56"/>
        <v>Non Eligible</v>
      </c>
      <c r="O751" t="str">
        <f t="shared" si="57"/>
        <v>RAS</v>
      </c>
      <c r="P751" t="str">
        <f t="shared" si="58"/>
        <v>Hors Data</v>
      </c>
      <c r="Q751">
        <f t="shared" si="59"/>
        <v>12.522500000000001</v>
      </c>
      <c r="R751" t="str" cm="1">
        <f t="array" ref="R751">_xlfn.IFS(Q751&gt;=16, "Excellent",Q751&gt;=14, "Très bien", Q751&gt;=12, "Bien", Q751&gt;=10, "Passable", Q751&lt;10, "Insuffisant")</f>
        <v>Bien</v>
      </c>
    </row>
    <row r="752" spans="1:18">
      <c r="A752" t="s">
        <v>1072</v>
      </c>
      <c r="B752" t="s">
        <v>724</v>
      </c>
      <c r="C752" t="s">
        <v>25</v>
      </c>
      <c r="D752" t="s">
        <v>41</v>
      </c>
      <c r="E752" t="s">
        <v>22</v>
      </c>
      <c r="F752">
        <v>6.39</v>
      </c>
      <c r="G752">
        <v>11.2</v>
      </c>
      <c r="H752">
        <v>11.84</v>
      </c>
      <c r="I752">
        <v>12.38</v>
      </c>
      <c r="J752" s="4">
        <v>0.76139999999999997</v>
      </c>
      <c r="K752">
        <v>60000</v>
      </c>
      <c r="L752" s="2">
        <v>45724</v>
      </c>
      <c r="M752" t="str">
        <f t="shared" si="55"/>
        <v>Admis</v>
      </c>
      <c r="N752" t="str">
        <f t="shared" si="56"/>
        <v>Non Eligible</v>
      </c>
      <c r="O752" t="str">
        <f t="shared" si="57"/>
        <v>A surveiller</v>
      </c>
      <c r="P752" t="str">
        <f t="shared" si="58"/>
        <v>Data</v>
      </c>
      <c r="Q752">
        <f t="shared" si="59"/>
        <v>10.452500000000001</v>
      </c>
      <c r="R752" t="str" cm="1">
        <f t="array" ref="R752">_xlfn.IFS(Q752&gt;=16, "Excellent",Q752&gt;=14, "Très bien", Q752&gt;=12, "Bien", Q752&gt;=10, "Passable", Q752&lt;10, "Insuffisant")</f>
        <v>Passable</v>
      </c>
    </row>
    <row r="753" spans="1:18">
      <c r="A753" t="s">
        <v>1073</v>
      </c>
      <c r="B753" t="s">
        <v>1074</v>
      </c>
      <c r="C753" t="s">
        <v>20</v>
      </c>
      <c r="D753" t="s">
        <v>41</v>
      </c>
      <c r="E753" t="s">
        <v>27</v>
      </c>
      <c r="F753">
        <v>14.22</v>
      </c>
      <c r="G753">
        <v>16.45</v>
      </c>
      <c r="H753">
        <v>16.53</v>
      </c>
      <c r="I753">
        <v>17.809999999999999</v>
      </c>
      <c r="J753" s="4">
        <v>0.95430000000000004</v>
      </c>
      <c r="K753">
        <v>130000</v>
      </c>
      <c r="L753" s="2">
        <v>45567</v>
      </c>
      <c r="M753" t="str">
        <f t="shared" si="55"/>
        <v>Admis</v>
      </c>
      <c r="N753" t="str">
        <f t="shared" si="56"/>
        <v>Eligible</v>
      </c>
      <c r="O753" t="str">
        <f t="shared" si="57"/>
        <v>RAS</v>
      </c>
      <c r="P753" t="str">
        <f t="shared" si="58"/>
        <v>Hors Data</v>
      </c>
      <c r="Q753">
        <f t="shared" si="59"/>
        <v>16.252500000000001</v>
      </c>
      <c r="R753" t="str" cm="1">
        <f t="array" ref="R753">_xlfn.IFS(Q753&gt;=16, "Excellent",Q753&gt;=14, "Très bien", Q753&gt;=12, "Bien", Q753&gt;=10, "Passable", Q753&lt;10, "Insuffisant")</f>
        <v>Excellent</v>
      </c>
    </row>
    <row r="754" spans="1:18">
      <c r="A754" t="s">
        <v>1075</v>
      </c>
      <c r="B754" t="s">
        <v>161</v>
      </c>
      <c r="C754" t="s">
        <v>20</v>
      </c>
      <c r="D754" t="s">
        <v>34</v>
      </c>
      <c r="E754" t="s">
        <v>27</v>
      </c>
      <c r="F754">
        <v>10.98</v>
      </c>
      <c r="G754">
        <v>10.210000000000001</v>
      </c>
      <c r="H754">
        <v>7.35</v>
      </c>
      <c r="I754">
        <v>11.93</v>
      </c>
      <c r="J754" s="4">
        <v>0.55000000000000004</v>
      </c>
      <c r="K754">
        <v>75000</v>
      </c>
      <c r="L754" s="2">
        <v>45770</v>
      </c>
      <c r="M754" t="str">
        <f t="shared" si="55"/>
        <v>Non admis</v>
      </c>
      <c r="N754" t="str">
        <f t="shared" si="56"/>
        <v>Non Eligible</v>
      </c>
      <c r="O754" t="str">
        <f t="shared" si="57"/>
        <v>A surveiller</v>
      </c>
      <c r="P754" t="str">
        <f t="shared" si="58"/>
        <v>Hors Data</v>
      </c>
      <c r="Q754">
        <f t="shared" si="59"/>
        <v>10.1175</v>
      </c>
      <c r="R754" t="str" cm="1">
        <f t="array" ref="R754">_xlfn.IFS(Q754&gt;=16, "Excellent",Q754&gt;=14, "Très bien", Q754&gt;=12, "Bien", Q754&gt;=10, "Passable", Q754&lt;10, "Insuffisant")</f>
        <v>Passable</v>
      </c>
    </row>
    <row r="755" spans="1:18">
      <c r="A755" t="s">
        <v>1076</v>
      </c>
      <c r="B755" t="s">
        <v>541</v>
      </c>
      <c r="C755" t="s">
        <v>25</v>
      </c>
      <c r="D755" t="s">
        <v>21</v>
      </c>
      <c r="E755" t="s">
        <v>27</v>
      </c>
      <c r="F755">
        <v>16.77</v>
      </c>
      <c r="G755">
        <v>16.16</v>
      </c>
      <c r="H755">
        <v>13.01</v>
      </c>
      <c r="I755">
        <v>15</v>
      </c>
      <c r="J755" s="4">
        <v>0.89139999999999997</v>
      </c>
      <c r="K755">
        <v>75000</v>
      </c>
      <c r="L755" s="2">
        <v>46059</v>
      </c>
      <c r="M755" t="str">
        <f t="shared" si="55"/>
        <v>Admis</v>
      </c>
      <c r="N755" t="str">
        <f t="shared" si="56"/>
        <v>Eligible</v>
      </c>
      <c r="O755" t="str">
        <f t="shared" si="57"/>
        <v>RAS</v>
      </c>
      <c r="P755" t="str">
        <f t="shared" si="58"/>
        <v>Hors Data</v>
      </c>
      <c r="Q755">
        <f t="shared" si="59"/>
        <v>15.234999999999999</v>
      </c>
      <c r="R755" t="str" cm="1">
        <f t="array" ref="R755">_xlfn.IFS(Q755&gt;=16, "Excellent",Q755&gt;=14, "Très bien", Q755&gt;=12, "Bien", Q755&gt;=10, "Passable", Q755&lt;10, "Insuffisant")</f>
        <v>Très bien</v>
      </c>
    </row>
    <row r="756" spans="1:18">
      <c r="A756" t="s">
        <v>1077</v>
      </c>
      <c r="B756" t="s">
        <v>268</v>
      </c>
      <c r="C756" t="s">
        <v>25</v>
      </c>
      <c r="D756" t="s">
        <v>53</v>
      </c>
      <c r="E756" t="s">
        <v>35</v>
      </c>
      <c r="F756">
        <v>10.19</v>
      </c>
      <c r="G756">
        <v>9.26</v>
      </c>
      <c r="H756">
        <v>14.17</v>
      </c>
      <c r="I756">
        <v>9.5500000000000007</v>
      </c>
      <c r="J756" s="4">
        <v>0.88549999999999995</v>
      </c>
      <c r="K756">
        <v>50000</v>
      </c>
      <c r="L756" s="2">
        <v>45610</v>
      </c>
      <c r="M756" t="str">
        <f t="shared" si="55"/>
        <v>Admis</v>
      </c>
      <c r="N756" t="str">
        <f t="shared" si="56"/>
        <v>Non Eligible</v>
      </c>
      <c r="O756" t="str">
        <f t="shared" si="57"/>
        <v>RAS</v>
      </c>
      <c r="P756" t="str">
        <f t="shared" si="58"/>
        <v>Hors Data</v>
      </c>
      <c r="Q756">
        <f t="shared" si="59"/>
        <v>10.7925</v>
      </c>
      <c r="R756" t="str" cm="1">
        <f t="array" ref="R756">_xlfn.IFS(Q756&gt;=16, "Excellent",Q756&gt;=14, "Très bien", Q756&gt;=12, "Bien", Q756&gt;=10, "Passable", Q756&lt;10, "Insuffisant")</f>
        <v>Passable</v>
      </c>
    </row>
    <row r="757" spans="1:18">
      <c r="A757" t="s">
        <v>1078</v>
      </c>
      <c r="B757" t="s">
        <v>600</v>
      </c>
      <c r="C757" t="s">
        <v>20</v>
      </c>
      <c r="D757" t="s">
        <v>38</v>
      </c>
      <c r="E757" t="s">
        <v>35</v>
      </c>
      <c r="F757">
        <v>14.55</v>
      </c>
      <c r="G757">
        <v>10.93</v>
      </c>
      <c r="H757">
        <v>10.43</v>
      </c>
      <c r="I757">
        <v>8.7200000000000006</v>
      </c>
      <c r="J757" s="4">
        <v>0.8679</v>
      </c>
      <c r="K757">
        <v>85000</v>
      </c>
      <c r="L757" s="2">
        <v>45586</v>
      </c>
      <c r="M757" t="str">
        <f t="shared" si="55"/>
        <v>Admis</v>
      </c>
      <c r="N757" t="str">
        <f t="shared" si="56"/>
        <v>Non Eligible</v>
      </c>
      <c r="O757" t="str">
        <f t="shared" si="57"/>
        <v>RAS</v>
      </c>
      <c r="P757" t="str">
        <f t="shared" si="58"/>
        <v>Hors Data</v>
      </c>
      <c r="Q757">
        <f t="shared" si="59"/>
        <v>11.157499999999999</v>
      </c>
      <c r="R757" t="str" cm="1">
        <f t="array" ref="R757">_xlfn.IFS(Q757&gt;=16, "Excellent",Q757&gt;=14, "Très bien", Q757&gt;=12, "Bien", Q757&gt;=10, "Passable", Q757&lt;10, "Insuffisant")</f>
        <v>Passable</v>
      </c>
    </row>
    <row r="758" spans="1:18">
      <c r="A758" t="s">
        <v>1079</v>
      </c>
      <c r="B758" t="s">
        <v>301</v>
      </c>
      <c r="C758" t="s">
        <v>25</v>
      </c>
      <c r="D758" t="s">
        <v>41</v>
      </c>
      <c r="E758" t="s">
        <v>48</v>
      </c>
      <c r="F758">
        <v>19.72</v>
      </c>
      <c r="G758">
        <v>15.66</v>
      </c>
      <c r="H758">
        <v>18.78</v>
      </c>
      <c r="I758">
        <v>18.329999999999998</v>
      </c>
      <c r="J758" s="4">
        <v>0.72019999999999995</v>
      </c>
      <c r="K758">
        <v>130000</v>
      </c>
      <c r="L758" s="2">
        <v>46130</v>
      </c>
      <c r="M758" t="str">
        <f t="shared" si="55"/>
        <v>Admis</v>
      </c>
      <c r="N758" t="str">
        <f t="shared" si="56"/>
        <v>Non Eligible</v>
      </c>
      <c r="O758" t="str">
        <f t="shared" si="57"/>
        <v>RAS</v>
      </c>
      <c r="P758" t="str">
        <f t="shared" si="58"/>
        <v>Hors Data</v>
      </c>
      <c r="Q758">
        <f t="shared" si="59"/>
        <v>18.122499999999999</v>
      </c>
      <c r="R758" t="str" cm="1">
        <f t="array" ref="R758">_xlfn.IFS(Q758&gt;=16, "Excellent",Q758&gt;=14, "Très bien", Q758&gt;=12, "Bien", Q758&gt;=10, "Passable", Q758&lt;10, "Insuffisant")</f>
        <v>Excellent</v>
      </c>
    </row>
    <row r="759" spans="1:18">
      <c r="A759" t="s">
        <v>1080</v>
      </c>
      <c r="B759" t="s">
        <v>1081</v>
      </c>
      <c r="C759" t="s">
        <v>20</v>
      </c>
      <c r="D759" t="s">
        <v>53</v>
      </c>
      <c r="E759" t="s">
        <v>22</v>
      </c>
      <c r="F759">
        <v>18.41</v>
      </c>
      <c r="G759">
        <v>17.899999999999999</v>
      </c>
      <c r="H759">
        <v>15.98</v>
      </c>
      <c r="I759">
        <v>15.18</v>
      </c>
      <c r="J759" s="4">
        <v>0.83409999999999995</v>
      </c>
      <c r="K759">
        <v>60000</v>
      </c>
      <c r="L759" s="2">
        <v>45950</v>
      </c>
      <c r="M759" t="str">
        <f t="shared" si="55"/>
        <v>Admis</v>
      </c>
      <c r="N759" t="str">
        <f t="shared" si="56"/>
        <v>Eligible</v>
      </c>
      <c r="O759" t="str">
        <f t="shared" si="57"/>
        <v>RAS</v>
      </c>
      <c r="P759" t="str">
        <f t="shared" si="58"/>
        <v>Data</v>
      </c>
      <c r="Q759">
        <f t="shared" si="59"/>
        <v>16.8675</v>
      </c>
      <c r="R759" t="str" cm="1">
        <f t="array" ref="R759">_xlfn.IFS(Q759&gt;=16, "Excellent",Q759&gt;=14, "Très bien", Q759&gt;=12, "Bien", Q759&gt;=10, "Passable", Q759&lt;10, "Insuffisant")</f>
        <v>Excellent</v>
      </c>
    </row>
    <row r="760" spans="1:18">
      <c r="A760" t="s">
        <v>1082</v>
      </c>
      <c r="B760" t="s">
        <v>939</v>
      </c>
      <c r="C760" t="s">
        <v>20</v>
      </c>
      <c r="D760" t="s">
        <v>21</v>
      </c>
      <c r="E760" t="s">
        <v>27</v>
      </c>
      <c r="F760">
        <v>11.71</v>
      </c>
      <c r="G760">
        <v>14.68</v>
      </c>
      <c r="H760">
        <v>15.18</v>
      </c>
      <c r="I760">
        <v>12.79</v>
      </c>
      <c r="J760" s="4">
        <v>0.6169</v>
      </c>
      <c r="K760">
        <v>70000</v>
      </c>
      <c r="L760" s="2">
        <v>45776</v>
      </c>
      <c r="M760" t="str">
        <f t="shared" si="55"/>
        <v>Admis</v>
      </c>
      <c r="N760" t="str">
        <f t="shared" si="56"/>
        <v>Non Eligible</v>
      </c>
      <c r="O760" t="str">
        <f t="shared" si="57"/>
        <v>RAS</v>
      </c>
      <c r="P760" t="str">
        <f t="shared" si="58"/>
        <v>Hors Data</v>
      </c>
      <c r="Q760">
        <f t="shared" si="59"/>
        <v>13.59</v>
      </c>
      <c r="R760" t="str" cm="1">
        <f t="array" ref="R760">_xlfn.IFS(Q760&gt;=16, "Excellent",Q760&gt;=14, "Très bien", Q760&gt;=12, "Bien", Q760&gt;=10, "Passable", Q760&lt;10, "Insuffisant")</f>
        <v>Bien</v>
      </c>
    </row>
    <row r="761" spans="1:18">
      <c r="A761" t="s">
        <v>1083</v>
      </c>
      <c r="B761" t="s">
        <v>59</v>
      </c>
      <c r="C761" t="s">
        <v>25</v>
      </c>
      <c r="D761" t="s">
        <v>26</v>
      </c>
      <c r="E761" t="s">
        <v>48</v>
      </c>
      <c r="F761">
        <v>8.4600000000000009</v>
      </c>
      <c r="G761">
        <v>13.14</v>
      </c>
      <c r="H761">
        <v>14.97</v>
      </c>
      <c r="I761">
        <v>9.1199999999999992</v>
      </c>
      <c r="J761" s="4">
        <v>0.94889999999999997</v>
      </c>
      <c r="K761">
        <v>60000</v>
      </c>
      <c r="L761" s="2">
        <v>46065</v>
      </c>
      <c r="M761" t="str">
        <f t="shared" si="55"/>
        <v>Admis</v>
      </c>
      <c r="N761" t="str">
        <f t="shared" si="56"/>
        <v>Non Eligible</v>
      </c>
      <c r="O761" t="str">
        <f t="shared" si="57"/>
        <v>A surveiller</v>
      </c>
      <c r="P761" t="str">
        <f t="shared" si="58"/>
        <v>Hors Data</v>
      </c>
      <c r="Q761">
        <f t="shared" si="59"/>
        <v>11.422499999999999</v>
      </c>
      <c r="R761" t="str" cm="1">
        <f t="array" ref="R761">_xlfn.IFS(Q761&gt;=16, "Excellent",Q761&gt;=14, "Très bien", Q761&gt;=12, "Bien", Q761&gt;=10, "Passable", Q761&lt;10, "Insuffisant")</f>
        <v>Passable</v>
      </c>
    </row>
    <row r="762" spans="1:18">
      <c r="A762" t="s">
        <v>1084</v>
      </c>
      <c r="B762" t="s">
        <v>1036</v>
      </c>
      <c r="C762" t="s">
        <v>20</v>
      </c>
      <c r="D762" t="s">
        <v>38</v>
      </c>
      <c r="E762" t="s">
        <v>35</v>
      </c>
      <c r="F762">
        <v>15.57</v>
      </c>
      <c r="G762">
        <v>11.25</v>
      </c>
      <c r="H762">
        <v>13.49</v>
      </c>
      <c r="I762">
        <v>11.29</v>
      </c>
      <c r="J762" s="4">
        <v>0.99560000000000004</v>
      </c>
      <c r="K762">
        <v>60000</v>
      </c>
      <c r="L762" s="2">
        <v>46127</v>
      </c>
      <c r="M762" t="str">
        <f t="shared" si="55"/>
        <v>Admis</v>
      </c>
      <c r="N762" t="str">
        <f t="shared" si="56"/>
        <v>Eligible</v>
      </c>
      <c r="O762" t="str">
        <f t="shared" si="57"/>
        <v>RAS</v>
      </c>
      <c r="P762" t="str">
        <f t="shared" si="58"/>
        <v>Hors Data</v>
      </c>
      <c r="Q762">
        <f t="shared" si="59"/>
        <v>12.9</v>
      </c>
      <c r="R762" t="str" cm="1">
        <f t="array" ref="R762">_xlfn.IFS(Q762&gt;=16, "Excellent",Q762&gt;=14, "Très bien", Q762&gt;=12, "Bien", Q762&gt;=10, "Passable", Q762&lt;10, "Insuffisant")</f>
        <v>Bien</v>
      </c>
    </row>
    <row r="763" spans="1:18">
      <c r="A763" t="s">
        <v>1085</v>
      </c>
      <c r="B763" t="s">
        <v>550</v>
      </c>
      <c r="C763" t="s">
        <v>25</v>
      </c>
      <c r="D763" t="s">
        <v>41</v>
      </c>
      <c r="E763" t="s">
        <v>48</v>
      </c>
      <c r="F763">
        <v>13.93</v>
      </c>
      <c r="G763">
        <v>18.28</v>
      </c>
      <c r="H763">
        <v>10.56</v>
      </c>
      <c r="I763">
        <v>14.78</v>
      </c>
      <c r="J763" s="4">
        <v>0.80189999999999995</v>
      </c>
      <c r="K763">
        <v>90000</v>
      </c>
      <c r="L763" s="2">
        <v>45787</v>
      </c>
      <c r="M763" t="str">
        <f t="shared" si="55"/>
        <v>Admis</v>
      </c>
      <c r="N763" t="str">
        <f t="shared" si="56"/>
        <v>Non Eligible</v>
      </c>
      <c r="O763" t="str">
        <f t="shared" si="57"/>
        <v>RAS</v>
      </c>
      <c r="P763" t="str">
        <f t="shared" si="58"/>
        <v>Hors Data</v>
      </c>
      <c r="Q763">
        <f t="shared" si="59"/>
        <v>14.387500000000001</v>
      </c>
      <c r="R763" t="str" cm="1">
        <f t="array" ref="R763">_xlfn.IFS(Q763&gt;=16, "Excellent",Q763&gt;=14, "Très bien", Q763&gt;=12, "Bien", Q763&gt;=10, "Passable", Q763&lt;10, "Insuffisant")</f>
        <v>Très bien</v>
      </c>
    </row>
    <row r="764" spans="1:18">
      <c r="A764" t="s">
        <v>1086</v>
      </c>
      <c r="B764" t="s">
        <v>344</v>
      </c>
      <c r="C764" t="s">
        <v>25</v>
      </c>
      <c r="D764" t="s">
        <v>34</v>
      </c>
      <c r="E764" t="s">
        <v>48</v>
      </c>
      <c r="F764">
        <v>12.23</v>
      </c>
      <c r="G764">
        <v>13.17</v>
      </c>
      <c r="H764">
        <v>10.76</v>
      </c>
      <c r="I764">
        <v>13.24</v>
      </c>
      <c r="J764" s="4">
        <v>0.83889999999999998</v>
      </c>
      <c r="K764">
        <v>75000</v>
      </c>
      <c r="L764" s="2">
        <v>45928</v>
      </c>
      <c r="M764" t="str">
        <f t="shared" si="55"/>
        <v>Admis</v>
      </c>
      <c r="N764" t="str">
        <f t="shared" si="56"/>
        <v>Non Eligible</v>
      </c>
      <c r="O764" t="str">
        <f t="shared" si="57"/>
        <v>RAS</v>
      </c>
      <c r="P764" t="str">
        <f t="shared" si="58"/>
        <v>Hors Data</v>
      </c>
      <c r="Q764">
        <f t="shared" si="59"/>
        <v>12.35</v>
      </c>
      <c r="R764" t="str" cm="1">
        <f t="array" ref="R764">_xlfn.IFS(Q764&gt;=16, "Excellent",Q764&gt;=14, "Très bien", Q764&gt;=12, "Bien", Q764&gt;=10, "Passable", Q764&lt;10, "Insuffisant")</f>
        <v>Bien</v>
      </c>
    </row>
    <row r="765" spans="1:18">
      <c r="A765" t="s">
        <v>1087</v>
      </c>
      <c r="B765" t="s">
        <v>123</v>
      </c>
      <c r="C765" t="s">
        <v>25</v>
      </c>
      <c r="D765" t="s">
        <v>53</v>
      </c>
      <c r="E765" t="s">
        <v>48</v>
      </c>
      <c r="F765">
        <v>11.88</v>
      </c>
      <c r="G765">
        <v>11.72</v>
      </c>
      <c r="H765">
        <v>12.57</v>
      </c>
      <c r="I765">
        <v>9.0399999999999991</v>
      </c>
      <c r="J765" s="4">
        <v>0.92620000000000002</v>
      </c>
      <c r="K765">
        <v>110000</v>
      </c>
      <c r="L765" s="2">
        <v>45543</v>
      </c>
      <c r="M765" t="str">
        <f t="shared" si="55"/>
        <v>Admis</v>
      </c>
      <c r="N765" t="str">
        <f t="shared" si="56"/>
        <v>Non Eligible</v>
      </c>
      <c r="O765" t="str">
        <f t="shared" si="57"/>
        <v>RAS</v>
      </c>
      <c r="P765" t="str">
        <f t="shared" si="58"/>
        <v>Hors Data</v>
      </c>
      <c r="Q765">
        <f t="shared" si="59"/>
        <v>11.3025</v>
      </c>
      <c r="R765" t="str" cm="1">
        <f t="array" ref="R765">_xlfn.IFS(Q765&gt;=16, "Excellent",Q765&gt;=14, "Très bien", Q765&gt;=12, "Bien", Q765&gt;=10, "Passable", Q765&lt;10, "Insuffisant")</f>
        <v>Passable</v>
      </c>
    </row>
    <row r="766" spans="1:18">
      <c r="A766" t="s">
        <v>1088</v>
      </c>
      <c r="B766" t="s">
        <v>632</v>
      </c>
      <c r="C766" t="s">
        <v>20</v>
      </c>
      <c r="D766" t="s">
        <v>38</v>
      </c>
      <c r="E766" t="s">
        <v>27</v>
      </c>
      <c r="F766">
        <v>11.99</v>
      </c>
      <c r="G766">
        <v>11.63</v>
      </c>
      <c r="H766">
        <v>13.02</v>
      </c>
      <c r="I766">
        <v>11.67</v>
      </c>
      <c r="J766" s="4">
        <v>0.90510000000000002</v>
      </c>
      <c r="K766">
        <v>80000</v>
      </c>
      <c r="L766" s="2">
        <v>45750</v>
      </c>
      <c r="M766" t="str">
        <f t="shared" si="55"/>
        <v>Admis</v>
      </c>
      <c r="N766" t="str">
        <f t="shared" si="56"/>
        <v>Non Eligible</v>
      </c>
      <c r="O766" t="str">
        <f t="shared" si="57"/>
        <v>RAS</v>
      </c>
      <c r="P766" t="str">
        <f t="shared" si="58"/>
        <v>Hors Data</v>
      </c>
      <c r="Q766">
        <f t="shared" si="59"/>
        <v>12.077500000000001</v>
      </c>
      <c r="R766" t="str" cm="1">
        <f t="array" ref="R766">_xlfn.IFS(Q766&gt;=16, "Excellent",Q766&gt;=14, "Très bien", Q766&gt;=12, "Bien", Q766&gt;=10, "Passable", Q766&lt;10, "Insuffisant")</f>
        <v>Bien</v>
      </c>
    </row>
    <row r="767" spans="1:18">
      <c r="A767" t="s">
        <v>1089</v>
      </c>
      <c r="B767" t="s">
        <v>761</v>
      </c>
      <c r="C767" t="s">
        <v>25</v>
      </c>
      <c r="D767" t="s">
        <v>26</v>
      </c>
      <c r="E767" t="s">
        <v>27</v>
      </c>
      <c r="F767">
        <v>11.34</v>
      </c>
      <c r="G767">
        <v>9.49</v>
      </c>
      <c r="H767">
        <v>9.31</v>
      </c>
      <c r="I767">
        <v>9.4600000000000009</v>
      </c>
      <c r="J767" s="4">
        <v>0.55000000000000004</v>
      </c>
      <c r="K767">
        <v>100000</v>
      </c>
      <c r="L767" s="2">
        <v>45952</v>
      </c>
      <c r="M767" t="str">
        <f t="shared" si="55"/>
        <v>Non admis</v>
      </c>
      <c r="N767" t="str">
        <f t="shared" si="56"/>
        <v>Non Eligible</v>
      </c>
      <c r="O767" t="str">
        <f t="shared" si="57"/>
        <v>A surveiller</v>
      </c>
      <c r="P767" t="str">
        <f t="shared" si="58"/>
        <v>Hors Data</v>
      </c>
      <c r="Q767">
        <f t="shared" si="59"/>
        <v>9.9</v>
      </c>
      <c r="R767" t="str" cm="1">
        <f t="array" ref="R767">_xlfn.IFS(Q767&gt;=16, "Excellent",Q767&gt;=14, "Très bien", Q767&gt;=12, "Bien", Q767&gt;=10, "Passable", Q767&lt;10, "Insuffisant")</f>
        <v>Insuffisant</v>
      </c>
    </row>
    <row r="768" spans="1:18">
      <c r="A768" t="s">
        <v>1090</v>
      </c>
      <c r="B768" t="s">
        <v>949</v>
      </c>
      <c r="C768" t="s">
        <v>25</v>
      </c>
      <c r="D768" t="s">
        <v>41</v>
      </c>
      <c r="E768" t="s">
        <v>27</v>
      </c>
      <c r="F768">
        <v>6.64</v>
      </c>
      <c r="G768">
        <v>13.23</v>
      </c>
      <c r="H768">
        <v>11.47</v>
      </c>
      <c r="I768">
        <v>9.9</v>
      </c>
      <c r="J768" s="4">
        <v>0.80379999999999996</v>
      </c>
      <c r="K768">
        <v>50000</v>
      </c>
      <c r="L768" s="2">
        <v>45673</v>
      </c>
      <c r="M768" t="str">
        <f t="shared" si="55"/>
        <v>Admis</v>
      </c>
      <c r="N768" t="str">
        <f t="shared" si="56"/>
        <v>Non Eligible</v>
      </c>
      <c r="O768" t="str">
        <f t="shared" si="57"/>
        <v>A surveiller</v>
      </c>
      <c r="P768" t="str">
        <f t="shared" si="58"/>
        <v>Hors Data</v>
      </c>
      <c r="Q768">
        <f t="shared" si="59"/>
        <v>10.31</v>
      </c>
      <c r="R768" t="str" cm="1">
        <f t="array" ref="R768">_xlfn.IFS(Q768&gt;=16, "Excellent",Q768&gt;=14, "Très bien", Q768&gt;=12, "Bien", Q768&gt;=10, "Passable", Q768&lt;10, "Insuffisant")</f>
        <v>Passable</v>
      </c>
    </row>
    <row r="769" spans="1:18">
      <c r="A769" t="s">
        <v>1091</v>
      </c>
      <c r="B769" t="s">
        <v>1050</v>
      </c>
      <c r="C769" t="s">
        <v>20</v>
      </c>
      <c r="D769" t="s">
        <v>41</v>
      </c>
      <c r="E769" t="s">
        <v>48</v>
      </c>
      <c r="F769">
        <v>8.75</v>
      </c>
      <c r="G769">
        <v>15.47</v>
      </c>
      <c r="H769">
        <v>9.86</v>
      </c>
      <c r="I769">
        <v>13.06</v>
      </c>
      <c r="J769" s="4">
        <v>0.85829999999999995</v>
      </c>
      <c r="K769">
        <v>75000</v>
      </c>
      <c r="L769" s="2">
        <v>46229</v>
      </c>
      <c r="M769" t="str">
        <f t="shared" si="55"/>
        <v>Non admis</v>
      </c>
      <c r="N769" t="str">
        <f t="shared" si="56"/>
        <v>Non Eligible</v>
      </c>
      <c r="O769" t="str">
        <f t="shared" si="57"/>
        <v>A surveiller</v>
      </c>
      <c r="P769" t="str">
        <f t="shared" si="58"/>
        <v>Hors Data</v>
      </c>
      <c r="Q769">
        <f t="shared" si="59"/>
        <v>11.785</v>
      </c>
      <c r="R769" t="str" cm="1">
        <f t="array" ref="R769">_xlfn.IFS(Q769&gt;=16, "Excellent",Q769&gt;=14, "Très bien", Q769&gt;=12, "Bien", Q769&gt;=10, "Passable", Q769&lt;10, "Insuffisant")</f>
        <v>Passable</v>
      </c>
    </row>
    <row r="770" spans="1:18">
      <c r="A770" t="s">
        <v>1092</v>
      </c>
      <c r="B770" t="s">
        <v>83</v>
      </c>
      <c r="C770" t="s">
        <v>20</v>
      </c>
      <c r="D770" t="s">
        <v>41</v>
      </c>
      <c r="E770" t="s">
        <v>48</v>
      </c>
      <c r="F770">
        <v>15.63</v>
      </c>
      <c r="G770">
        <v>17.78</v>
      </c>
      <c r="H770">
        <v>19.55</v>
      </c>
      <c r="I770">
        <v>16.53</v>
      </c>
      <c r="J770" s="4">
        <v>0.71250000000000002</v>
      </c>
      <c r="K770">
        <v>80000</v>
      </c>
      <c r="L770" s="2">
        <v>46215</v>
      </c>
      <c r="M770" t="str">
        <f t="shared" si="55"/>
        <v>Admis</v>
      </c>
      <c r="N770" t="str">
        <f t="shared" si="56"/>
        <v>Non Eligible</v>
      </c>
      <c r="O770" t="str">
        <f t="shared" si="57"/>
        <v>RAS</v>
      </c>
      <c r="P770" t="str">
        <f t="shared" si="58"/>
        <v>Hors Data</v>
      </c>
      <c r="Q770">
        <f t="shared" si="59"/>
        <v>17.372500000000002</v>
      </c>
      <c r="R770" t="str" cm="1">
        <f t="array" ref="R770">_xlfn.IFS(Q770&gt;=16, "Excellent",Q770&gt;=14, "Très bien", Q770&gt;=12, "Bien", Q770&gt;=10, "Passable", Q770&lt;10, "Insuffisant")</f>
        <v>Excellent</v>
      </c>
    </row>
    <row r="771" spans="1:18">
      <c r="A771" t="s">
        <v>1093</v>
      </c>
      <c r="B771" t="s">
        <v>1094</v>
      </c>
      <c r="C771" t="s">
        <v>20</v>
      </c>
      <c r="D771" t="s">
        <v>53</v>
      </c>
      <c r="E771" t="s">
        <v>35</v>
      </c>
      <c r="F771">
        <v>8.36</v>
      </c>
      <c r="G771">
        <v>8.1</v>
      </c>
      <c r="H771">
        <v>13.87</v>
      </c>
      <c r="I771">
        <v>7.84</v>
      </c>
      <c r="J771" s="4">
        <v>0.84809999999999997</v>
      </c>
      <c r="K771">
        <v>50000</v>
      </c>
      <c r="L771" s="2">
        <v>45716</v>
      </c>
      <c r="M771" t="str">
        <f t="shared" ref="M771:M834" si="60">IF(H771&gt;=10,"Admis","Non admis")</f>
        <v>Admis</v>
      </c>
      <c r="N771" t="str">
        <f t="shared" ref="N771:N834" si="61">IF(AND(F771&gt;=12,H771&gt;=12,J771&gt;80%), "Eligible", "Non Eligible")</f>
        <v>Non Eligible</v>
      </c>
      <c r="O771" t="str">
        <f t="shared" ref="O771:O834" si="62">IF(OR(F771&lt;10,H771&lt;10), "A surveiller", "RAS")</f>
        <v>A surveiller</v>
      </c>
      <c r="P771" t="str">
        <f t="shared" ref="P771:P834" si="63">IF(NOT(E771="Data"), "Hors Data", "Data")</f>
        <v>Hors Data</v>
      </c>
      <c r="Q771">
        <f t="shared" ref="Q771:Q834" si="64">AVERAGE(F771:I771)</f>
        <v>9.5425000000000004</v>
      </c>
      <c r="R771" t="str" cm="1">
        <f t="array" ref="R771">_xlfn.IFS(Q771&gt;=16, "Excellent",Q771&gt;=14, "Très bien", Q771&gt;=12, "Bien", Q771&gt;=10, "Passable", Q771&lt;10, "Insuffisant")</f>
        <v>Insuffisant</v>
      </c>
    </row>
    <row r="772" spans="1:18">
      <c r="A772" t="s">
        <v>1095</v>
      </c>
      <c r="B772" t="s">
        <v>146</v>
      </c>
      <c r="C772" t="s">
        <v>25</v>
      </c>
      <c r="D772" t="s">
        <v>26</v>
      </c>
      <c r="E772" t="s">
        <v>22</v>
      </c>
      <c r="F772">
        <v>15.4</v>
      </c>
      <c r="G772">
        <v>17.350000000000001</v>
      </c>
      <c r="H772">
        <v>12.62</v>
      </c>
      <c r="I772">
        <v>13.41</v>
      </c>
      <c r="J772" s="4">
        <v>0.74060000000000004</v>
      </c>
      <c r="K772">
        <v>80000</v>
      </c>
      <c r="L772" s="2">
        <v>45813</v>
      </c>
      <c r="M772" t="str">
        <f t="shared" si="60"/>
        <v>Admis</v>
      </c>
      <c r="N772" t="str">
        <f t="shared" si="61"/>
        <v>Non Eligible</v>
      </c>
      <c r="O772" t="str">
        <f t="shared" si="62"/>
        <v>RAS</v>
      </c>
      <c r="P772" t="str">
        <f t="shared" si="63"/>
        <v>Data</v>
      </c>
      <c r="Q772">
        <f t="shared" si="64"/>
        <v>14.695</v>
      </c>
      <c r="R772" t="str" cm="1">
        <f t="array" ref="R772">_xlfn.IFS(Q772&gt;=16, "Excellent",Q772&gt;=14, "Très bien", Q772&gt;=12, "Bien", Q772&gt;=10, "Passable", Q772&lt;10, "Insuffisant")</f>
        <v>Très bien</v>
      </c>
    </row>
    <row r="773" spans="1:18">
      <c r="A773" t="s">
        <v>1096</v>
      </c>
      <c r="B773" t="s">
        <v>301</v>
      </c>
      <c r="C773" t="s">
        <v>25</v>
      </c>
      <c r="D773" t="s">
        <v>53</v>
      </c>
      <c r="E773" t="s">
        <v>35</v>
      </c>
      <c r="F773">
        <v>11.85</v>
      </c>
      <c r="G773">
        <v>10.83</v>
      </c>
      <c r="H773">
        <v>12.37</v>
      </c>
      <c r="I773">
        <v>10.07</v>
      </c>
      <c r="J773" s="4">
        <v>0.82869999999999999</v>
      </c>
      <c r="K773">
        <v>85000</v>
      </c>
      <c r="L773" s="2">
        <v>45668</v>
      </c>
      <c r="M773" t="str">
        <f t="shared" si="60"/>
        <v>Admis</v>
      </c>
      <c r="N773" t="str">
        <f t="shared" si="61"/>
        <v>Non Eligible</v>
      </c>
      <c r="O773" t="str">
        <f t="shared" si="62"/>
        <v>RAS</v>
      </c>
      <c r="P773" t="str">
        <f t="shared" si="63"/>
        <v>Hors Data</v>
      </c>
      <c r="Q773">
        <f t="shared" si="64"/>
        <v>11.28</v>
      </c>
      <c r="R773" t="str" cm="1">
        <f t="array" ref="R773">_xlfn.IFS(Q773&gt;=16, "Excellent",Q773&gt;=14, "Très bien", Q773&gt;=12, "Bien", Q773&gt;=10, "Passable", Q773&lt;10, "Insuffisant")</f>
        <v>Passable</v>
      </c>
    </row>
    <row r="774" spans="1:18">
      <c r="A774" t="s">
        <v>1097</v>
      </c>
      <c r="B774" t="s">
        <v>1098</v>
      </c>
      <c r="C774" t="s">
        <v>20</v>
      </c>
      <c r="D774" t="s">
        <v>53</v>
      </c>
      <c r="E774" t="s">
        <v>27</v>
      </c>
      <c r="F774">
        <v>14.4</v>
      </c>
      <c r="G774">
        <v>13.62</v>
      </c>
      <c r="H774">
        <v>11.3</v>
      </c>
      <c r="I774">
        <v>11.21</v>
      </c>
      <c r="J774" s="4">
        <v>0.67949999999999999</v>
      </c>
      <c r="K774">
        <v>80000</v>
      </c>
      <c r="L774" s="2">
        <v>45888</v>
      </c>
      <c r="M774" t="str">
        <f t="shared" si="60"/>
        <v>Admis</v>
      </c>
      <c r="N774" t="str">
        <f t="shared" si="61"/>
        <v>Non Eligible</v>
      </c>
      <c r="O774" t="str">
        <f t="shared" si="62"/>
        <v>RAS</v>
      </c>
      <c r="P774" t="str">
        <f t="shared" si="63"/>
        <v>Hors Data</v>
      </c>
      <c r="Q774">
        <f t="shared" si="64"/>
        <v>12.6325</v>
      </c>
      <c r="R774" t="str" cm="1">
        <f t="array" ref="R774">_xlfn.IFS(Q774&gt;=16, "Excellent",Q774&gt;=14, "Très bien", Q774&gt;=12, "Bien", Q774&gt;=10, "Passable", Q774&lt;10, "Insuffisant")</f>
        <v>Bien</v>
      </c>
    </row>
    <row r="775" spans="1:18">
      <c r="A775" t="s">
        <v>1099</v>
      </c>
      <c r="B775" t="s">
        <v>820</v>
      </c>
      <c r="C775" t="s">
        <v>25</v>
      </c>
      <c r="D775" t="s">
        <v>26</v>
      </c>
      <c r="E775" t="s">
        <v>22</v>
      </c>
      <c r="F775">
        <v>10.78</v>
      </c>
      <c r="G775">
        <v>15.97</v>
      </c>
      <c r="H775">
        <v>13.98</v>
      </c>
      <c r="I775">
        <v>13.94</v>
      </c>
      <c r="J775" s="4">
        <v>0.5958</v>
      </c>
      <c r="K775">
        <v>85000</v>
      </c>
      <c r="L775" s="2">
        <v>45622</v>
      </c>
      <c r="M775" t="str">
        <f t="shared" si="60"/>
        <v>Admis</v>
      </c>
      <c r="N775" t="str">
        <f t="shared" si="61"/>
        <v>Non Eligible</v>
      </c>
      <c r="O775" t="str">
        <f t="shared" si="62"/>
        <v>RAS</v>
      </c>
      <c r="P775" t="str">
        <f t="shared" si="63"/>
        <v>Data</v>
      </c>
      <c r="Q775">
        <f t="shared" si="64"/>
        <v>13.6675</v>
      </c>
      <c r="R775" t="str" cm="1">
        <f t="array" ref="R775">_xlfn.IFS(Q775&gt;=16, "Excellent",Q775&gt;=14, "Très bien", Q775&gt;=12, "Bien", Q775&gt;=10, "Passable", Q775&lt;10, "Insuffisant")</f>
        <v>Bien</v>
      </c>
    </row>
    <row r="776" spans="1:18">
      <c r="A776" t="s">
        <v>1100</v>
      </c>
      <c r="B776" t="s">
        <v>213</v>
      </c>
      <c r="C776" t="s">
        <v>25</v>
      </c>
      <c r="D776" t="s">
        <v>21</v>
      </c>
      <c r="E776" t="s">
        <v>48</v>
      </c>
      <c r="F776">
        <v>17.37</v>
      </c>
      <c r="G776">
        <v>19.489999999999998</v>
      </c>
      <c r="H776">
        <v>16.739999999999998</v>
      </c>
      <c r="I776">
        <v>19.34</v>
      </c>
      <c r="J776" s="4">
        <v>0.87680000000000002</v>
      </c>
      <c r="K776">
        <v>110000</v>
      </c>
      <c r="L776" s="2">
        <v>45809</v>
      </c>
      <c r="M776" t="str">
        <f t="shared" si="60"/>
        <v>Admis</v>
      </c>
      <c r="N776" t="str">
        <f t="shared" si="61"/>
        <v>Eligible</v>
      </c>
      <c r="O776" t="str">
        <f t="shared" si="62"/>
        <v>RAS</v>
      </c>
      <c r="P776" t="str">
        <f t="shared" si="63"/>
        <v>Hors Data</v>
      </c>
      <c r="Q776">
        <f t="shared" si="64"/>
        <v>18.234999999999999</v>
      </c>
      <c r="R776" t="str" cm="1">
        <f t="array" ref="R776">_xlfn.IFS(Q776&gt;=16, "Excellent",Q776&gt;=14, "Très bien", Q776&gt;=12, "Bien", Q776&gt;=10, "Passable", Q776&lt;10, "Insuffisant")</f>
        <v>Excellent</v>
      </c>
    </row>
    <row r="777" spans="1:18">
      <c r="A777" t="s">
        <v>1101</v>
      </c>
      <c r="B777" t="s">
        <v>853</v>
      </c>
      <c r="C777" t="s">
        <v>25</v>
      </c>
      <c r="D777" t="s">
        <v>34</v>
      </c>
      <c r="E777" t="s">
        <v>22</v>
      </c>
      <c r="F777">
        <v>15.71</v>
      </c>
      <c r="G777">
        <v>20</v>
      </c>
      <c r="H777">
        <v>12.73</v>
      </c>
      <c r="I777">
        <v>16.91</v>
      </c>
      <c r="J777" s="4">
        <v>0.84550000000000003</v>
      </c>
      <c r="K777">
        <v>110000</v>
      </c>
      <c r="L777" s="2">
        <v>45924</v>
      </c>
      <c r="M777" t="str">
        <f t="shared" si="60"/>
        <v>Admis</v>
      </c>
      <c r="N777" t="str">
        <f t="shared" si="61"/>
        <v>Eligible</v>
      </c>
      <c r="O777" t="str">
        <f t="shared" si="62"/>
        <v>RAS</v>
      </c>
      <c r="P777" t="str">
        <f t="shared" si="63"/>
        <v>Data</v>
      </c>
      <c r="Q777">
        <f t="shared" si="64"/>
        <v>16.337499999999999</v>
      </c>
      <c r="R777" t="str" cm="1">
        <f t="array" ref="R777">_xlfn.IFS(Q777&gt;=16, "Excellent",Q777&gt;=14, "Très bien", Q777&gt;=12, "Bien", Q777&gt;=10, "Passable", Q777&lt;10, "Insuffisant")</f>
        <v>Excellent</v>
      </c>
    </row>
    <row r="778" spans="1:18">
      <c r="A778" t="s">
        <v>1102</v>
      </c>
      <c r="B778" t="s">
        <v>288</v>
      </c>
      <c r="C778" t="s">
        <v>20</v>
      </c>
      <c r="D778" t="s">
        <v>41</v>
      </c>
      <c r="E778" t="s">
        <v>35</v>
      </c>
      <c r="F778">
        <v>11.4</v>
      </c>
      <c r="G778">
        <v>10.77</v>
      </c>
      <c r="H778">
        <v>9.39</v>
      </c>
      <c r="I778">
        <v>8.39</v>
      </c>
      <c r="J778" s="4">
        <v>0.81420000000000003</v>
      </c>
      <c r="K778">
        <v>50000</v>
      </c>
      <c r="L778" s="2">
        <v>45964</v>
      </c>
      <c r="M778" t="str">
        <f t="shared" si="60"/>
        <v>Non admis</v>
      </c>
      <c r="N778" t="str">
        <f t="shared" si="61"/>
        <v>Non Eligible</v>
      </c>
      <c r="O778" t="str">
        <f t="shared" si="62"/>
        <v>A surveiller</v>
      </c>
      <c r="P778" t="str">
        <f t="shared" si="63"/>
        <v>Hors Data</v>
      </c>
      <c r="Q778">
        <f t="shared" si="64"/>
        <v>9.9875000000000007</v>
      </c>
      <c r="R778" t="str" cm="1">
        <f t="array" ref="R778">_xlfn.IFS(Q778&gt;=16, "Excellent",Q778&gt;=14, "Très bien", Q778&gt;=12, "Bien", Q778&gt;=10, "Passable", Q778&lt;10, "Insuffisant")</f>
        <v>Insuffisant</v>
      </c>
    </row>
    <row r="779" spans="1:18">
      <c r="A779" t="s">
        <v>1103</v>
      </c>
      <c r="B779" t="s">
        <v>340</v>
      </c>
      <c r="C779" t="s">
        <v>20</v>
      </c>
      <c r="D779" t="s">
        <v>53</v>
      </c>
      <c r="E779" t="s">
        <v>22</v>
      </c>
      <c r="F779">
        <v>15.17</v>
      </c>
      <c r="G779">
        <v>14.91</v>
      </c>
      <c r="H779">
        <v>14.55</v>
      </c>
      <c r="I779">
        <v>17.87</v>
      </c>
      <c r="J779" s="4">
        <v>0.76249999999999996</v>
      </c>
      <c r="K779">
        <v>100000</v>
      </c>
      <c r="L779" s="2">
        <v>45953</v>
      </c>
      <c r="M779" t="str">
        <f t="shared" si="60"/>
        <v>Admis</v>
      </c>
      <c r="N779" t="str">
        <f t="shared" si="61"/>
        <v>Non Eligible</v>
      </c>
      <c r="O779" t="str">
        <f t="shared" si="62"/>
        <v>RAS</v>
      </c>
      <c r="P779" t="str">
        <f t="shared" si="63"/>
        <v>Data</v>
      </c>
      <c r="Q779">
        <f t="shared" si="64"/>
        <v>15.625</v>
      </c>
      <c r="R779" t="str" cm="1">
        <f t="array" ref="R779">_xlfn.IFS(Q779&gt;=16, "Excellent",Q779&gt;=14, "Très bien", Q779&gt;=12, "Bien", Q779&gt;=10, "Passable", Q779&lt;10, "Insuffisant")</f>
        <v>Très bien</v>
      </c>
    </row>
    <row r="780" spans="1:18">
      <c r="A780" t="s">
        <v>1104</v>
      </c>
      <c r="B780" t="s">
        <v>131</v>
      </c>
      <c r="C780" t="s">
        <v>20</v>
      </c>
      <c r="D780" t="s">
        <v>34</v>
      </c>
      <c r="E780" t="s">
        <v>48</v>
      </c>
      <c r="F780">
        <v>13.71</v>
      </c>
      <c r="G780">
        <v>10.39</v>
      </c>
      <c r="H780">
        <v>10.82</v>
      </c>
      <c r="I780">
        <v>10.15</v>
      </c>
      <c r="J780" s="4">
        <v>0.82840000000000003</v>
      </c>
      <c r="K780">
        <v>120000</v>
      </c>
      <c r="L780" s="2">
        <v>45690</v>
      </c>
      <c r="M780" t="str">
        <f t="shared" si="60"/>
        <v>Admis</v>
      </c>
      <c r="N780" t="str">
        <f t="shared" si="61"/>
        <v>Non Eligible</v>
      </c>
      <c r="O780" t="str">
        <f t="shared" si="62"/>
        <v>RAS</v>
      </c>
      <c r="P780" t="str">
        <f t="shared" si="63"/>
        <v>Hors Data</v>
      </c>
      <c r="Q780">
        <f t="shared" si="64"/>
        <v>11.2675</v>
      </c>
      <c r="R780" t="str" cm="1">
        <f t="array" ref="R780">_xlfn.IFS(Q780&gt;=16, "Excellent",Q780&gt;=14, "Très bien", Q780&gt;=12, "Bien", Q780&gt;=10, "Passable", Q780&lt;10, "Insuffisant")</f>
        <v>Passable</v>
      </c>
    </row>
    <row r="781" spans="1:18">
      <c r="A781" t="s">
        <v>1105</v>
      </c>
      <c r="B781" t="s">
        <v>1106</v>
      </c>
      <c r="C781" t="s">
        <v>25</v>
      </c>
      <c r="D781" t="s">
        <v>41</v>
      </c>
      <c r="E781" t="s">
        <v>27</v>
      </c>
      <c r="F781">
        <v>11.9</v>
      </c>
      <c r="G781">
        <v>8.2200000000000006</v>
      </c>
      <c r="H781">
        <v>14.17</v>
      </c>
      <c r="I781">
        <v>13.22</v>
      </c>
      <c r="J781" s="4">
        <v>0.80620000000000003</v>
      </c>
      <c r="K781">
        <v>120000</v>
      </c>
      <c r="L781" s="2">
        <v>46090</v>
      </c>
      <c r="M781" t="str">
        <f t="shared" si="60"/>
        <v>Admis</v>
      </c>
      <c r="N781" t="str">
        <f t="shared" si="61"/>
        <v>Non Eligible</v>
      </c>
      <c r="O781" t="str">
        <f t="shared" si="62"/>
        <v>RAS</v>
      </c>
      <c r="P781" t="str">
        <f t="shared" si="63"/>
        <v>Hors Data</v>
      </c>
      <c r="Q781">
        <f t="shared" si="64"/>
        <v>11.8775</v>
      </c>
      <c r="R781" t="str" cm="1">
        <f t="array" ref="R781">_xlfn.IFS(Q781&gt;=16, "Excellent",Q781&gt;=14, "Très bien", Q781&gt;=12, "Bien", Q781&gt;=10, "Passable", Q781&lt;10, "Insuffisant")</f>
        <v>Passable</v>
      </c>
    </row>
    <row r="782" spans="1:18">
      <c r="A782" t="s">
        <v>1107</v>
      </c>
      <c r="B782" t="s">
        <v>98</v>
      </c>
      <c r="C782" t="s">
        <v>25</v>
      </c>
      <c r="D782" t="s">
        <v>21</v>
      </c>
      <c r="E782" t="s">
        <v>27</v>
      </c>
      <c r="F782">
        <v>16.12</v>
      </c>
      <c r="G782">
        <v>14.17</v>
      </c>
      <c r="H782">
        <v>12.85</v>
      </c>
      <c r="I782">
        <v>13.15</v>
      </c>
      <c r="J782" s="4">
        <v>0.90510000000000002</v>
      </c>
      <c r="K782">
        <v>75000</v>
      </c>
      <c r="L782" s="2">
        <v>46020</v>
      </c>
      <c r="M782" t="str">
        <f t="shared" si="60"/>
        <v>Admis</v>
      </c>
      <c r="N782" t="str">
        <f t="shared" si="61"/>
        <v>Eligible</v>
      </c>
      <c r="O782" t="str">
        <f t="shared" si="62"/>
        <v>RAS</v>
      </c>
      <c r="P782" t="str">
        <f t="shared" si="63"/>
        <v>Hors Data</v>
      </c>
      <c r="Q782">
        <f t="shared" si="64"/>
        <v>14.0725</v>
      </c>
      <c r="R782" t="str" cm="1">
        <f t="array" ref="R782">_xlfn.IFS(Q782&gt;=16, "Excellent",Q782&gt;=14, "Très bien", Q782&gt;=12, "Bien", Q782&gt;=10, "Passable", Q782&lt;10, "Insuffisant")</f>
        <v>Très bien</v>
      </c>
    </row>
    <row r="783" spans="1:18">
      <c r="A783" t="s">
        <v>1108</v>
      </c>
      <c r="B783" t="s">
        <v>667</v>
      </c>
      <c r="C783" t="s">
        <v>25</v>
      </c>
      <c r="D783" t="s">
        <v>34</v>
      </c>
      <c r="E783" t="s">
        <v>48</v>
      </c>
      <c r="F783">
        <v>11.05</v>
      </c>
      <c r="G783">
        <v>15.04</v>
      </c>
      <c r="H783">
        <v>16.14</v>
      </c>
      <c r="I783">
        <v>11.53</v>
      </c>
      <c r="J783" s="4">
        <v>0.69879999999999998</v>
      </c>
      <c r="K783">
        <v>110000</v>
      </c>
      <c r="L783" s="2">
        <v>46063</v>
      </c>
      <c r="M783" t="str">
        <f t="shared" si="60"/>
        <v>Admis</v>
      </c>
      <c r="N783" t="str">
        <f t="shared" si="61"/>
        <v>Non Eligible</v>
      </c>
      <c r="O783" t="str">
        <f t="shared" si="62"/>
        <v>RAS</v>
      </c>
      <c r="P783" t="str">
        <f t="shared" si="63"/>
        <v>Hors Data</v>
      </c>
      <c r="Q783">
        <f t="shared" si="64"/>
        <v>13.440000000000001</v>
      </c>
      <c r="R783" t="str" cm="1">
        <f t="array" ref="R783">_xlfn.IFS(Q783&gt;=16, "Excellent",Q783&gt;=14, "Très bien", Q783&gt;=12, "Bien", Q783&gt;=10, "Passable", Q783&lt;10, "Insuffisant")</f>
        <v>Bien</v>
      </c>
    </row>
    <row r="784" spans="1:18">
      <c r="A784" t="s">
        <v>1109</v>
      </c>
      <c r="B784" t="s">
        <v>83</v>
      </c>
      <c r="C784" t="s">
        <v>20</v>
      </c>
      <c r="D784" t="s">
        <v>21</v>
      </c>
      <c r="E784" t="s">
        <v>22</v>
      </c>
      <c r="F784">
        <v>12.01</v>
      </c>
      <c r="G784">
        <v>17.72</v>
      </c>
      <c r="H784">
        <v>13.28</v>
      </c>
      <c r="I784">
        <v>10.57</v>
      </c>
      <c r="J784" s="4">
        <v>0.82950000000000002</v>
      </c>
      <c r="K784">
        <v>110000</v>
      </c>
      <c r="L784" s="2">
        <v>45863</v>
      </c>
      <c r="M784" t="str">
        <f t="shared" si="60"/>
        <v>Admis</v>
      </c>
      <c r="N784" t="str">
        <f t="shared" si="61"/>
        <v>Eligible</v>
      </c>
      <c r="O784" t="str">
        <f t="shared" si="62"/>
        <v>RAS</v>
      </c>
      <c r="P784" t="str">
        <f t="shared" si="63"/>
        <v>Data</v>
      </c>
      <c r="Q784">
        <f t="shared" si="64"/>
        <v>13.395</v>
      </c>
      <c r="R784" t="str" cm="1">
        <f t="array" ref="R784">_xlfn.IFS(Q784&gt;=16, "Excellent",Q784&gt;=14, "Très bien", Q784&gt;=12, "Bien", Q784&gt;=10, "Passable", Q784&lt;10, "Insuffisant")</f>
        <v>Bien</v>
      </c>
    </row>
    <row r="785" spans="1:18">
      <c r="A785" t="s">
        <v>1110</v>
      </c>
      <c r="B785" t="s">
        <v>737</v>
      </c>
      <c r="C785" t="s">
        <v>20</v>
      </c>
      <c r="D785" t="s">
        <v>41</v>
      </c>
      <c r="E785" t="s">
        <v>48</v>
      </c>
      <c r="F785">
        <v>11.92</v>
      </c>
      <c r="G785">
        <v>11.78</v>
      </c>
      <c r="H785">
        <v>15.09</v>
      </c>
      <c r="I785">
        <v>10.57</v>
      </c>
      <c r="J785" s="4">
        <v>0.80069999999999997</v>
      </c>
      <c r="K785">
        <v>80000</v>
      </c>
      <c r="L785" s="2">
        <v>46160</v>
      </c>
      <c r="M785" t="str">
        <f t="shared" si="60"/>
        <v>Admis</v>
      </c>
      <c r="N785" t="str">
        <f t="shared" si="61"/>
        <v>Non Eligible</v>
      </c>
      <c r="O785" t="str">
        <f t="shared" si="62"/>
        <v>RAS</v>
      </c>
      <c r="P785" t="str">
        <f t="shared" si="63"/>
        <v>Hors Data</v>
      </c>
      <c r="Q785">
        <f t="shared" si="64"/>
        <v>12.34</v>
      </c>
      <c r="R785" t="str" cm="1">
        <f t="array" ref="R785">_xlfn.IFS(Q785&gt;=16, "Excellent",Q785&gt;=14, "Très bien", Q785&gt;=12, "Bien", Q785&gt;=10, "Passable", Q785&lt;10, "Insuffisant")</f>
        <v>Bien</v>
      </c>
    </row>
    <row r="786" spans="1:18">
      <c r="A786" t="s">
        <v>1111</v>
      </c>
      <c r="B786" t="s">
        <v>297</v>
      </c>
      <c r="C786" t="s">
        <v>20</v>
      </c>
      <c r="D786" t="s">
        <v>53</v>
      </c>
      <c r="E786" t="s">
        <v>22</v>
      </c>
      <c r="F786">
        <v>13.36</v>
      </c>
      <c r="G786">
        <v>9.98</v>
      </c>
      <c r="H786">
        <v>9.73</v>
      </c>
      <c r="I786">
        <v>11.87</v>
      </c>
      <c r="J786" s="4">
        <v>0.93810000000000004</v>
      </c>
      <c r="K786">
        <v>120000</v>
      </c>
      <c r="L786" s="2">
        <v>45808</v>
      </c>
      <c r="M786" t="str">
        <f t="shared" si="60"/>
        <v>Non admis</v>
      </c>
      <c r="N786" t="str">
        <f t="shared" si="61"/>
        <v>Non Eligible</v>
      </c>
      <c r="O786" t="str">
        <f t="shared" si="62"/>
        <v>A surveiller</v>
      </c>
      <c r="P786" t="str">
        <f t="shared" si="63"/>
        <v>Data</v>
      </c>
      <c r="Q786">
        <f t="shared" si="64"/>
        <v>11.234999999999999</v>
      </c>
      <c r="R786" t="str" cm="1">
        <f t="array" ref="R786">_xlfn.IFS(Q786&gt;=16, "Excellent",Q786&gt;=14, "Très bien", Q786&gt;=12, "Bien", Q786&gt;=10, "Passable", Q786&lt;10, "Insuffisant")</f>
        <v>Passable</v>
      </c>
    </row>
    <row r="787" spans="1:18">
      <c r="A787" t="s">
        <v>1112</v>
      </c>
      <c r="B787" t="s">
        <v>509</v>
      </c>
      <c r="C787" t="s">
        <v>25</v>
      </c>
      <c r="D787" t="s">
        <v>41</v>
      </c>
      <c r="E787" t="s">
        <v>35</v>
      </c>
      <c r="F787">
        <v>12.93</v>
      </c>
      <c r="G787">
        <v>12.56</v>
      </c>
      <c r="H787">
        <v>11.86</v>
      </c>
      <c r="I787">
        <v>10.66</v>
      </c>
      <c r="J787" s="4">
        <v>0.91359999999999997</v>
      </c>
      <c r="K787">
        <v>90000</v>
      </c>
      <c r="L787" s="2">
        <v>46100</v>
      </c>
      <c r="M787" t="str">
        <f t="shared" si="60"/>
        <v>Admis</v>
      </c>
      <c r="N787" t="str">
        <f t="shared" si="61"/>
        <v>Non Eligible</v>
      </c>
      <c r="O787" t="str">
        <f t="shared" si="62"/>
        <v>RAS</v>
      </c>
      <c r="P787" t="str">
        <f t="shared" si="63"/>
        <v>Hors Data</v>
      </c>
      <c r="Q787">
        <f t="shared" si="64"/>
        <v>12.002500000000001</v>
      </c>
      <c r="R787" t="str" cm="1">
        <f t="array" ref="R787">_xlfn.IFS(Q787&gt;=16, "Excellent",Q787&gt;=14, "Très bien", Q787&gt;=12, "Bien", Q787&gt;=10, "Passable", Q787&lt;10, "Insuffisant")</f>
        <v>Bien</v>
      </c>
    </row>
    <row r="788" spans="1:18">
      <c r="A788" t="s">
        <v>1113</v>
      </c>
      <c r="B788" t="s">
        <v>930</v>
      </c>
      <c r="C788" t="s">
        <v>20</v>
      </c>
      <c r="D788" t="s">
        <v>26</v>
      </c>
      <c r="E788" t="s">
        <v>48</v>
      </c>
      <c r="F788">
        <v>12.85</v>
      </c>
      <c r="G788">
        <v>14.54</v>
      </c>
      <c r="H788">
        <v>11.04</v>
      </c>
      <c r="I788">
        <v>15.68</v>
      </c>
      <c r="J788" s="4">
        <v>0.88260000000000005</v>
      </c>
      <c r="K788">
        <v>110000</v>
      </c>
      <c r="L788" s="2">
        <v>45678</v>
      </c>
      <c r="M788" t="str">
        <f t="shared" si="60"/>
        <v>Admis</v>
      </c>
      <c r="N788" t="str">
        <f t="shared" si="61"/>
        <v>Non Eligible</v>
      </c>
      <c r="O788" t="str">
        <f t="shared" si="62"/>
        <v>RAS</v>
      </c>
      <c r="P788" t="str">
        <f t="shared" si="63"/>
        <v>Hors Data</v>
      </c>
      <c r="Q788">
        <f t="shared" si="64"/>
        <v>13.5275</v>
      </c>
      <c r="R788" t="str" cm="1">
        <f t="array" ref="R788">_xlfn.IFS(Q788&gt;=16, "Excellent",Q788&gt;=14, "Très bien", Q788&gt;=12, "Bien", Q788&gt;=10, "Passable", Q788&lt;10, "Insuffisant")</f>
        <v>Bien</v>
      </c>
    </row>
    <row r="789" spans="1:18">
      <c r="A789" t="s">
        <v>1114</v>
      </c>
      <c r="B789" t="s">
        <v>344</v>
      </c>
      <c r="C789" t="s">
        <v>25</v>
      </c>
      <c r="D789" t="s">
        <v>26</v>
      </c>
      <c r="E789" t="s">
        <v>48</v>
      </c>
      <c r="F789">
        <v>15.81</v>
      </c>
      <c r="G789">
        <v>17.93</v>
      </c>
      <c r="H789">
        <v>16.02</v>
      </c>
      <c r="I789">
        <v>13.92</v>
      </c>
      <c r="J789" s="4">
        <v>0.81179999999999997</v>
      </c>
      <c r="K789">
        <v>110000</v>
      </c>
      <c r="L789" s="2">
        <v>45709</v>
      </c>
      <c r="M789" t="str">
        <f t="shared" si="60"/>
        <v>Admis</v>
      </c>
      <c r="N789" t="str">
        <f t="shared" si="61"/>
        <v>Eligible</v>
      </c>
      <c r="O789" t="str">
        <f t="shared" si="62"/>
        <v>RAS</v>
      </c>
      <c r="P789" t="str">
        <f t="shared" si="63"/>
        <v>Hors Data</v>
      </c>
      <c r="Q789">
        <f t="shared" si="64"/>
        <v>15.920000000000002</v>
      </c>
      <c r="R789" t="str" cm="1">
        <f t="array" ref="R789">_xlfn.IFS(Q789&gt;=16, "Excellent",Q789&gt;=14, "Très bien", Q789&gt;=12, "Bien", Q789&gt;=10, "Passable", Q789&lt;10, "Insuffisant")</f>
        <v>Très bien</v>
      </c>
    </row>
    <row r="790" spans="1:18">
      <c r="A790" t="s">
        <v>1115</v>
      </c>
      <c r="B790" t="s">
        <v>204</v>
      </c>
      <c r="C790" t="s">
        <v>25</v>
      </c>
      <c r="D790" t="s">
        <v>21</v>
      </c>
      <c r="E790" t="s">
        <v>22</v>
      </c>
      <c r="F790">
        <v>13.49</v>
      </c>
      <c r="G790">
        <v>16.03</v>
      </c>
      <c r="H790">
        <v>17.22</v>
      </c>
      <c r="I790">
        <v>13.92</v>
      </c>
      <c r="J790" s="4">
        <v>0.55000000000000004</v>
      </c>
      <c r="K790">
        <v>110000</v>
      </c>
      <c r="L790" s="2">
        <v>45904</v>
      </c>
      <c r="M790" t="str">
        <f t="shared" si="60"/>
        <v>Admis</v>
      </c>
      <c r="N790" t="str">
        <f t="shared" si="61"/>
        <v>Non Eligible</v>
      </c>
      <c r="O790" t="str">
        <f t="shared" si="62"/>
        <v>RAS</v>
      </c>
      <c r="P790" t="str">
        <f t="shared" si="63"/>
        <v>Data</v>
      </c>
      <c r="Q790">
        <f t="shared" si="64"/>
        <v>15.165000000000001</v>
      </c>
      <c r="R790" t="str" cm="1">
        <f t="array" ref="R790">_xlfn.IFS(Q790&gt;=16, "Excellent",Q790&gt;=14, "Très bien", Q790&gt;=12, "Bien", Q790&gt;=10, "Passable", Q790&lt;10, "Insuffisant")</f>
        <v>Très bien</v>
      </c>
    </row>
    <row r="791" spans="1:18">
      <c r="A791" t="s">
        <v>1116</v>
      </c>
      <c r="B791" t="s">
        <v>94</v>
      </c>
      <c r="C791" t="s">
        <v>20</v>
      </c>
      <c r="D791" t="s">
        <v>34</v>
      </c>
      <c r="E791" t="s">
        <v>27</v>
      </c>
      <c r="F791">
        <v>19.5</v>
      </c>
      <c r="G791">
        <v>16.93</v>
      </c>
      <c r="H791">
        <v>20</v>
      </c>
      <c r="I791">
        <v>16.2</v>
      </c>
      <c r="J791" s="4">
        <v>0.85599999999999998</v>
      </c>
      <c r="K791">
        <v>130000</v>
      </c>
      <c r="L791" s="2">
        <v>45925</v>
      </c>
      <c r="M791" t="str">
        <f t="shared" si="60"/>
        <v>Admis</v>
      </c>
      <c r="N791" t="str">
        <f t="shared" si="61"/>
        <v>Eligible</v>
      </c>
      <c r="O791" t="str">
        <f t="shared" si="62"/>
        <v>RAS</v>
      </c>
      <c r="P791" t="str">
        <f t="shared" si="63"/>
        <v>Hors Data</v>
      </c>
      <c r="Q791">
        <f t="shared" si="64"/>
        <v>18.157499999999999</v>
      </c>
      <c r="R791" t="str" cm="1">
        <f t="array" ref="R791">_xlfn.IFS(Q791&gt;=16, "Excellent",Q791&gt;=14, "Très bien", Q791&gt;=12, "Bien", Q791&gt;=10, "Passable", Q791&lt;10, "Insuffisant")</f>
        <v>Excellent</v>
      </c>
    </row>
    <row r="792" spans="1:18">
      <c r="A792" t="s">
        <v>1117</v>
      </c>
      <c r="B792" t="s">
        <v>295</v>
      </c>
      <c r="C792" t="s">
        <v>20</v>
      </c>
      <c r="D792" t="s">
        <v>21</v>
      </c>
      <c r="E792" t="s">
        <v>35</v>
      </c>
      <c r="F792">
        <v>20</v>
      </c>
      <c r="G792">
        <v>20</v>
      </c>
      <c r="H792">
        <v>20</v>
      </c>
      <c r="I792">
        <v>18.510000000000002</v>
      </c>
      <c r="J792" s="4">
        <v>0.96150000000000002</v>
      </c>
      <c r="K792">
        <v>120000</v>
      </c>
      <c r="L792" s="2">
        <v>46058</v>
      </c>
      <c r="M792" t="str">
        <f t="shared" si="60"/>
        <v>Admis</v>
      </c>
      <c r="N792" t="str">
        <f t="shared" si="61"/>
        <v>Eligible</v>
      </c>
      <c r="O792" t="str">
        <f t="shared" si="62"/>
        <v>RAS</v>
      </c>
      <c r="P792" t="str">
        <f t="shared" si="63"/>
        <v>Hors Data</v>
      </c>
      <c r="Q792">
        <f t="shared" si="64"/>
        <v>19.627500000000001</v>
      </c>
      <c r="R792" t="str" cm="1">
        <f t="array" ref="R792">_xlfn.IFS(Q792&gt;=16, "Excellent",Q792&gt;=14, "Très bien", Q792&gt;=12, "Bien", Q792&gt;=10, "Passable", Q792&lt;10, "Insuffisant")</f>
        <v>Excellent</v>
      </c>
    </row>
    <row r="793" spans="1:18">
      <c r="A793" t="s">
        <v>1118</v>
      </c>
      <c r="B793" t="s">
        <v>1119</v>
      </c>
      <c r="C793" t="s">
        <v>20</v>
      </c>
      <c r="D793" t="s">
        <v>38</v>
      </c>
      <c r="E793" t="s">
        <v>27</v>
      </c>
      <c r="F793">
        <v>9.3800000000000008</v>
      </c>
      <c r="G793">
        <v>4.12</v>
      </c>
      <c r="H793">
        <v>9.92</v>
      </c>
      <c r="I793">
        <v>12.78</v>
      </c>
      <c r="J793" s="4">
        <v>0.71220000000000006</v>
      </c>
      <c r="K793">
        <v>80000</v>
      </c>
      <c r="L793" s="2">
        <v>45744</v>
      </c>
      <c r="M793" t="str">
        <f t="shared" si="60"/>
        <v>Non admis</v>
      </c>
      <c r="N793" t="str">
        <f t="shared" si="61"/>
        <v>Non Eligible</v>
      </c>
      <c r="O793" t="str">
        <f t="shared" si="62"/>
        <v>A surveiller</v>
      </c>
      <c r="P793" t="str">
        <f t="shared" si="63"/>
        <v>Hors Data</v>
      </c>
      <c r="Q793">
        <f t="shared" si="64"/>
        <v>9.0500000000000007</v>
      </c>
      <c r="R793" t="str" cm="1">
        <f t="array" ref="R793">_xlfn.IFS(Q793&gt;=16, "Excellent",Q793&gt;=14, "Très bien", Q793&gt;=12, "Bien", Q793&gt;=10, "Passable", Q793&lt;10, "Insuffisant")</f>
        <v>Insuffisant</v>
      </c>
    </row>
    <row r="794" spans="1:18">
      <c r="A794" t="s">
        <v>1120</v>
      </c>
      <c r="B794" t="s">
        <v>146</v>
      </c>
      <c r="C794" t="s">
        <v>25</v>
      </c>
      <c r="D794" t="s">
        <v>41</v>
      </c>
      <c r="E794" t="s">
        <v>48</v>
      </c>
      <c r="F794">
        <v>16.14</v>
      </c>
      <c r="G794">
        <v>14.94</v>
      </c>
      <c r="H794">
        <v>14.3</v>
      </c>
      <c r="I794">
        <v>16.850000000000001</v>
      </c>
      <c r="J794" s="4">
        <v>0.9073</v>
      </c>
      <c r="K794">
        <v>90000</v>
      </c>
      <c r="L794" s="2">
        <v>46146</v>
      </c>
      <c r="M794" t="str">
        <f t="shared" si="60"/>
        <v>Admis</v>
      </c>
      <c r="N794" t="str">
        <f t="shared" si="61"/>
        <v>Eligible</v>
      </c>
      <c r="O794" t="str">
        <f t="shared" si="62"/>
        <v>RAS</v>
      </c>
      <c r="P794" t="str">
        <f t="shared" si="63"/>
        <v>Hors Data</v>
      </c>
      <c r="Q794">
        <f t="shared" si="64"/>
        <v>15.557499999999999</v>
      </c>
      <c r="R794" t="str" cm="1">
        <f t="array" ref="R794">_xlfn.IFS(Q794&gt;=16, "Excellent",Q794&gt;=14, "Très bien", Q794&gt;=12, "Bien", Q794&gt;=10, "Passable", Q794&lt;10, "Insuffisant")</f>
        <v>Très bien</v>
      </c>
    </row>
    <row r="795" spans="1:18">
      <c r="A795" t="s">
        <v>1121</v>
      </c>
      <c r="B795" t="s">
        <v>55</v>
      </c>
      <c r="C795" t="s">
        <v>25</v>
      </c>
      <c r="D795" t="s">
        <v>34</v>
      </c>
      <c r="E795" t="s">
        <v>48</v>
      </c>
      <c r="F795">
        <v>8.26</v>
      </c>
      <c r="G795">
        <v>16.260000000000002</v>
      </c>
      <c r="H795">
        <v>8.69</v>
      </c>
      <c r="I795">
        <v>8.56</v>
      </c>
      <c r="J795" s="4">
        <v>0.74050000000000005</v>
      </c>
      <c r="K795">
        <v>100000</v>
      </c>
      <c r="L795" s="2">
        <v>45766</v>
      </c>
      <c r="M795" t="str">
        <f t="shared" si="60"/>
        <v>Non admis</v>
      </c>
      <c r="N795" t="str">
        <f t="shared" si="61"/>
        <v>Non Eligible</v>
      </c>
      <c r="O795" t="str">
        <f t="shared" si="62"/>
        <v>A surveiller</v>
      </c>
      <c r="P795" t="str">
        <f t="shared" si="63"/>
        <v>Hors Data</v>
      </c>
      <c r="Q795">
        <f t="shared" si="64"/>
        <v>10.442500000000001</v>
      </c>
      <c r="R795" t="str" cm="1">
        <f t="array" ref="R795">_xlfn.IFS(Q795&gt;=16, "Excellent",Q795&gt;=14, "Très bien", Q795&gt;=12, "Bien", Q795&gt;=10, "Passable", Q795&lt;10, "Insuffisant")</f>
        <v>Passable</v>
      </c>
    </row>
    <row r="796" spans="1:18">
      <c r="A796" t="s">
        <v>1122</v>
      </c>
      <c r="B796" t="s">
        <v>444</v>
      </c>
      <c r="C796" t="s">
        <v>20</v>
      </c>
      <c r="D796" t="s">
        <v>26</v>
      </c>
      <c r="E796" t="s">
        <v>48</v>
      </c>
      <c r="F796">
        <v>10.039999999999999</v>
      </c>
      <c r="G796">
        <v>8.4</v>
      </c>
      <c r="H796">
        <v>9.34</v>
      </c>
      <c r="I796">
        <v>9.6300000000000008</v>
      </c>
      <c r="J796" s="4">
        <v>0.67169999999999996</v>
      </c>
      <c r="K796">
        <v>120000</v>
      </c>
      <c r="L796" s="2">
        <v>45909</v>
      </c>
      <c r="M796" t="str">
        <f t="shared" si="60"/>
        <v>Non admis</v>
      </c>
      <c r="N796" t="str">
        <f t="shared" si="61"/>
        <v>Non Eligible</v>
      </c>
      <c r="O796" t="str">
        <f t="shared" si="62"/>
        <v>A surveiller</v>
      </c>
      <c r="P796" t="str">
        <f t="shared" si="63"/>
        <v>Hors Data</v>
      </c>
      <c r="Q796">
        <f t="shared" si="64"/>
        <v>9.3524999999999991</v>
      </c>
      <c r="R796" t="str" cm="1">
        <f t="array" ref="R796">_xlfn.IFS(Q796&gt;=16, "Excellent",Q796&gt;=14, "Très bien", Q796&gt;=12, "Bien", Q796&gt;=10, "Passable", Q796&lt;10, "Insuffisant")</f>
        <v>Insuffisant</v>
      </c>
    </row>
    <row r="797" spans="1:18">
      <c r="A797" t="s">
        <v>1123</v>
      </c>
      <c r="B797" t="s">
        <v>431</v>
      </c>
      <c r="C797" t="s">
        <v>20</v>
      </c>
      <c r="D797" t="s">
        <v>53</v>
      </c>
      <c r="E797" t="s">
        <v>27</v>
      </c>
      <c r="F797">
        <v>15.34</v>
      </c>
      <c r="G797">
        <v>11.6</v>
      </c>
      <c r="H797">
        <v>9.41</v>
      </c>
      <c r="I797">
        <v>9.09</v>
      </c>
      <c r="J797" s="4">
        <v>0.92059999999999997</v>
      </c>
      <c r="K797">
        <v>80000</v>
      </c>
      <c r="L797" s="2">
        <v>46188</v>
      </c>
      <c r="M797" t="str">
        <f t="shared" si="60"/>
        <v>Non admis</v>
      </c>
      <c r="N797" t="str">
        <f t="shared" si="61"/>
        <v>Non Eligible</v>
      </c>
      <c r="O797" t="str">
        <f t="shared" si="62"/>
        <v>A surveiller</v>
      </c>
      <c r="P797" t="str">
        <f t="shared" si="63"/>
        <v>Hors Data</v>
      </c>
      <c r="Q797">
        <f t="shared" si="64"/>
        <v>11.36</v>
      </c>
      <c r="R797" t="str" cm="1">
        <f t="array" ref="R797">_xlfn.IFS(Q797&gt;=16, "Excellent",Q797&gt;=14, "Très bien", Q797&gt;=12, "Bien", Q797&gt;=10, "Passable", Q797&lt;10, "Insuffisant")</f>
        <v>Passable</v>
      </c>
    </row>
    <row r="798" spans="1:18">
      <c r="A798" t="s">
        <v>1124</v>
      </c>
      <c r="B798" t="s">
        <v>404</v>
      </c>
      <c r="C798" t="s">
        <v>25</v>
      </c>
      <c r="D798" t="s">
        <v>26</v>
      </c>
      <c r="E798" t="s">
        <v>22</v>
      </c>
      <c r="F798">
        <v>12.45</v>
      </c>
      <c r="G798">
        <v>10.92</v>
      </c>
      <c r="H798">
        <v>9.7799999999999994</v>
      </c>
      <c r="I798">
        <v>13.31</v>
      </c>
      <c r="J798" s="4">
        <v>0.96179999999999999</v>
      </c>
      <c r="K798">
        <v>75000</v>
      </c>
      <c r="L798" s="2">
        <v>45913</v>
      </c>
      <c r="M798" t="str">
        <f t="shared" si="60"/>
        <v>Non admis</v>
      </c>
      <c r="N798" t="str">
        <f t="shared" si="61"/>
        <v>Non Eligible</v>
      </c>
      <c r="O798" t="str">
        <f t="shared" si="62"/>
        <v>A surveiller</v>
      </c>
      <c r="P798" t="str">
        <f t="shared" si="63"/>
        <v>Data</v>
      </c>
      <c r="Q798">
        <f t="shared" si="64"/>
        <v>11.615</v>
      </c>
      <c r="R798" t="str" cm="1">
        <f t="array" ref="R798">_xlfn.IFS(Q798&gt;=16, "Excellent",Q798&gt;=14, "Très bien", Q798&gt;=12, "Bien", Q798&gt;=10, "Passable", Q798&lt;10, "Insuffisant")</f>
        <v>Passable</v>
      </c>
    </row>
    <row r="799" spans="1:18">
      <c r="A799" t="s">
        <v>1125</v>
      </c>
      <c r="B799" t="s">
        <v>33</v>
      </c>
      <c r="C799" t="s">
        <v>20</v>
      </c>
      <c r="D799" t="s">
        <v>34</v>
      </c>
      <c r="E799" t="s">
        <v>48</v>
      </c>
      <c r="F799">
        <v>9.77</v>
      </c>
      <c r="G799">
        <v>9.94</v>
      </c>
      <c r="H799">
        <v>11.3</v>
      </c>
      <c r="I799">
        <v>12.92</v>
      </c>
      <c r="J799" s="4">
        <v>0.80249999999999999</v>
      </c>
      <c r="K799">
        <v>110000</v>
      </c>
      <c r="L799" s="2">
        <v>46013</v>
      </c>
      <c r="M799" t="str">
        <f t="shared" si="60"/>
        <v>Admis</v>
      </c>
      <c r="N799" t="str">
        <f t="shared" si="61"/>
        <v>Non Eligible</v>
      </c>
      <c r="O799" t="str">
        <f t="shared" si="62"/>
        <v>A surveiller</v>
      </c>
      <c r="P799" t="str">
        <f t="shared" si="63"/>
        <v>Hors Data</v>
      </c>
      <c r="Q799">
        <f t="shared" si="64"/>
        <v>10.9825</v>
      </c>
      <c r="R799" t="str" cm="1">
        <f t="array" ref="R799">_xlfn.IFS(Q799&gt;=16, "Excellent",Q799&gt;=14, "Très bien", Q799&gt;=12, "Bien", Q799&gt;=10, "Passable", Q799&lt;10, "Insuffisant")</f>
        <v>Passable</v>
      </c>
    </row>
    <row r="800" spans="1:18">
      <c r="A800" t="s">
        <v>1126</v>
      </c>
      <c r="B800" t="s">
        <v>865</v>
      </c>
      <c r="C800" t="s">
        <v>20</v>
      </c>
      <c r="D800" t="s">
        <v>41</v>
      </c>
      <c r="E800" t="s">
        <v>22</v>
      </c>
      <c r="F800">
        <v>13.73</v>
      </c>
      <c r="G800">
        <v>15.78</v>
      </c>
      <c r="H800">
        <v>9.09</v>
      </c>
      <c r="I800">
        <v>12.76</v>
      </c>
      <c r="J800" s="4">
        <v>0.74519999999999997</v>
      </c>
      <c r="K800">
        <v>130000</v>
      </c>
      <c r="L800" s="2">
        <v>46172</v>
      </c>
      <c r="M800" t="str">
        <f t="shared" si="60"/>
        <v>Non admis</v>
      </c>
      <c r="N800" t="str">
        <f t="shared" si="61"/>
        <v>Non Eligible</v>
      </c>
      <c r="O800" t="str">
        <f t="shared" si="62"/>
        <v>A surveiller</v>
      </c>
      <c r="P800" t="str">
        <f t="shared" si="63"/>
        <v>Data</v>
      </c>
      <c r="Q800">
        <f t="shared" si="64"/>
        <v>12.839999999999998</v>
      </c>
      <c r="R800" t="str" cm="1">
        <f t="array" ref="R800">_xlfn.IFS(Q800&gt;=16, "Excellent",Q800&gt;=14, "Très bien", Q800&gt;=12, "Bien", Q800&gt;=10, "Passable", Q800&lt;10, "Insuffisant")</f>
        <v>Bien</v>
      </c>
    </row>
    <row r="801" spans="1:18">
      <c r="A801" t="s">
        <v>1127</v>
      </c>
      <c r="B801" t="s">
        <v>47</v>
      </c>
      <c r="C801" t="s">
        <v>20</v>
      </c>
      <c r="D801" t="s">
        <v>53</v>
      </c>
      <c r="E801" t="s">
        <v>35</v>
      </c>
      <c r="F801">
        <v>10.43</v>
      </c>
      <c r="G801">
        <v>11.53</v>
      </c>
      <c r="H801">
        <v>10.19</v>
      </c>
      <c r="I801">
        <v>6.92</v>
      </c>
      <c r="J801" s="4">
        <v>0.90649999999999997</v>
      </c>
      <c r="K801">
        <v>130000</v>
      </c>
      <c r="L801" s="2">
        <v>46218</v>
      </c>
      <c r="M801" t="str">
        <f t="shared" si="60"/>
        <v>Admis</v>
      </c>
      <c r="N801" t="str">
        <f t="shared" si="61"/>
        <v>Non Eligible</v>
      </c>
      <c r="O801" t="str">
        <f t="shared" si="62"/>
        <v>RAS</v>
      </c>
      <c r="P801" t="str">
        <f t="shared" si="63"/>
        <v>Hors Data</v>
      </c>
      <c r="Q801">
        <f t="shared" si="64"/>
        <v>9.7675000000000001</v>
      </c>
      <c r="R801" t="str" cm="1">
        <f t="array" ref="R801">_xlfn.IFS(Q801&gt;=16, "Excellent",Q801&gt;=14, "Très bien", Q801&gt;=12, "Bien", Q801&gt;=10, "Passable", Q801&lt;10, "Insuffisant")</f>
        <v>Insuffisant</v>
      </c>
    </row>
    <row r="802" spans="1:18">
      <c r="A802" t="s">
        <v>1128</v>
      </c>
      <c r="B802" t="s">
        <v>564</v>
      </c>
      <c r="C802" t="s">
        <v>20</v>
      </c>
      <c r="D802" t="s">
        <v>34</v>
      </c>
      <c r="E802" t="s">
        <v>27</v>
      </c>
      <c r="F802">
        <v>9.82</v>
      </c>
      <c r="G802">
        <v>16.59</v>
      </c>
      <c r="H802">
        <v>19.39</v>
      </c>
      <c r="I802">
        <v>12.88</v>
      </c>
      <c r="J802" s="4">
        <v>0.9163</v>
      </c>
      <c r="K802">
        <v>60000</v>
      </c>
      <c r="L802" s="2">
        <v>45885</v>
      </c>
      <c r="M802" t="str">
        <f t="shared" si="60"/>
        <v>Admis</v>
      </c>
      <c r="N802" t="str">
        <f t="shared" si="61"/>
        <v>Non Eligible</v>
      </c>
      <c r="O802" t="str">
        <f t="shared" si="62"/>
        <v>A surveiller</v>
      </c>
      <c r="P802" t="str">
        <f t="shared" si="63"/>
        <v>Hors Data</v>
      </c>
      <c r="Q802">
        <f t="shared" si="64"/>
        <v>14.67</v>
      </c>
      <c r="R802" t="str" cm="1">
        <f t="array" ref="R802">_xlfn.IFS(Q802&gt;=16, "Excellent",Q802&gt;=14, "Très bien", Q802&gt;=12, "Bien", Q802&gt;=10, "Passable", Q802&lt;10, "Insuffisant")</f>
        <v>Très bien</v>
      </c>
    </row>
    <row r="803" spans="1:18">
      <c r="A803" t="s">
        <v>1129</v>
      </c>
      <c r="B803" t="s">
        <v>251</v>
      </c>
      <c r="C803" t="s">
        <v>20</v>
      </c>
      <c r="D803" t="s">
        <v>34</v>
      </c>
      <c r="E803" t="s">
        <v>27</v>
      </c>
      <c r="F803">
        <v>8.94</v>
      </c>
      <c r="G803">
        <v>13.08</v>
      </c>
      <c r="H803">
        <v>13.6</v>
      </c>
      <c r="I803">
        <v>11.21</v>
      </c>
      <c r="J803" s="4">
        <v>0.92020000000000002</v>
      </c>
      <c r="K803">
        <v>130000</v>
      </c>
      <c r="L803" s="2">
        <v>45827</v>
      </c>
      <c r="M803" t="str">
        <f t="shared" si="60"/>
        <v>Admis</v>
      </c>
      <c r="N803" t="str">
        <f t="shared" si="61"/>
        <v>Non Eligible</v>
      </c>
      <c r="O803" t="str">
        <f t="shared" si="62"/>
        <v>A surveiller</v>
      </c>
      <c r="P803" t="str">
        <f t="shared" si="63"/>
        <v>Hors Data</v>
      </c>
      <c r="Q803">
        <f t="shared" si="64"/>
        <v>11.7075</v>
      </c>
      <c r="R803" t="str" cm="1">
        <f t="array" ref="R803">_xlfn.IFS(Q803&gt;=16, "Excellent",Q803&gt;=14, "Très bien", Q803&gt;=12, "Bien", Q803&gt;=10, "Passable", Q803&lt;10, "Insuffisant")</f>
        <v>Passable</v>
      </c>
    </row>
    <row r="804" spans="1:18">
      <c r="A804" t="s">
        <v>1130</v>
      </c>
      <c r="B804" t="s">
        <v>1131</v>
      </c>
      <c r="C804" t="s">
        <v>25</v>
      </c>
      <c r="D804" t="s">
        <v>34</v>
      </c>
      <c r="E804" t="s">
        <v>35</v>
      </c>
      <c r="F804">
        <v>20</v>
      </c>
      <c r="G804">
        <v>20</v>
      </c>
      <c r="H804">
        <v>20</v>
      </c>
      <c r="I804">
        <v>20</v>
      </c>
      <c r="J804" s="4">
        <v>0.87329999999999997</v>
      </c>
      <c r="K804">
        <v>110000</v>
      </c>
      <c r="L804" s="2">
        <v>45673</v>
      </c>
      <c r="M804" t="str">
        <f t="shared" si="60"/>
        <v>Admis</v>
      </c>
      <c r="N804" t="str">
        <f t="shared" si="61"/>
        <v>Eligible</v>
      </c>
      <c r="O804" t="str">
        <f t="shared" si="62"/>
        <v>RAS</v>
      </c>
      <c r="P804" t="str">
        <f t="shared" si="63"/>
        <v>Hors Data</v>
      </c>
      <c r="Q804">
        <f t="shared" si="64"/>
        <v>20</v>
      </c>
      <c r="R804" t="str" cm="1">
        <f t="array" ref="R804">_xlfn.IFS(Q804&gt;=16, "Excellent",Q804&gt;=14, "Très bien", Q804&gt;=12, "Bien", Q804&gt;=10, "Passable", Q804&lt;10, "Insuffisant")</f>
        <v>Excellent</v>
      </c>
    </row>
    <row r="805" spans="1:18">
      <c r="A805" t="s">
        <v>1132</v>
      </c>
      <c r="B805" t="s">
        <v>803</v>
      </c>
      <c r="C805" t="s">
        <v>25</v>
      </c>
      <c r="D805" t="s">
        <v>53</v>
      </c>
      <c r="E805" t="s">
        <v>35</v>
      </c>
      <c r="F805">
        <v>11.45</v>
      </c>
      <c r="G805">
        <v>19.63</v>
      </c>
      <c r="H805">
        <v>9.36</v>
      </c>
      <c r="I805">
        <v>7.59</v>
      </c>
      <c r="J805" s="4">
        <v>0.94850000000000001</v>
      </c>
      <c r="K805">
        <v>60000</v>
      </c>
      <c r="L805" s="2">
        <v>45912</v>
      </c>
      <c r="M805" t="str">
        <f t="shared" si="60"/>
        <v>Non admis</v>
      </c>
      <c r="N805" t="str">
        <f t="shared" si="61"/>
        <v>Non Eligible</v>
      </c>
      <c r="O805" t="str">
        <f t="shared" si="62"/>
        <v>A surveiller</v>
      </c>
      <c r="P805" t="str">
        <f t="shared" si="63"/>
        <v>Hors Data</v>
      </c>
      <c r="Q805">
        <f t="shared" si="64"/>
        <v>12.0075</v>
      </c>
      <c r="R805" t="str" cm="1">
        <f t="array" ref="R805">_xlfn.IFS(Q805&gt;=16, "Excellent",Q805&gt;=14, "Très bien", Q805&gt;=12, "Bien", Q805&gt;=10, "Passable", Q805&lt;10, "Insuffisant")</f>
        <v>Bien</v>
      </c>
    </row>
    <row r="806" spans="1:18">
      <c r="A806" t="s">
        <v>1133</v>
      </c>
      <c r="B806" t="s">
        <v>243</v>
      </c>
      <c r="C806" t="s">
        <v>25</v>
      </c>
      <c r="D806" t="s">
        <v>21</v>
      </c>
      <c r="E806" t="s">
        <v>48</v>
      </c>
      <c r="F806">
        <v>14.25</v>
      </c>
      <c r="G806">
        <v>14.43</v>
      </c>
      <c r="H806">
        <v>14.91</v>
      </c>
      <c r="I806">
        <v>12.89</v>
      </c>
      <c r="J806" s="4">
        <v>0.89100000000000001</v>
      </c>
      <c r="K806">
        <v>50000</v>
      </c>
      <c r="L806" s="2">
        <v>46178</v>
      </c>
      <c r="M806" t="str">
        <f t="shared" si="60"/>
        <v>Admis</v>
      </c>
      <c r="N806" t="str">
        <f t="shared" si="61"/>
        <v>Eligible</v>
      </c>
      <c r="O806" t="str">
        <f t="shared" si="62"/>
        <v>RAS</v>
      </c>
      <c r="P806" t="str">
        <f t="shared" si="63"/>
        <v>Hors Data</v>
      </c>
      <c r="Q806">
        <f t="shared" si="64"/>
        <v>14.120000000000001</v>
      </c>
      <c r="R806" t="str" cm="1">
        <f t="array" ref="R806">_xlfn.IFS(Q806&gt;=16, "Excellent",Q806&gt;=14, "Très bien", Q806&gt;=12, "Bien", Q806&gt;=10, "Passable", Q806&lt;10, "Insuffisant")</f>
        <v>Très bien</v>
      </c>
    </row>
    <row r="807" spans="1:18">
      <c r="A807" t="s">
        <v>1134</v>
      </c>
      <c r="B807" t="s">
        <v>433</v>
      </c>
      <c r="C807" t="s">
        <v>25</v>
      </c>
      <c r="D807" t="s">
        <v>38</v>
      </c>
      <c r="E807" t="s">
        <v>35</v>
      </c>
      <c r="F807">
        <v>12.36</v>
      </c>
      <c r="G807">
        <v>10.7</v>
      </c>
      <c r="H807">
        <v>4.97</v>
      </c>
      <c r="I807">
        <v>13.33</v>
      </c>
      <c r="J807" s="4">
        <v>0.84650000000000003</v>
      </c>
      <c r="K807">
        <v>70000</v>
      </c>
      <c r="L807" s="2">
        <v>45876</v>
      </c>
      <c r="M807" t="str">
        <f t="shared" si="60"/>
        <v>Non admis</v>
      </c>
      <c r="N807" t="str">
        <f t="shared" si="61"/>
        <v>Non Eligible</v>
      </c>
      <c r="O807" t="str">
        <f t="shared" si="62"/>
        <v>A surveiller</v>
      </c>
      <c r="P807" t="str">
        <f t="shared" si="63"/>
        <v>Hors Data</v>
      </c>
      <c r="Q807">
        <f t="shared" si="64"/>
        <v>10.34</v>
      </c>
      <c r="R807" t="str" cm="1">
        <f t="array" ref="R807">_xlfn.IFS(Q807&gt;=16, "Excellent",Q807&gt;=14, "Très bien", Q807&gt;=12, "Bien", Q807&gt;=10, "Passable", Q807&lt;10, "Insuffisant")</f>
        <v>Passable</v>
      </c>
    </row>
    <row r="808" spans="1:18">
      <c r="A808" t="s">
        <v>1135</v>
      </c>
      <c r="B808" t="s">
        <v>675</v>
      </c>
      <c r="C808" t="s">
        <v>25</v>
      </c>
      <c r="D808" t="s">
        <v>34</v>
      </c>
      <c r="E808" t="s">
        <v>22</v>
      </c>
      <c r="F808">
        <v>17.57</v>
      </c>
      <c r="G808">
        <v>14.91</v>
      </c>
      <c r="H808">
        <v>20</v>
      </c>
      <c r="I808">
        <v>17.7</v>
      </c>
      <c r="J808" s="4">
        <v>0.94710000000000005</v>
      </c>
      <c r="K808">
        <v>130000</v>
      </c>
      <c r="L808" s="2">
        <v>45779</v>
      </c>
      <c r="M808" t="str">
        <f t="shared" si="60"/>
        <v>Admis</v>
      </c>
      <c r="N808" t="str">
        <f t="shared" si="61"/>
        <v>Eligible</v>
      </c>
      <c r="O808" t="str">
        <f t="shared" si="62"/>
        <v>RAS</v>
      </c>
      <c r="P808" t="str">
        <f t="shared" si="63"/>
        <v>Data</v>
      </c>
      <c r="Q808">
        <f t="shared" si="64"/>
        <v>17.545000000000002</v>
      </c>
      <c r="R808" t="str" cm="1">
        <f t="array" ref="R808">_xlfn.IFS(Q808&gt;=16, "Excellent",Q808&gt;=14, "Très bien", Q808&gt;=12, "Bien", Q808&gt;=10, "Passable", Q808&lt;10, "Insuffisant")</f>
        <v>Excellent</v>
      </c>
    </row>
    <row r="809" spans="1:18">
      <c r="A809" t="s">
        <v>1136</v>
      </c>
      <c r="B809" t="s">
        <v>65</v>
      </c>
      <c r="C809" t="s">
        <v>20</v>
      </c>
      <c r="D809" t="s">
        <v>38</v>
      </c>
      <c r="E809" t="s">
        <v>35</v>
      </c>
      <c r="F809">
        <v>14.31</v>
      </c>
      <c r="G809">
        <v>15.84</v>
      </c>
      <c r="H809">
        <v>16.36</v>
      </c>
      <c r="I809">
        <v>19.809999999999999</v>
      </c>
      <c r="J809" s="4">
        <v>0.92200000000000004</v>
      </c>
      <c r="K809">
        <v>110000</v>
      </c>
      <c r="L809" s="2">
        <v>45611</v>
      </c>
      <c r="M809" t="str">
        <f t="shared" si="60"/>
        <v>Admis</v>
      </c>
      <c r="N809" t="str">
        <f t="shared" si="61"/>
        <v>Eligible</v>
      </c>
      <c r="O809" t="str">
        <f t="shared" si="62"/>
        <v>RAS</v>
      </c>
      <c r="P809" t="str">
        <f t="shared" si="63"/>
        <v>Hors Data</v>
      </c>
      <c r="Q809">
        <f t="shared" si="64"/>
        <v>16.579999999999998</v>
      </c>
      <c r="R809" t="str" cm="1">
        <f t="array" ref="R809">_xlfn.IFS(Q809&gt;=16, "Excellent",Q809&gt;=14, "Très bien", Q809&gt;=12, "Bien", Q809&gt;=10, "Passable", Q809&lt;10, "Insuffisant")</f>
        <v>Excellent</v>
      </c>
    </row>
    <row r="810" spans="1:18">
      <c r="A810" t="s">
        <v>1137</v>
      </c>
      <c r="B810" t="s">
        <v>474</v>
      </c>
      <c r="C810" t="s">
        <v>20</v>
      </c>
      <c r="D810" t="s">
        <v>21</v>
      </c>
      <c r="E810" t="s">
        <v>35</v>
      </c>
      <c r="F810">
        <v>15.05</v>
      </c>
      <c r="G810">
        <v>17.260000000000002</v>
      </c>
      <c r="H810">
        <v>18.559999999999999</v>
      </c>
      <c r="I810">
        <v>15.66</v>
      </c>
      <c r="J810" s="4">
        <v>0.95009999999999994</v>
      </c>
      <c r="K810">
        <v>90000</v>
      </c>
      <c r="L810" s="2">
        <v>45808</v>
      </c>
      <c r="M810" t="str">
        <f t="shared" si="60"/>
        <v>Admis</v>
      </c>
      <c r="N810" t="str">
        <f t="shared" si="61"/>
        <v>Eligible</v>
      </c>
      <c r="O810" t="str">
        <f t="shared" si="62"/>
        <v>RAS</v>
      </c>
      <c r="P810" t="str">
        <f t="shared" si="63"/>
        <v>Hors Data</v>
      </c>
      <c r="Q810">
        <f t="shared" si="64"/>
        <v>16.6325</v>
      </c>
      <c r="R810" t="str" cm="1">
        <f t="array" ref="R810">_xlfn.IFS(Q810&gt;=16, "Excellent",Q810&gt;=14, "Très bien", Q810&gt;=12, "Bien", Q810&gt;=10, "Passable", Q810&lt;10, "Insuffisant")</f>
        <v>Excellent</v>
      </c>
    </row>
    <row r="811" spans="1:18">
      <c r="A811" t="s">
        <v>1138</v>
      </c>
      <c r="B811" t="s">
        <v>37</v>
      </c>
      <c r="C811" t="s">
        <v>25</v>
      </c>
      <c r="D811" t="s">
        <v>34</v>
      </c>
      <c r="E811" t="s">
        <v>48</v>
      </c>
      <c r="F811">
        <v>9.01</v>
      </c>
      <c r="G811">
        <v>7.19</v>
      </c>
      <c r="H811">
        <v>6.13</v>
      </c>
      <c r="I811">
        <v>7.24</v>
      </c>
      <c r="J811" s="4">
        <v>0.74590000000000001</v>
      </c>
      <c r="K811">
        <v>90000</v>
      </c>
      <c r="L811" s="2">
        <v>45701</v>
      </c>
      <c r="M811" t="str">
        <f t="shared" si="60"/>
        <v>Non admis</v>
      </c>
      <c r="N811" t="str">
        <f t="shared" si="61"/>
        <v>Non Eligible</v>
      </c>
      <c r="O811" t="str">
        <f t="shared" si="62"/>
        <v>A surveiller</v>
      </c>
      <c r="P811" t="str">
        <f t="shared" si="63"/>
        <v>Hors Data</v>
      </c>
      <c r="Q811">
        <f t="shared" si="64"/>
        <v>7.3925000000000001</v>
      </c>
      <c r="R811" t="str" cm="1">
        <f t="array" ref="R811">_xlfn.IFS(Q811&gt;=16, "Excellent",Q811&gt;=14, "Très bien", Q811&gt;=12, "Bien", Q811&gt;=10, "Passable", Q811&lt;10, "Insuffisant")</f>
        <v>Insuffisant</v>
      </c>
    </row>
    <row r="812" spans="1:18">
      <c r="A812" t="s">
        <v>1139</v>
      </c>
      <c r="B812" t="s">
        <v>388</v>
      </c>
      <c r="C812" t="s">
        <v>20</v>
      </c>
      <c r="D812" t="s">
        <v>53</v>
      </c>
      <c r="E812" t="s">
        <v>27</v>
      </c>
      <c r="F812">
        <v>13.75</v>
      </c>
      <c r="G812">
        <v>9.74</v>
      </c>
      <c r="H812">
        <v>16.309999999999999</v>
      </c>
      <c r="I812">
        <v>13.35</v>
      </c>
      <c r="J812" s="4">
        <v>0.85399999999999998</v>
      </c>
      <c r="K812">
        <v>80000</v>
      </c>
      <c r="L812" s="2">
        <v>46219</v>
      </c>
      <c r="M812" t="str">
        <f t="shared" si="60"/>
        <v>Admis</v>
      </c>
      <c r="N812" t="str">
        <f t="shared" si="61"/>
        <v>Eligible</v>
      </c>
      <c r="O812" t="str">
        <f t="shared" si="62"/>
        <v>RAS</v>
      </c>
      <c r="P812" t="str">
        <f t="shared" si="63"/>
        <v>Hors Data</v>
      </c>
      <c r="Q812">
        <f t="shared" si="64"/>
        <v>13.2875</v>
      </c>
      <c r="R812" t="str" cm="1">
        <f t="array" ref="R812">_xlfn.IFS(Q812&gt;=16, "Excellent",Q812&gt;=14, "Très bien", Q812&gt;=12, "Bien", Q812&gt;=10, "Passable", Q812&lt;10, "Insuffisant")</f>
        <v>Bien</v>
      </c>
    </row>
    <row r="813" spans="1:18">
      <c r="A813" t="s">
        <v>1140</v>
      </c>
      <c r="B813" t="s">
        <v>272</v>
      </c>
      <c r="C813" t="s">
        <v>25</v>
      </c>
      <c r="D813" t="s">
        <v>26</v>
      </c>
      <c r="E813" t="s">
        <v>48</v>
      </c>
      <c r="F813">
        <v>9.7200000000000006</v>
      </c>
      <c r="G813">
        <v>10.83</v>
      </c>
      <c r="H813">
        <v>10.34</v>
      </c>
      <c r="I813">
        <v>9.98</v>
      </c>
      <c r="J813" s="4">
        <v>0.7349</v>
      </c>
      <c r="K813">
        <v>120000</v>
      </c>
      <c r="L813" s="2">
        <v>45905</v>
      </c>
      <c r="M813" t="str">
        <f t="shared" si="60"/>
        <v>Admis</v>
      </c>
      <c r="N813" t="str">
        <f t="shared" si="61"/>
        <v>Non Eligible</v>
      </c>
      <c r="O813" t="str">
        <f t="shared" si="62"/>
        <v>A surveiller</v>
      </c>
      <c r="P813" t="str">
        <f t="shared" si="63"/>
        <v>Hors Data</v>
      </c>
      <c r="Q813">
        <f t="shared" si="64"/>
        <v>10.217500000000001</v>
      </c>
      <c r="R813" t="str" cm="1">
        <f t="array" ref="R813">_xlfn.IFS(Q813&gt;=16, "Excellent",Q813&gt;=14, "Très bien", Q813&gt;=12, "Bien", Q813&gt;=10, "Passable", Q813&lt;10, "Insuffisant")</f>
        <v>Passable</v>
      </c>
    </row>
    <row r="814" spans="1:18">
      <c r="A814" t="s">
        <v>1141</v>
      </c>
      <c r="B814" t="s">
        <v>1106</v>
      </c>
      <c r="C814" t="s">
        <v>25</v>
      </c>
      <c r="D814" t="s">
        <v>26</v>
      </c>
      <c r="E814" t="s">
        <v>35</v>
      </c>
      <c r="F814">
        <v>20</v>
      </c>
      <c r="G814">
        <v>20</v>
      </c>
      <c r="H814">
        <v>17.07</v>
      </c>
      <c r="I814">
        <v>15.4</v>
      </c>
      <c r="J814" s="4">
        <v>0.91690000000000005</v>
      </c>
      <c r="K814">
        <v>60000</v>
      </c>
      <c r="L814" s="2">
        <v>45631</v>
      </c>
      <c r="M814" t="str">
        <f t="shared" si="60"/>
        <v>Admis</v>
      </c>
      <c r="N814" t="str">
        <f t="shared" si="61"/>
        <v>Eligible</v>
      </c>
      <c r="O814" t="str">
        <f t="shared" si="62"/>
        <v>RAS</v>
      </c>
      <c r="P814" t="str">
        <f t="shared" si="63"/>
        <v>Hors Data</v>
      </c>
      <c r="Q814">
        <f t="shared" si="64"/>
        <v>18.1175</v>
      </c>
      <c r="R814" t="str" cm="1">
        <f t="array" ref="R814">_xlfn.IFS(Q814&gt;=16, "Excellent",Q814&gt;=14, "Très bien", Q814&gt;=12, "Bien", Q814&gt;=10, "Passable", Q814&lt;10, "Insuffisant")</f>
        <v>Excellent</v>
      </c>
    </row>
    <row r="815" spans="1:18">
      <c r="A815" t="s">
        <v>1142</v>
      </c>
      <c r="B815" t="s">
        <v>90</v>
      </c>
      <c r="C815" t="s">
        <v>20</v>
      </c>
      <c r="D815" t="s">
        <v>53</v>
      </c>
      <c r="E815" t="s">
        <v>48</v>
      </c>
      <c r="F815">
        <v>10.84</v>
      </c>
      <c r="G815">
        <v>16.260000000000002</v>
      </c>
      <c r="H815">
        <v>12.95</v>
      </c>
      <c r="I815">
        <v>13.53</v>
      </c>
      <c r="J815" s="4">
        <v>0.88139999999999996</v>
      </c>
      <c r="K815">
        <v>75000</v>
      </c>
      <c r="L815" s="2">
        <v>45583</v>
      </c>
      <c r="M815" t="str">
        <f t="shared" si="60"/>
        <v>Admis</v>
      </c>
      <c r="N815" t="str">
        <f t="shared" si="61"/>
        <v>Non Eligible</v>
      </c>
      <c r="O815" t="str">
        <f t="shared" si="62"/>
        <v>RAS</v>
      </c>
      <c r="P815" t="str">
        <f t="shared" si="63"/>
        <v>Hors Data</v>
      </c>
      <c r="Q815">
        <f t="shared" si="64"/>
        <v>13.395</v>
      </c>
      <c r="R815" t="str" cm="1">
        <f t="array" ref="R815">_xlfn.IFS(Q815&gt;=16, "Excellent",Q815&gt;=14, "Très bien", Q815&gt;=12, "Bien", Q815&gt;=10, "Passable", Q815&lt;10, "Insuffisant")</f>
        <v>Bien</v>
      </c>
    </row>
    <row r="816" spans="1:18">
      <c r="A816" t="s">
        <v>1143</v>
      </c>
      <c r="B816" t="s">
        <v>79</v>
      </c>
      <c r="C816" t="s">
        <v>25</v>
      </c>
      <c r="D816" t="s">
        <v>53</v>
      </c>
      <c r="E816" t="s">
        <v>27</v>
      </c>
      <c r="F816">
        <v>12.91</v>
      </c>
      <c r="G816">
        <v>13.43</v>
      </c>
      <c r="H816">
        <v>15.28</v>
      </c>
      <c r="I816">
        <v>16.98</v>
      </c>
      <c r="J816" s="4">
        <v>0.92849999999999999</v>
      </c>
      <c r="K816">
        <v>70000</v>
      </c>
      <c r="L816" s="2">
        <v>46131</v>
      </c>
      <c r="M816" t="str">
        <f t="shared" si="60"/>
        <v>Admis</v>
      </c>
      <c r="N816" t="str">
        <f t="shared" si="61"/>
        <v>Eligible</v>
      </c>
      <c r="O816" t="str">
        <f t="shared" si="62"/>
        <v>RAS</v>
      </c>
      <c r="P816" t="str">
        <f t="shared" si="63"/>
        <v>Hors Data</v>
      </c>
      <c r="Q816">
        <f t="shared" si="64"/>
        <v>14.649999999999999</v>
      </c>
      <c r="R816" t="str" cm="1">
        <f t="array" ref="R816">_xlfn.IFS(Q816&gt;=16, "Excellent",Q816&gt;=14, "Très bien", Q816&gt;=12, "Bien", Q816&gt;=10, "Passable", Q816&lt;10, "Insuffisant")</f>
        <v>Très bien</v>
      </c>
    </row>
    <row r="817" spans="1:18">
      <c r="A817" t="s">
        <v>1144</v>
      </c>
      <c r="B817" t="s">
        <v>415</v>
      </c>
      <c r="C817" t="s">
        <v>25</v>
      </c>
      <c r="D817" t="s">
        <v>41</v>
      </c>
      <c r="E817" t="s">
        <v>35</v>
      </c>
      <c r="F817">
        <v>6.67</v>
      </c>
      <c r="G817">
        <v>2.99</v>
      </c>
      <c r="H817">
        <v>8.3699999999999992</v>
      </c>
      <c r="I817">
        <v>4.43</v>
      </c>
      <c r="J817" s="4">
        <v>0.80820000000000003</v>
      </c>
      <c r="K817">
        <v>120000</v>
      </c>
      <c r="L817" s="2">
        <v>46188</v>
      </c>
      <c r="M817" t="str">
        <f t="shared" si="60"/>
        <v>Non admis</v>
      </c>
      <c r="N817" t="str">
        <f t="shared" si="61"/>
        <v>Non Eligible</v>
      </c>
      <c r="O817" t="str">
        <f t="shared" si="62"/>
        <v>A surveiller</v>
      </c>
      <c r="P817" t="str">
        <f t="shared" si="63"/>
        <v>Hors Data</v>
      </c>
      <c r="Q817">
        <f t="shared" si="64"/>
        <v>5.6150000000000002</v>
      </c>
      <c r="R817" t="str" cm="1">
        <f t="array" ref="R817">_xlfn.IFS(Q817&gt;=16, "Excellent",Q817&gt;=14, "Très bien", Q817&gt;=12, "Bien", Q817&gt;=10, "Passable", Q817&lt;10, "Insuffisant")</f>
        <v>Insuffisant</v>
      </c>
    </row>
    <row r="818" spans="1:18">
      <c r="A818" t="s">
        <v>1145</v>
      </c>
      <c r="B818" t="s">
        <v>575</v>
      </c>
      <c r="C818" t="s">
        <v>20</v>
      </c>
      <c r="D818" t="s">
        <v>38</v>
      </c>
      <c r="E818" t="s">
        <v>35</v>
      </c>
      <c r="F818">
        <v>9.0299999999999994</v>
      </c>
      <c r="G818">
        <v>12.14</v>
      </c>
      <c r="H818">
        <v>14.87</v>
      </c>
      <c r="I818">
        <v>13.02</v>
      </c>
      <c r="J818" s="4">
        <v>0.82210000000000005</v>
      </c>
      <c r="K818">
        <v>85000</v>
      </c>
      <c r="L818" s="2">
        <v>46070</v>
      </c>
      <c r="M818" t="str">
        <f t="shared" si="60"/>
        <v>Admis</v>
      </c>
      <c r="N818" t="str">
        <f t="shared" si="61"/>
        <v>Non Eligible</v>
      </c>
      <c r="O818" t="str">
        <f t="shared" si="62"/>
        <v>A surveiller</v>
      </c>
      <c r="P818" t="str">
        <f t="shared" si="63"/>
        <v>Hors Data</v>
      </c>
      <c r="Q818">
        <f t="shared" si="64"/>
        <v>12.265000000000001</v>
      </c>
      <c r="R818" t="str" cm="1">
        <f t="array" ref="R818">_xlfn.IFS(Q818&gt;=16, "Excellent",Q818&gt;=14, "Très bien", Q818&gt;=12, "Bien", Q818&gt;=10, "Passable", Q818&lt;10, "Insuffisant")</f>
        <v>Bien</v>
      </c>
    </row>
    <row r="819" spans="1:18">
      <c r="A819" t="s">
        <v>1146</v>
      </c>
      <c r="B819" t="s">
        <v>1147</v>
      </c>
      <c r="C819" t="s">
        <v>20</v>
      </c>
      <c r="D819" t="s">
        <v>41</v>
      </c>
      <c r="E819" t="s">
        <v>22</v>
      </c>
      <c r="F819">
        <v>17.41</v>
      </c>
      <c r="G819">
        <v>17.28</v>
      </c>
      <c r="H819">
        <v>17.84</v>
      </c>
      <c r="I819">
        <v>14.37</v>
      </c>
      <c r="J819" s="4">
        <v>0.86709999999999998</v>
      </c>
      <c r="K819">
        <v>100000</v>
      </c>
      <c r="L819" s="2">
        <v>45622</v>
      </c>
      <c r="M819" t="str">
        <f t="shared" si="60"/>
        <v>Admis</v>
      </c>
      <c r="N819" t="str">
        <f t="shared" si="61"/>
        <v>Eligible</v>
      </c>
      <c r="O819" t="str">
        <f t="shared" si="62"/>
        <v>RAS</v>
      </c>
      <c r="P819" t="str">
        <f t="shared" si="63"/>
        <v>Data</v>
      </c>
      <c r="Q819">
        <f t="shared" si="64"/>
        <v>16.725000000000001</v>
      </c>
      <c r="R819" t="str" cm="1">
        <f t="array" ref="R819">_xlfn.IFS(Q819&gt;=16, "Excellent",Q819&gt;=14, "Très bien", Q819&gt;=12, "Bien", Q819&gt;=10, "Passable", Q819&lt;10, "Insuffisant")</f>
        <v>Excellent</v>
      </c>
    </row>
    <row r="820" spans="1:18">
      <c r="A820" t="s">
        <v>1148</v>
      </c>
      <c r="B820" t="s">
        <v>720</v>
      </c>
      <c r="C820" t="s">
        <v>25</v>
      </c>
      <c r="D820" t="s">
        <v>21</v>
      </c>
      <c r="E820" t="s">
        <v>27</v>
      </c>
      <c r="F820">
        <v>18.690000000000001</v>
      </c>
      <c r="G820">
        <v>13.38</v>
      </c>
      <c r="H820">
        <v>15.79</v>
      </c>
      <c r="I820">
        <v>16.739999999999998</v>
      </c>
      <c r="J820" s="4">
        <v>0.95279999999999998</v>
      </c>
      <c r="K820">
        <v>130000</v>
      </c>
      <c r="L820" s="2">
        <v>45604</v>
      </c>
      <c r="M820" t="str">
        <f t="shared" si="60"/>
        <v>Admis</v>
      </c>
      <c r="N820" t="str">
        <f t="shared" si="61"/>
        <v>Eligible</v>
      </c>
      <c r="O820" t="str">
        <f t="shared" si="62"/>
        <v>RAS</v>
      </c>
      <c r="P820" t="str">
        <f t="shared" si="63"/>
        <v>Hors Data</v>
      </c>
      <c r="Q820">
        <f t="shared" si="64"/>
        <v>16.149999999999999</v>
      </c>
      <c r="R820" t="str" cm="1">
        <f t="array" ref="R820">_xlfn.IFS(Q820&gt;=16, "Excellent",Q820&gt;=14, "Très bien", Q820&gt;=12, "Bien", Q820&gt;=10, "Passable", Q820&lt;10, "Insuffisant")</f>
        <v>Excellent</v>
      </c>
    </row>
    <row r="821" spans="1:18">
      <c r="A821" t="s">
        <v>1149</v>
      </c>
      <c r="B821" t="s">
        <v>50</v>
      </c>
      <c r="C821" t="s">
        <v>25</v>
      </c>
      <c r="D821" t="s">
        <v>21</v>
      </c>
      <c r="E821" t="s">
        <v>27</v>
      </c>
      <c r="F821">
        <v>16.5</v>
      </c>
      <c r="G821">
        <v>19.5</v>
      </c>
      <c r="H821">
        <v>14.6</v>
      </c>
      <c r="I821">
        <v>17.739999999999998</v>
      </c>
      <c r="J821" s="4">
        <v>0.95979999999999999</v>
      </c>
      <c r="K821">
        <v>70000</v>
      </c>
      <c r="L821" s="2">
        <v>45674</v>
      </c>
      <c r="M821" t="str">
        <f t="shared" si="60"/>
        <v>Admis</v>
      </c>
      <c r="N821" t="str">
        <f t="shared" si="61"/>
        <v>Eligible</v>
      </c>
      <c r="O821" t="str">
        <f t="shared" si="62"/>
        <v>RAS</v>
      </c>
      <c r="P821" t="str">
        <f t="shared" si="63"/>
        <v>Hors Data</v>
      </c>
      <c r="Q821">
        <f t="shared" si="64"/>
        <v>17.085000000000001</v>
      </c>
      <c r="R821" t="str" cm="1">
        <f t="array" ref="R821">_xlfn.IFS(Q821&gt;=16, "Excellent",Q821&gt;=14, "Très bien", Q821&gt;=12, "Bien", Q821&gt;=10, "Passable", Q821&lt;10, "Insuffisant")</f>
        <v>Excellent</v>
      </c>
    </row>
    <row r="822" spans="1:18">
      <c r="A822" t="s">
        <v>1150</v>
      </c>
      <c r="B822" t="s">
        <v>1098</v>
      </c>
      <c r="C822" t="s">
        <v>20</v>
      </c>
      <c r="D822" t="s">
        <v>38</v>
      </c>
      <c r="E822" t="s">
        <v>22</v>
      </c>
      <c r="F822">
        <v>8.4499999999999993</v>
      </c>
      <c r="G822">
        <v>11.13</v>
      </c>
      <c r="H822">
        <v>6.23</v>
      </c>
      <c r="I822">
        <v>7.63</v>
      </c>
      <c r="J822" s="4">
        <v>0.84289999999999998</v>
      </c>
      <c r="K822">
        <v>130000</v>
      </c>
      <c r="L822" s="2">
        <v>46061</v>
      </c>
      <c r="M822" t="str">
        <f t="shared" si="60"/>
        <v>Non admis</v>
      </c>
      <c r="N822" t="str">
        <f t="shared" si="61"/>
        <v>Non Eligible</v>
      </c>
      <c r="O822" t="str">
        <f t="shared" si="62"/>
        <v>A surveiller</v>
      </c>
      <c r="P822" t="str">
        <f t="shared" si="63"/>
        <v>Data</v>
      </c>
      <c r="Q822">
        <f t="shared" si="64"/>
        <v>8.36</v>
      </c>
      <c r="R822" t="str" cm="1">
        <f t="array" ref="R822">_xlfn.IFS(Q822&gt;=16, "Excellent",Q822&gt;=14, "Très bien", Q822&gt;=12, "Bien", Q822&gt;=10, "Passable", Q822&lt;10, "Insuffisant")</f>
        <v>Insuffisant</v>
      </c>
    </row>
    <row r="823" spans="1:18">
      <c r="A823" t="s">
        <v>1151</v>
      </c>
      <c r="B823" t="s">
        <v>651</v>
      </c>
      <c r="C823" t="s">
        <v>25</v>
      </c>
      <c r="D823" t="s">
        <v>34</v>
      </c>
      <c r="E823" t="s">
        <v>35</v>
      </c>
      <c r="F823">
        <v>14.1</v>
      </c>
      <c r="G823">
        <v>17.239999999999998</v>
      </c>
      <c r="H823">
        <v>17.79</v>
      </c>
      <c r="I823">
        <v>15.49</v>
      </c>
      <c r="J823" s="4">
        <v>0.96679999999999999</v>
      </c>
      <c r="K823">
        <v>60000</v>
      </c>
      <c r="L823" s="2">
        <v>46071</v>
      </c>
      <c r="M823" t="str">
        <f t="shared" si="60"/>
        <v>Admis</v>
      </c>
      <c r="N823" t="str">
        <f t="shared" si="61"/>
        <v>Eligible</v>
      </c>
      <c r="O823" t="str">
        <f t="shared" si="62"/>
        <v>RAS</v>
      </c>
      <c r="P823" t="str">
        <f t="shared" si="63"/>
        <v>Hors Data</v>
      </c>
      <c r="Q823">
        <f t="shared" si="64"/>
        <v>16.154999999999998</v>
      </c>
      <c r="R823" t="str" cm="1">
        <f t="array" ref="R823">_xlfn.IFS(Q823&gt;=16, "Excellent",Q823&gt;=14, "Très bien", Q823&gt;=12, "Bien", Q823&gt;=10, "Passable", Q823&lt;10, "Insuffisant")</f>
        <v>Excellent</v>
      </c>
    </row>
    <row r="824" spans="1:18">
      <c r="A824" t="s">
        <v>1152</v>
      </c>
      <c r="B824" t="s">
        <v>288</v>
      </c>
      <c r="C824" t="s">
        <v>20</v>
      </c>
      <c r="D824" t="s">
        <v>53</v>
      </c>
      <c r="E824" t="s">
        <v>35</v>
      </c>
      <c r="F824">
        <v>16.11</v>
      </c>
      <c r="G824">
        <v>18.03</v>
      </c>
      <c r="H824">
        <v>14.83</v>
      </c>
      <c r="I824">
        <v>11.74</v>
      </c>
      <c r="J824" s="4">
        <v>0.95730000000000004</v>
      </c>
      <c r="K824">
        <v>110000</v>
      </c>
      <c r="L824" s="2">
        <v>46122</v>
      </c>
      <c r="M824" t="str">
        <f t="shared" si="60"/>
        <v>Admis</v>
      </c>
      <c r="N824" t="str">
        <f t="shared" si="61"/>
        <v>Eligible</v>
      </c>
      <c r="O824" t="str">
        <f t="shared" si="62"/>
        <v>RAS</v>
      </c>
      <c r="P824" t="str">
        <f t="shared" si="63"/>
        <v>Hors Data</v>
      </c>
      <c r="Q824">
        <f t="shared" si="64"/>
        <v>15.1775</v>
      </c>
      <c r="R824" t="str" cm="1">
        <f t="array" ref="R824">_xlfn.IFS(Q824&gt;=16, "Excellent",Q824&gt;=14, "Très bien", Q824&gt;=12, "Bien", Q824&gt;=10, "Passable", Q824&lt;10, "Insuffisant")</f>
        <v>Très bien</v>
      </c>
    </row>
    <row r="825" spans="1:18">
      <c r="A825" t="s">
        <v>1153</v>
      </c>
      <c r="B825" t="s">
        <v>77</v>
      </c>
      <c r="C825" t="s">
        <v>25</v>
      </c>
      <c r="D825" t="s">
        <v>21</v>
      </c>
      <c r="E825" t="s">
        <v>27</v>
      </c>
      <c r="F825">
        <v>8.68</v>
      </c>
      <c r="G825">
        <v>10.69</v>
      </c>
      <c r="H825">
        <v>12.31</v>
      </c>
      <c r="I825">
        <v>9.7200000000000006</v>
      </c>
      <c r="J825" s="4">
        <v>0.94520000000000004</v>
      </c>
      <c r="K825">
        <v>100000</v>
      </c>
      <c r="L825" s="2">
        <v>45603</v>
      </c>
      <c r="M825" t="str">
        <f t="shared" si="60"/>
        <v>Admis</v>
      </c>
      <c r="N825" t="str">
        <f t="shared" si="61"/>
        <v>Non Eligible</v>
      </c>
      <c r="O825" t="str">
        <f t="shared" si="62"/>
        <v>A surveiller</v>
      </c>
      <c r="P825" t="str">
        <f t="shared" si="63"/>
        <v>Hors Data</v>
      </c>
      <c r="Q825">
        <f t="shared" si="64"/>
        <v>10.35</v>
      </c>
      <c r="R825" t="str" cm="1">
        <f t="array" ref="R825">_xlfn.IFS(Q825&gt;=16, "Excellent",Q825&gt;=14, "Très bien", Q825&gt;=12, "Bien", Q825&gt;=10, "Passable", Q825&lt;10, "Insuffisant")</f>
        <v>Passable</v>
      </c>
    </row>
    <row r="826" spans="1:18">
      <c r="A826" t="s">
        <v>1154</v>
      </c>
      <c r="B826" t="s">
        <v>213</v>
      </c>
      <c r="C826" t="s">
        <v>25</v>
      </c>
      <c r="D826" t="s">
        <v>21</v>
      </c>
      <c r="E826" t="s">
        <v>22</v>
      </c>
      <c r="F826">
        <v>13.06</v>
      </c>
      <c r="G826">
        <v>15.02</v>
      </c>
      <c r="H826">
        <v>14.83</v>
      </c>
      <c r="I826">
        <v>7.95</v>
      </c>
      <c r="J826" s="4">
        <v>0.88039999999999996</v>
      </c>
      <c r="K826">
        <v>120000</v>
      </c>
      <c r="L826" s="2">
        <v>45643</v>
      </c>
      <c r="M826" t="str">
        <f t="shared" si="60"/>
        <v>Admis</v>
      </c>
      <c r="N826" t="str">
        <f t="shared" si="61"/>
        <v>Eligible</v>
      </c>
      <c r="O826" t="str">
        <f t="shared" si="62"/>
        <v>RAS</v>
      </c>
      <c r="P826" t="str">
        <f t="shared" si="63"/>
        <v>Data</v>
      </c>
      <c r="Q826">
        <f t="shared" si="64"/>
        <v>12.715</v>
      </c>
      <c r="R826" t="str" cm="1">
        <f t="array" ref="R826">_xlfn.IFS(Q826&gt;=16, "Excellent",Q826&gt;=14, "Très bien", Q826&gt;=12, "Bien", Q826&gt;=10, "Passable", Q826&lt;10, "Insuffisant")</f>
        <v>Bien</v>
      </c>
    </row>
    <row r="827" spans="1:18">
      <c r="A827" t="s">
        <v>1155</v>
      </c>
      <c r="B827" t="s">
        <v>135</v>
      </c>
      <c r="C827" t="s">
        <v>20</v>
      </c>
      <c r="D827" t="s">
        <v>53</v>
      </c>
      <c r="E827" t="s">
        <v>22</v>
      </c>
      <c r="F827">
        <v>14.82</v>
      </c>
      <c r="G827">
        <v>16.579999999999998</v>
      </c>
      <c r="H827">
        <v>15.19</v>
      </c>
      <c r="I827">
        <v>13.67</v>
      </c>
      <c r="J827" s="4">
        <v>0.93130000000000002</v>
      </c>
      <c r="K827">
        <v>60000</v>
      </c>
      <c r="L827" s="2">
        <v>46166</v>
      </c>
      <c r="M827" t="str">
        <f t="shared" si="60"/>
        <v>Admis</v>
      </c>
      <c r="N827" t="str">
        <f t="shared" si="61"/>
        <v>Eligible</v>
      </c>
      <c r="O827" t="str">
        <f t="shared" si="62"/>
        <v>RAS</v>
      </c>
      <c r="P827" t="str">
        <f t="shared" si="63"/>
        <v>Data</v>
      </c>
      <c r="Q827">
        <f t="shared" si="64"/>
        <v>15.065</v>
      </c>
      <c r="R827" t="str" cm="1">
        <f t="array" ref="R827">_xlfn.IFS(Q827&gt;=16, "Excellent",Q827&gt;=14, "Très bien", Q827&gt;=12, "Bien", Q827&gt;=10, "Passable", Q827&lt;10, "Insuffisant")</f>
        <v>Très bien</v>
      </c>
    </row>
    <row r="828" spans="1:18">
      <c r="A828" t="s">
        <v>1156</v>
      </c>
      <c r="B828" t="s">
        <v>412</v>
      </c>
      <c r="C828" t="s">
        <v>25</v>
      </c>
      <c r="D828" t="s">
        <v>21</v>
      </c>
      <c r="E828" t="s">
        <v>35</v>
      </c>
      <c r="F828">
        <v>14.31</v>
      </c>
      <c r="G828">
        <v>9.06</v>
      </c>
      <c r="H828">
        <v>12.18</v>
      </c>
      <c r="I828">
        <v>14.44</v>
      </c>
      <c r="J828" s="4">
        <v>0.73350000000000004</v>
      </c>
      <c r="K828">
        <v>130000</v>
      </c>
      <c r="L828" s="2">
        <v>46186</v>
      </c>
      <c r="M828" t="str">
        <f t="shared" si="60"/>
        <v>Admis</v>
      </c>
      <c r="N828" t="str">
        <f t="shared" si="61"/>
        <v>Non Eligible</v>
      </c>
      <c r="O828" t="str">
        <f t="shared" si="62"/>
        <v>RAS</v>
      </c>
      <c r="P828" t="str">
        <f t="shared" si="63"/>
        <v>Hors Data</v>
      </c>
      <c r="Q828">
        <f t="shared" si="64"/>
        <v>12.497499999999999</v>
      </c>
      <c r="R828" t="str" cm="1">
        <f t="array" ref="R828">_xlfn.IFS(Q828&gt;=16, "Excellent",Q828&gt;=14, "Très bien", Q828&gt;=12, "Bien", Q828&gt;=10, "Passable", Q828&lt;10, "Insuffisant")</f>
        <v>Bien</v>
      </c>
    </row>
    <row r="829" spans="1:18">
      <c r="A829" t="s">
        <v>1157</v>
      </c>
      <c r="B829" t="s">
        <v>404</v>
      </c>
      <c r="C829" t="s">
        <v>25</v>
      </c>
      <c r="D829" t="s">
        <v>34</v>
      </c>
      <c r="E829" t="s">
        <v>48</v>
      </c>
      <c r="F829">
        <v>5.61</v>
      </c>
      <c r="G829">
        <v>5.41</v>
      </c>
      <c r="H829">
        <v>9.9700000000000006</v>
      </c>
      <c r="I829">
        <v>9.58</v>
      </c>
      <c r="J829" s="4">
        <v>0.97170000000000001</v>
      </c>
      <c r="K829">
        <v>110000</v>
      </c>
      <c r="L829" s="2">
        <v>46043</v>
      </c>
      <c r="M829" t="str">
        <f t="shared" si="60"/>
        <v>Non admis</v>
      </c>
      <c r="N829" t="str">
        <f t="shared" si="61"/>
        <v>Non Eligible</v>
      </c>
      <c r="O829" t="str">
        <f t="shared" si="62"/>
        <v>A surveiller</v>
      </c>
      <c r="P829" t="str">
        <f t="shared" si="63"/>
        <v>Hors Data</v>
      </c>
      <c r="Q829">
        <f t="shared" si="64"/>
        <v>7.6425000000000001</v>
      </c>
      <c r="R829" t="str" cm="1">
        <f t="array" ref="R829">_xlfn.IFS(Q829&gt;=16, "Excellent",Q829&gt;=14, "Très bien", Q829&gt;=12, "Bien", Q829&gt;=10, "Passable", Q829&lt;10, "Insuffisant")</f>
        <v>Insuffisant</v>
      </c>
    </row>
    <row r="830" spans="1:18">
      <c r="A830" t="s">
        <v>1158</v>
      </c>
      <c r="B830" t="s">
        <v>697</v>
      </c>
      <c r="C830" t="s">
        <v>25</v>
      </c>
      <c r="D830" t="s">
        <v>26</v>
      </c>
      <c r="E830" t="s">
        <v>22</v>
      </c>
      <c r="F830">
        <v>10.28</v>
      </c>
      <c r="G830">
        <v>11.37</v>
      </c>
      <c r="H830">
        <v>12.75</v>
      </c>
      <c r="I830">
        <v>9.6300000000000008</v>
      </c>
      <c r="J830" s="4">
        <v>0.81640000000000001</v>
      </c>
      <c r="K830">
        <v>60000</v>
      </c>
      <c r="L830" s="2">
        <v>45610</v>
      </c>
      <c r="M830" t="str">
        <f t="shared" si="60"/>
        <v>Admis</v>
      </c>
      <c r="N830" t="str">
        <f t="shared" si="61"/>
        <v>Non Eligible</v>
      </c>
      <c r="O830" t="str">
        <f t="shared" si="62"/>
        <v>RAS</v>
      </c>
      <c r="P830" t="str">
        <f t="shared" si="63"/>
        <v>Data</v>
      </c>
      <c r="Q830">
        <f t="shared" si="64"/>
        <v>11.0075</v>
      </c>
      <c r="R830" t="str" cm="1">
        <f t="array" ref="R830">_xlfn.IFS(Q830&gt;=16, "Excellent",Q830&gt;=14, "Très bien", Q830&gt;=12, "Bien", Q830&gt;=10, "Passable", Q830&lt;10, "Insuffisant")</f>
        <v>Passable</v>
      </c>
    </row>
    <row r="831" spans="1:18">
      <c r="A831" t="s">
        <v>1159</v>
      </c>
      <c r="B831" t="s">
        <v>186</v>
      </c>
      <c r="C831" t="s">
        <v>20</v>
      </c>
      <c r="D831" t="s">
        <v>53</v>
      </c>
      <c r="E831" t="s">
        <v>48</v>
      </c>
      <c r="F831">
        <v>8.74</v>
      </c>
      <c r="G831">
        <v>12.7</v>
      </c>
      <c r="H831">
        <v>11.97</v>
      </c>
      <c r="I831">
        <v>9.91</v>
      </c>
      <c r="J831" s="4">
        <v>0.98939999999999995</v>
      </c>
      <c r="K831">
        <v>90000</v>
      </c>
      <c r="L831" s="2">
        <v>45584</v>
      </c>
      <c r="M831" t="str">
        <f t="shared" si="60"/>
        <v>Admis</v>
      </c>
      <c r="N831" t="str">
        <f t="shared" si="61"/>
        <v>Non Eligible</v>
      </c>
      <c r="O831" t="str">
        <f t="shared" si="62"/>
        <v>A surveiller</v>
      </c>
      <c r="P831" t="str">
        <f t="shared" si="63"/>
        <v>Hors Data</v>
      </c>
      <c r="Q831">
        <f t="shared" si="64"/>
        <v>10.829999999999998</v>
      </c>
      <c r="R831" t="str" cm="1">
        <f t="array" ref="R831">_xlfn.IFS(Q831&gt;=16, "Excellent",Q831&gt;=14, "Très bien", Q831&gt;=12, "Bien", Q831&gt;=10, "Passable", Q831&lt;10, "Insuffisant")</f>
        <v>Passable</v>
      </c>
    </row>
    <row r="832" spans="1:18">
      <c r="A832" t="s">
        <v>1160</v>
      </c>
      <c r="B832" t="s">
        <v>131</v>
      </c>
      <c r="C832" t="s">
        <v>20</v>
      </c>
      <c r="D832" t="s">
        <v>41</v>
      </c>
      <c r="E832" t="s">
        <v>48</v>
      </c>
      <c r="F832">
        <v>14.99</v>
      </c>
      <c r="G832">
        <v>14.34</v>
      </c>
      <c r="H832">
        <v>14.82</v>
      </c>
      <c r="I832">
        <v>11.47</v>
      </c>
      <c r="J832" s="4">
        <v>0.87290000000000001</v>
      </c>
      <c r="K832">
        <v>110000</v>
      </c>
      <c r="L832" s="2">
        <v>45574</v>
      </c>
      <c r="M832" t="str">
        <f t="shared" si="60"/>
        <v>Admis</v>
      </c>
      <c r="N832" t="str">
        <f t="shared" si="61"/>
        <v>Eligible</v>
      </c>
      <c r="O832" t="str">
        <f t="shared" si="62"/>
        <v>RAS</v>
      </c>
      <c r="P832" t="str">
        <f t="shared" si="63"/>
        <v>Hors Data</v>
      </c>
      <c r="Q832">
        <f t="shared" si="64"/>
        <v>13.904999999999999</v>
      </c>
      <c r="R832" t="str" cm="1">
        <f t="array" ref="R832">_xlfn.IFS(Q832&gt;=16, "Excellent",Q832&gt;=14, "Très bien", Q832&gt;=12, "Bien", Q832&gt;=10, "Passable", Q832&lt;10, "Insuffisant")</f>
        <v>Bien</v>
      </c>
    </row>
    <row r="833" spans="1:18">
      <c r="A833" t="s">
        <v>1161</v>
      </c>
      <c r="B833" t="s">
        <v>410</v>
      </c>
      <c r="C833" t="s">
        <v>20</v>
      </c>
      <c r="D833" t="s">
        <v>41</v>
      </c>
      <c r="E833" t="s">
        <v>27</v>
      </c>
      <c r="F833">
        <v>12.47</v>
      </c>
      <c r="G833">
        <v>13.04</v>
      </c>
      <c r="H833">
        <v>11.81</v>
      </c>
      <c r="I833">
        <v>12.23</v>
      </c>
      <c r="J833" s="4">
        <v>0.77400000000000002</v>
      </c>
      <c r="K833">
        <v>85000</v>
      </c>
      <c r="L833" s="2">
        <v>46020</v>
      </c>
      <c r="M833" t="str">
        <f t="shared" si="60"/>
        <v>Admis</v>
      </c>
      <c r="N833" t="str">
        <f t="shared" si="61"/>
        <v>Non Eligible</v>
      </c>
      <c r="O833" t="str">
        <f t="shared" si="62"/>
        <v>RAS</v>
      </c>
      <c r="P833" t="str">
        <f t="shared" si="63"/>
        <v>Hors Data</v>
      </c>
      <c r="Q833">
        <f t="shared" si="64"/>
        <v>12.387499999999999</v>
      </c>
      <c r="R833" t="str" cm="1">
        <f t="array" ref="R833">_xlfn.IFS(Q833&gt;=16, "Excellent",Q833&gt;=14, "Très bien", Q833&gt;=12, "Bien", Q833&gt;=10, "Passable", Q833&lt;10, "Insuffisant")</f>
        <v>Bien</v>
      </c>
    </row>
    <row r="834" spans="1:18">
      <c r="A834" t="s">
        <v>1162</v>
      </c>
      <c r="B834" t="s">
        <v>357</v>
      </c>
      <c r="C834" t="s">
        <v>20</v>
      </c>
      <c r="D834" t="s">
        <v>26</v>
      </c>
      <c r="E834" t="s">
        <v>22</v>
      </c>
      <c r="F834">
        <v>13.37</v>
      </c>
      <c r="G834">
        <v>15.12</v>
      </c>
      <c r="H834">
        <v>10.7</v>
      </c>
      <c r="I834">
        <v>7.69</v>
      </c>
      <c r="J834" s="4">
        <v>0.88780000000000003</v>
      </c>
      <c r="K834">
        <v>80000</v>
      </c>
      <c r="L834" s="2">
        <v>46128</v>
      </c>
      <c r="M834" t="str">
        <f t="shared" si="60"/>
        <v>Admis</v>
      </c>
      <c r="N834" t="str">
        <f t="shared" si="61"/>
        <v>Non Eligible</v>
      </c>
      <c r="O834" t="str">
        <f t="shared" si="62"/>
        <v>RAS</v>
      </c>
      <c r="P834" t="str">
        <f t="shared" si="63"/>
        <v>Data</v>
      </c>
      <c r="Q834">
        <f t="shared" si="64"/>
        <v>11.719999999999999</v>
      </c>
      <c r="R834" t="str" cm="1">
        <f t="array" ref="R834">_xlfn.IFS(Q834&gt;=16, "Excellent",Q834&gt;=14, "Très bien", Q834&gt;=12, "Bien", Q834&gt;=10, "Passable", Q834&lt;10, "Insuffisant")</f>
        <v>Passable</v>
      </c>
    </row>
    <row r="835" spans="1:18">
      <c r="A835" t="s">
        <v>1163</v>
      </c>
      <c r="B835" t="s">
        <v>73</v>
      </c>
      <c r="C835" t="s">
        <v>20</v>
      </c>
      <c r="D835" t="s">
        <v>41</v>
      </c>
      <c r="E835" t="s">
        <v>22</v>
      </c>
      <c r="F835">
        <v>10.24</v>
      </c>
      <c r="G835">
        <v>16.32</v>
      </c>
      <c r="H835">
        <v>14.91</v>
      </c>
      <c r="I835">
        <v>13.26</v>
      </c>
      <c r="J835" s="4">
        <v>0.86470000000000002</v>
      </c>
      <c r="K835">
        <v>75000</v>
      </c>
      <c r="L835" s="2">
        <v>45978</v>
      </c>
      <c r="M835" t="str">
        <f t="shared" ref="M835:M898" si="65">IF(H835&gt;=10,"Admis","Non admis")</f>
        <v>Admis</v>
      </c>
      <c r="N835" t="str">
        <f t="shared" ref="N835:N898" si="66">IF(AND(F835&gt;=12,H835&gt;=12,J835&gt;80%), "Eligible", "Non Eligible")</f>
        <v>Non Eligible</v>
      </c>
      <c r="O835" t="str">
        <f t="shared" ref="O835:O898" si="67">IF(OR(F835&lt;10,H835&lt;10), "A surveiller", "RAS")</f>
        <v>RAS</v>
      </c>
      <c r="P835" t="str">
        <f t="shared" ref="P835:P898" si="68">IF(NOT(E835="Data"), "Hors Data", "Data")</f>
        <v>Data</v>
      </c>
      <c r="Q835">
        <f t="shared" ref="Q835:Q898" si="69">AVERAGE(F835:I835)</f>
        <v>13.682499999999999</v>
      </c>
      <c r="R835" t="str" cm="1">
        <f t="array" ref="R835">_xlfn.IFS(Q835&gt;=16, "Excellent",Q835&gt;=14, "Très bien", Q835&gt;=12, "Bien", Q835&gt;=10, "Passable", Q835&lt;10, "Insuffisant")</f>
        <v>Bien</v>
      </c>
    </row>
    <row r="836" spans="1:18">
      <c r="A836" t="s">
        <v>1164</v>
      </c>
      <c r="B836" t="s">
        <v>141</v>
      </c>
      <c r="C836" t="s">
        <v>25</v>
      </c>
      <c r="D836" t="s">
        <v>21</v>
      </c>
      <c r="E836" t="s">
        <v>22</v>
      </c>
      <c r="F836">
        <v>18.670000000000002</v>
      </c>
      <c r="G836">
        <v>13.22</v>
      </c>
      <c r="H836">
        <v>14.8</v>
      </c>
      <c r="I836">
        <v>15.32</v>
      </c>
      <c r="J836" s="4">
        <v>0.84540000000000004</v>
      </c>
      <c r="K836">
        <v>85000</v>
      </c>
      <c r="L836" s="2">
        <v>45719</v>
      </c>
      <c r="M836" t="str">
        <f t="shared" si="65"/>
        <v>Admis</v>
      </c>
      <c r="N836" t="str">
        <f t="shared" si="66"/>
        <v>Eligible</v>
      </c>
      <c r="O836" t="str">
        <f t="shared" si="67"/>
        <v>RAS</v>
      </c>
      <c r="P836" t="str">
        <f t="shared" si="68"/>
        <v>Data</v>
      </c>
      <c r="Q836">
        <f t="shared" si="69"/>
        <v>15.5025</v>
      </c>
      <c r="R836" t="str" cm="1">
        <f t="array" ref="R836">_xlfn.IFS(Q836&gt;=16, "Excellent",Q836&gt;=14, "Très bien", Q836&gt;=12, "Bien", Q836&gt;=10, "Passable", Q836&lt;10, "Insuffisant")</f>
        <v>Très bien</v>
      </c>
    </row>
    <row r="837" spans="1:18">
      <c r="A837" t="s">
        <v>1165</v>
      </c>
      <c r="B837" t="s">
        <v>415</v>
      </c>
      <c r="C837" t="s">
        <v>25</v>
      </c>
      <c r="D837" t="s">
        <v>26</v>
      </c>
      <c r="E837" t="s">
        <v>27</v>
      </c>
      <c r="F837">
        <v>11.31</v>
      </c>
      <c r="G837">
        <v>13.57</v>
      </c>
      <c r="H837">
        <v>13.92</v>
      </c>
      <c r="I837">
        <v>11.92</v>
      </c>
      <c r="J837" s="4">
        <v>0.98080000000000001</v>
      </c>
      <c r="K837">
        <v>130000</v>
      </c>
      <c r="L837" s="2">
        <v>46066</v>
      </c>
      <c r="M837" t="str">
        <f t="shared" si="65"/>
        <v>Admis</v>
      </c>
      <c r="N837" t="str">
        <f t="shared" si="66"/>
        <v>Non Eligible</v>
      </c>
      <c r="O837" t="str">
        <f t="shared" si="67"/>
        <v>RAS</v>
      </c>
      <c r="P837" t="str">
        <f t="shared" si="68"/>
        <v>Hors Data</v>
      </c>
      <c r="Q837">
        <f t="shared" si="69"/>
        <v>12.680000000000001</v>
      </c>
      <c r="R837" t="str" cm="1">
        <f t="array" ref="R837">_xlfn.IFS(Q837&gt;=16, "Excellent",Q837&gt;=14, "Très bien", Q837&gt;=12, "Bien", Q837&gt;=10, "Passable", Q837&lt;10, "Insuffisant")</f>
        <v>Bien</v>
      </c>
    </row>
    <row r="838" spans="1:18">
      <c r="A838" t="s">
        <v>1166</v>
      </c>
      <c r="B838" t="s">
        <v>102</v>
      </c>
      <c r="C838" t="s">
        <v>25</v>
      </c>
      <c r="D838" t="s">
        <v>26</v>
      </c>
      <c r="E838" t="s">
        <v>48</v>
      </c>
      <c r="F838">
        <v>12.72</v>
      </c>
      <c r="G838">
        <v>10.89</v>
      </c>
      <c r="H838">
        <v>11.55</v>
      </c>
      <c r="I838">
        <v>13.41</v>
      </c>
      <c r="J838" s="4">
        <v>0.69789999999999996</v>
      </c>
      <c r="K838">
        <v>90000</v>
      </c>
      <c r="L838" s="2">
        <v>45577</v>
      </c>
      <c r="M838" t="str">
        <f t="shared" si="65"/>
        <v>Admis</v>
      </c>
      <c r="N838" t="str">
        <f t="shared" si="66"/>
        <v>Non Eligible</v>
      </c>
      <c r="O838" t="str">
        <f t="shared" si="67"/>
        <v>RAS</v>
      </c>
      <c r="P838" t="str">
        <f t="shared" si="68"/>
        <v>Hors Data</v>
      </c>
      <c r="Q838">
        <f t="shared" si="69"/>
        <v>12.142499999999998</v>
      </c>
      <c r="R838" t="str" cm="1">
        <f t="array" ref="R838">_xlfn.IFS(Q838&gt;=16, "Excellent",Q838&gt;=14, "Très bien", Q838&gt;=12, "Bien", Q838&gt;=10, "Passable", Q838&lt;10, "Insuffisant")</f>
        <v>Bien</v>
      </c>
    </row>
    <row r="839" spans="1:18">
      <c r="A839" t="s">
        <v>1167</v>
      </c>
      <c r="B839" t="s">
        <v>1036</v>
      </c>
      <c r="C839" t="s">
        <v>20</v>
      </c>
      <c r="D839" t="s">
        <v>34</v>
      </c>
      <c r="E839" t="s">
        <v>48</v>
      </c>
      <c r="F839">
        <v>15.64</v>
      </c>
      <c r="G839">
        <v>13.74</v>
      </c>
      <c r="H839">
        <v>11.3</v>
      </c>
      <c r="I839">
        <v>14.15</v>
      </c>
      <c r="J839" s="4">
        <v>0.60809999999999997</v>
      </c>
      <c r="K839">
        <v>100000</v>
      </c>
      <c r="L839" s="2">
        <v>46115</v>
      </c>
      <c r="M839" t="str">
        <f t="shared" si="65"/>
        <v>Admis</v>
      </c>
      <c r="N839" t="str">
        <f t="shared" si="66"/>
        <v>Non Eligible</v>
      </c>
      <c r="O839" t="str">
        <f t="shared" si="67"/>
        <v>RAS</v>
      </c>
      <c r="P839" t="str">
        <f t="shared" si="68"/>
        <v>Hors Data</v>
      </c>
      <c r="Q839">
        <f t="shared" si="69"/>
        <v>13.707500000000001</v>
      </c>
      <c r="R839" t="str" cm="1">
        <f t="array" ref="R839">_xlfn.IFS(Q839&gt;=16, "Excellent",Q839&gt;=14, "Très bien", Q839&gt;=12, "Bien", Q839&gt;=10, "Passable", Q839&lt;10, "Insuffisant")</f>
        <v>Bien</v>
      </c>
    </row>
    <row r="840" spans="1:18">
      <c r="A840" t="s">
        <v>1168</v>
      </c>
      <c r="B840" t="s">
        <v>431</v>
      </c>
      <c r="C840" t="s">
        <v>20</v>
      </c>
      <c r="D840" t="s">
        <v>38</v>
      </c>
      <c r="E840" t="s">
        <v>27</v>
      </c>
      <c r="F840">
        <v>5.95</v>
      </c>
      <c r="G840">
        <v>9.23</v>
      </c>
      <c r="H840">
        <v>12.14</v>
      </c>
      <c r="I840">
        <v>6.83</v>
      </c>
      <c r="J840" s="4">
        <v>0.7288</v>
      </c>
      <c r="K840">
        <v>110000</v>
      </c>
      <c r="L840" s="2">
        <v>46160</v>
      </c>
      <c r="M840" t="str">
        <f t="shared" si="65"/>
        <v>Admis</v>
      </c>
      <c r="N840" t="str">
        <f t="shared" si="66"/>
        <v>Non Eligible</v>
      </c>
      <c r="O840" t="str">
        <f t="shared" si="67"/>
        <v>A surveiller</v>
      </c>
      <c r="P840" t="str">
        <f t="shared" si="68"/>
        <v>Hors Data</v>
      </c>
      <c r="Q840">
        <f t="shared" si="69"/>
        <v>8.5374999999999996</v>
      </c>
      <c r="R840" t="str" cm="1">
        <f t="array" ref="R840">_xlfn.IFS(Q840&gt;=16, "Excellent",Q840&gt;=14, "Très bien", Q840&gt;=12, "Bien", Q840&gt;=10, "Passable", Q840&lt;10, "Insuffisant")</f>
        <v>Insuffisant</v>
      </c>
    </row>
    <row r="841" spans="1:18">
      <c r="A841" t="s">
        <v>1169</v>
      </c>
      <c r="B841" t="s">
        <v>518</v>
      </c>
      <c r="C841" t="s">
        <v>25</v>
      </c>
      <c r="D841" t="s">
        <v>34</v>
      </c>
      <c r="E841" t="s">
        <v>48</v>
      </c>
      <c r="F841">
        <v>13.63</v>
      </c>
      <c r="G841">
        <v>7.74</v>
      </c>
      <c r="H841">
        <v>18.440000000000001</v>
      </c>
      <c r="I841">
        <v>10.48</v>
      </c>
      <c r="J841" s="4">
        <v>0.92059999999999997</v>
      </c>
      <c r="K841">
        <v>110000</v>
      </c>
      <c r="L841" s="2">
        <v>46038</v>
      </c>
      <c r="M841" t="str">
        <f t="shared" si="65"/>
        <v>Admis</v>
      </c>
      <c r="N841" t="str">
        <f t="shared" si="66"/>
        <v>Eligible</v>
      </c>
      <c r="O841" t="str">
        <f t="shared" si="67"/>
        <v>RAS</v>
      </c>
      <c r="P841" t="str">
        <f t="shared" si="68"/>
        <v>Hors Data</v>
      </c>
      <c r="Q841">
        <f t="shared" si="69"/>
        <v>12.572500000000002</v>
      </c>
      <c r="R841" t="str" cm="1">
        <f t="array" ref="R841">_xlfn.IFS(Q841&gt;=16, "Excellent",Q841&gt;=14, "Très bien", Q841&gt;=12, "Bien", Q841&gt;=10, "Passable", Q841&lt;10, "Insuffisant")</f>
        <v>Bien</v>
      </c>
    </row>
    <row r="842" spans="1:18">
      <c r="A842" t="s">
        <v>1170</v>
      </c>
      <c r="B842" t="s">
        <v>1038</v>
      </c>
      <c r="C842" t="s">
        <v>20</v>
      </c>
      <c r="D842" t="s">
        <v>41</v>
      </c>
      <c r="E842" t="s">
        <v>22</v>
      </c>
      <c r="F842">
        <v>13.89</v>
      </c>
      <c r="G842">
        <v>19.2</v>
      </c>
      <c r="H842">
        <v>15.64</v>
      </c>
      <c r="I842">
        <v>13.69</v>
      </c>
      <c r="J842" s="4">
        <v>0.69040000000000001</v>
      </c>
      <c r="K842">
        <v>80000</v>
      </c>
      <c r="L842" s="2">
        <v>46151</v>
      </c>
      <c r="M842" t="str">
        <f t="shared" si="65"/>
        <v>Admis</v>
      </c>
      <c r="N842" t="str">
        <f t="shared" si="66"/>
        <v>Non Eligible</v>
      </c>
      <c r="O842" t="str">
        <f t="shared" si="67"/>
        <v>RAS</v>
      </c>
      <c r="P842" t="str">
        <f t="shared" si="68"/>
        <v>Data</v>
      </c>
      <c r="Q842">
        <f t="shared" si="69"/>
        <v>15.605</v>
      </c>
      <c r="R842" t="str" cm="1">
        <f t="array" ref="R842">_xlfn.IFS(Q842&gt;=16, "Excellent",Q842&gt;=14, "Très bien", Q842&gt;=12, "Bien", Q842&gt;=10, "Passable", Q842&lt;10, "Insuffisant")</f>
        <v>Très bien</v>
      </c>
    </row>
    <row r="843" spans="1:18">
      <c r="A843" t="s">
        <v>1171</v>
      </c>
      <c r="B843" t="s">
        <v>104</v>
      </c>
      <c r="C843" t="s">
        <v>25</v>
      </c>
      <c r="D843" t="s">
        <v>41</v>
      </c>
      <c r="E843" t="s">
        <v>48</v>
      </c>
      <c r="F843">
        <v>19.899999999999999</v>
      </c>
      <c r="G843">
        <v>15.26</v>
      </c>
      <c r="H843">
        <v>12.96</v>
      </c>
      <c r="I843">
        <v>11.41</v>
      </c>
      <c r="J843" s="4">
        <v>0.93700000000000006</v>
      </c>
      <c r="K843">
        <v>110000</v>
      </c>
      <c r="L843" s="2">
        <v>45946</v>
      </c>
      <c r="M843" t="str">
        <f t="shared" si="65"/>
        <v>Admis</v>
      </c>
      <c r="N843" t="str">
        <f t="shared" si="66"/>
        <v>Eligible</v>
      </c>
      <c r="O843" t="str">
        <f t="shared" si="67"/>
        <v>RAS</v>
      </c>
      <c r="P843" t="str">
        <f t="shared" si="68"/>
        <v>Hors Data</v>
      </c>
      <c r="Q843">
        <f t="shared" si="69"/>
        <v>14.8825</v>
      </c>
      <c r="R843" t="str" cm="1">
        <f t="array" ref="R843">_xlfn.IFS(Q843&gt;=16, "Excellent",Q843&gt;=14, "Très bien", Q843&gt;=12, "Bien", Q843&gt;=10, "Passable", Q843&lt;10, "Insuffisant")</f>
        <v>Très bien</v>
      </c>
    </row>
    <row r="844" spans="1:18">
      <c r="A844" t="s">
        <v>1172</v>
      </c>
      <c r="B844" t="s">
        <v>111</v>
      </c>
      <c r="C844" t="s">
        <v>25</v>
      </c>
      <c r="D844" t="s">
        <v>21</v>
      </c>
      <c r="E844" t="s">
        <v>48</v>
      </c>
      <c r="F844">
        <v>16.850000000000001</v>
      </c>
      <c r="G844">
        <v>15.28</v>
      </c>
      <c r="H844">
        <v>15.73</v>
      </c>
      <c r="I844">
        <v>14.82</v>
      </c>
      <c r="J844" s="4">
        <v>0.77559999999999996</v>
      </c>
      <c r="K844">
        <v>75000</v>
      </c>
      <c r="L844" s="2">
        <v>45863</v>
      </c>
      <c r="M844" t="str">
        <f t="shared" si="65"/>
        <v>Admis</v>
      </c>
      <c r="N844" t="str">
        <f t="shared" si="66"/>
        <v>Non Eligible</v>
      </c>
      <c r="O844" t="str">
        <f t="shared" si="67"/>
        <v>RAS</v>
      </c>
      <c r="P844" t="str">
        <f t="shared" si="68"/>
        <v>Hors Data</v>
      </c>
      <c r="Q844">
        <f t="shared" si="69"/>
        <v>15.67</v>
      </c>
      <c r="R844" t="str" cm="1">
        <f t="array" ref="R844">_xlfn.IFS(Q844&gt;=16, "Excellent",Q844&gt;=14, "Très bien", Q844&gt;=12, "Bien", Q844&gt;=10, "Passable", Q844&lt;10, "Insuffisant")</f>
        <v>Très bien</v>
      </c>
    </row>
    <row r="845" spans="1:18">
      <c r="A845" t="s">
        <v>1173</v>
      </c>
      <c r="B845" t="s">
        <v>372</v>
      </c>
      <c r="C845" t="s">
        <v>20</v>
      </c>
      <c r="D845" t="s">
        <v>38</v>
      </c>
      <c r="E845" t="s">
        <v>22</v>
      </c>
      <c r="F845">
        <v>11.57</v>
      </c>
      <c r="G845">
        <v>12.67</v>
      </c>
      <c r="H845">
        <v>11.27</v>
      </c>
      <c r="I845">
        <v>8.99</v>
      </c>
      <c r="J845" s="4">
        <v>0.63160000000000005</v>
      </c>
      <c r="K845">
        <v>90000</v>
      </c>
      <c r="L845" s="2">
        <v>45761</v>
      </c>
      <c r="M845" t="str">
        <f t="shared" si="65"/>
        <v>Admis</v>
      </c>
      <c r="N845" t="str">
        <f t="shared" si="66"/>
        <v>Non Eligible</v>
      </c>
      <c r="O845" t="str">
        <f t="shared" si="67"/>
        <v>RAS</v>
      </c>
      <c r="P845" t="str">
        <f t="shared" si="68"/>
        <v>Data</v>
      </c>
      <c r="Q845">
        <f t="shared" si="69"/>
        <v>11.125000000000002</v>
      </c>
      <c r="R845" t="str" cm="1">
        <f t="array" ref="R845">_xlfn.IFS(Q845&gt;=16, "Excellent",Q845&gt;=14, "Très bien", Q845&gt;=12, "Bien", Q845&gt;=10, "Passable", Q845&lt;10, "Insuffisant")</f>
        <v>Passable</v>
      </c>
    </row>
    <row r="846" spans="1:18">
      <c r="A846" t="s">
        <v>1174</v>
      </c>
      <c r="B846" t="s">
        <v>274</v>
      </c>
      <c r="C846" t="s">
        <v>20</v>
      </c>
      <c r="D846" t="s">
        <v>26</v>
      </c>
      <c r="E846" t="s">
        <v>48</v>
      </c>
      <c r="F846">
        <v>10.63</v>
      </c>
      <c r="G846">
        <v>7.61</v>
      </c>
      <c r="H846">
        <v>7.39</v>
      </c>
      <c r="I846">
        <v>10.99</v>
      </c>
      <c r="J846" s="4">
        <v>0.99750000000000005</v>
      </c>
      <c r="K846">
        <v>75000</v>
      </c>
      <c r="L846" s="2">
        <v>46181</v>
      </c>
      <c r="M846" t="str">
        <f t="shared" si="65"/>
        <v>Non admis</v>
      </c>
      <c r="N846" t="str">
        <f t="shared" si="66"/>
        <v>Non Eligible</v>
      </c>
      <c r="O846" t="str">
        <f t="shared" si="67"/>
        <v>A surveiller</v>
      </c>
      <c r="P846" t="str">
        <f t="shared" si="68"/>
        <v>Hors Data</v>
      </c>
      <c r="Q846">
        <f t="shared" si="69"/>
        <v>9.1550000000000011</v>
      </c>
      <c r="R846" t="str" cm="1">
        <f t="array" ref="R846">_xlfn.IFS(Q846&gt;=16, "Excellent",Q846&gt;=14, "Très bien", Q846&gt;=12, "Bien", Q846&gt;=10, "Passable", Q846&lt;10, "Insuffisant")</f>
        <v>Insuffisant</v>
      </c>
    </row>
    <row r="847" spans="1:18">
      <c r="A847" t="s">
        <v>1175</v>
      </c>
      <c r="B847" t="s">
        <v>425</v>
      </c>
      <c r="C847" t="s">
        <v>20</v>
      </c>
      <c r="D847" t="s">
        <v>53</v>
      </c>
      <c r="E847" t="s">
        <v>35</v>
      </c>
      <c r="F847">
        <v>15.08</v>
      </c>
      <c r="G847">
        <v>14.96</v>
      </c>
      <c r="H847">
        <v>13.08</v>
      </c>
      <c r="I847">
        <v>14.08</v>
      </c>
      <c r="J847" s="4">
        <v>0.91039999999999999</v>
      </c>
      <c r="K847">
        <v>130000</v>
      </c>
      <c r="L847" s="2">
        <v>46024</v>
      </c>
      <c r="M847" t="str">
        <f t="shared" si="65"/>
        <v>Admis</v>
      </c>
      <c r="N847" t="str">
        <f t="shared" si="66"/>
        <v>Eligible</v>
      </c>
      <c r="O847" t="str">
        <f t="shared" si="67"/>
        <v>RAS</v>
      </c>
      <c r="P847" t="str">
        <f t="shared" si="68"/>
        <v>Hors Data</v>
      </c>
      <c r="Q847">
        <f t="shared" si="69"/>
        <v>14.299999999999999</v>
      </c>
      <c r="R847" t="str" cm="1">
        <f t="array" ref="R847">_xlfn.IFS(Q847&gt;=16, "Excellent",Q847&gt;=14, "Très bien", Q847&gt;=12, "Bien", Q847&gt;=10, "Passable", Q847&lt;10, "Insuffisant")</f>
        <v>Très bien</v>
      </c>
    </row>
    <row r="848" spans="1:18">
      <c r="A848" t="s">
        <v>1176</v>
      </c>
      <c r="B848" t="s">
        <v>757</v>
      </c>
      <c r="C848" t="s">
        <v>20</v>
      </c>
      <c r="D848" t="s">
        <v>53</v>
      </c>
      <c r="E848" t="s">
        <v>22</v>
      </c>
      <c r="F848">
        <v>11.3</v>
      </c>
      <c r="G848">
        <v>12.81</v>
      </c>
      <c r="H848">
        <v>17.8</v>
      </c>
      <c r="I848">
        <v>14.6</v>
      </c>
      <c r="J848" s="4">
        <v>0.83069999999999999</v>
      </c>
      <c r="K848">
        <v>110000</v>
      </c>
      <c r="L848" s="2">
        <v>45669</v>
      </c>
      <c r="M848" t="str">
        <f t="shared" si="65"/>
        <v>Admis</v>
      </c>
      <c r="N848" t="str">
        <f t="shared" si="66"/>
        <v>Non Eligible</v>
      </c>
      <c r="O848" t="str">
        <f t="shared" si="67"/>
        <v>RAS</v>
      </c>
      <c r="P848" t="str">
        <f t="shared" si="68"/>
        <v>Data</v>
      </c>
      <c r="Q848">
        <f t="shared" si="69"/>
        <v>14.1275</v>
      </c>
      <c r="R848" t="str" cm="1">
        <f t="array" ref="R848">_xlfn.IFS(Q848&gt;=16, "Excellent",Q848&gt;=14, "Très bien", Q848&gt;=12, "Bien", Q848&gt;=10, "Passable", Q848&lt;10, "Insuffisant")</f>
        <v>Très bien</v>
      </c>
    </row>
    <row r="849" spans="1:18">
      <c r="A849" t="s">
        <v>1177</v>
      </c>
      <c r="B849" t="s">
        <v>357</v>
      </c>
      <c r="C849" t="s">
        <v>20</v>
      </c>
      <c r="D849" t="s">
        <v>34</v>
      </c>
      <c r="E849" t="s">
        <v>35</v>
      </c>
      <c r="F849">
        <v>16.309999999999999</v>
      </c>
      <c r="G849">
        <v>18.010000000000002</v>
      </c>
      <c r="H849">
        <v>14.07</v>
      </c>
      <c r="I849">
        <v>10.7</v>
      </c>
      <c r="J849" s="4">
        <v>0.86129999999999995</v>
      </c>
      <c r="K849">
        <v>90000</v>
      </c>
      <c r="L849" s="2">
        <v>46205</v>
      </c>
      <c r="M849" t="str">
        <f t="shared" si="65"/>
        <v>Admis</v>
      </c>
      <c r="N849" t="str">
        <f t="shared" si="66"/>
        <v>Eligible</v>
      </c>
      <c r="O849" t="str">
        <f t="shared" si="67"/>
        <v>RAS</v>
      </c>
      <c r="P849" t="str">
        <f t="shared" si="68"/>
        <v>Hors Data</v>
      </c>
      <c r="Q849">
        <f t="shared" si="69"/>
        <v>14.772500000000001</v>
      </c>
      <c r="R849" t="str" cm="1">
        <f t="array" ref="R849">_xlfn.IFS(Q849&gt;=16, "Excellent",Q849&gt;=14, "Très bien", Q849&gt;=12, "Bien", Q849&gt;=10, "Passable", Q849&lt;10, "Insuffisant")</f>
        <v>Très bien</v>
      </c>
    </row>
    <row r="850" spans="1:18">
      <c r="A850" t="s">
        <v>1178</v>
      </c>
      <c r="B850" t="s">
        <v>949</v>
      </c>
      <c r="C850" t="s">
        <v>25</v>
      </c>
      <c r="D850" t="s">
        <v>41</v>
      </c>
      <c r="E850" t="s">
        <v>35</v>
      </c>
      <c r="F850">
        <v>8.91</v>
      </c>
      <c r="G850">
        <v>12.38</v>
      </c>
      <c r="H850">
        <v>16.3</v>
      </c>
      <c r="I850">
        <v>12.65</v>
      </c>
      <c r="J850" s="4">
        <v>0.55000000000000004</v>
      </c>
      <c r="K850">
        <v>80000</v>
      </c>
      <c r="L850" s="2">
        <v>45577</v>
      </c>
      <c r="M850" t="str">
        <f t="shared" si="65"/>
        <v>Admis</v>
      </c>
      <c r="N850" t="str">
        <f t="shared" si="66"/>
        <v>Non Eligible</v>
      </c>
      <c r="O850" t="str">
        <f t="shared" si="67"/>
        <v>A surveiller</v>
      </c>
      <c r="P850" t="str">
        <f t="shared" si="68"/>
        <v>Hors Data</v>
      </c>
      <c r="Q850">
        <f t="shared" si="69"/>
        <v>12.56</v>
      </c>
      <c r="R850" t="str" cm="1">
        <f t="array" ref="R850">_xlfn.IFS(Q850&gt;=16, "Excellent",Q850&gt;=14, "Très bien", Q850&gt;=12, "Bien", Q850&gt;=10, "Passable", Q850&lt;10, "Insuffisant")</f>
        <v>Bien</v>
      </c>
    </row>
    <row r="851" spans="1:18">
      <c r="A851" t="s">
        <v>1179</v>
      </c>
      <c r="B851" t="s">
        <v>748</v>
      </c>
      <c r="C851" t="s">
        <v>25</v>
      </c>
      <c r="D851" t="s">
        <v>38</v>
      </c>
      <c r="E851" t="s">
        <v>35</v>
      </c>
      <c r="F851">
        <v>18.88</v>
      </c>
      <c r="G851">
        <v>16.09</v>
      </c>
      <c r="H851">
        <v>12.48</v>
      </c>
      <c r="I851">
        <v>15.13</v>
      </c>
      <c r="J851" s="4">
        <v>0.55000000000000004</v>
      </c>
      <c r="K851">
        <v>85000</v>
      </c>
      <c r="L851" s="2">
        <v>45947</v>
      </c>
      <c r="M851" t="str">
        <f t="shared" si="65"/>
        <v>Admis</v>
      </c>
      <c r="N851" t="str">
        <f t="shared" si="66"/>
        <v>Non Eligible</v>
      </c>
      <c r="O851" t="str">
        <f t="shared" si="67"/>
        <v>RAS</v>
      </c>
      <c r="P851" t="str">
        <f t="shared" si="68"/>
        <v>Hors Data</v>
      </c>
      <c r="Q851">
        <f t="shared" si="69"/>
        <v>15.645000000000001</v>
      </c>
      <c r="R851" t="str" cm="1">
        <f t="array" ref="R851">_xlfn.IFS(Q851&gt;=16, "Excellent",Q851&gt;=14, "Très bien", Q851&gt;=12, "Bien", Q851&gt;=10, "Passable", Q851&lt;10, "Insuffisant")</f>
        <v>Très bien</v>
      </c>
    </row>
    <row r="852" spans="1:18">
      <c r="A852" t="s">
        <v>1180</v>
      </c>
      <c r="B852" t="s">
        <v>479</v>
      </c>
      <c r="C852" t="s">
        <v>25</v>
      </c>
      <c r="D852" t="s">
        <v>21</v>
      </c>
      <c r="E852" t="s">
        <v>35</v>
      </c>
      <c r="F852">
        <v>16.55</v>
      </c>
      <c r="G852">
        <v>19.16</v>
      </c>
      <c r="H852">
        <v>17.45</v>
      </c>
      <c r="I852">
        <v>18.72</v>
      </c>
      <c r="J852" s="4">
        <v>0.91310000000000002</v>
      </c>
      <c r="K852">
        <v>110000</v>
      </c>
      <c r="L852" s="2">
        <v>45669</v>
      </c>
      <c r="M852" t="str">
        <f t="shared" si="65"/>
        <v>Admis</v>
      </c>
      <c r="N852" t="str">
        <f t="shared" si="66"/>
        <v>Eligible</v>
      </c>
      <c r="O852" t="str">
        <f t="shared" si="67"/>
        <v>RAS</v>
      </c>
      <c r="P852" t="str">
        <f t="shared" si="68"/>
        <v>Hors Data</v>
      </c>
      <c r="Q852">
        <f t="shared" si="69"/>
        <v>17.97</v>
      </c>
      <c r="R852" t="str" cm="1">
        <f t="array" ref="R852">_xlfn.IFS(Q852&gt;=16, "Excellent",Q852&gt;=14, "Très bien", Q852&gt;=12, "Bien", Q852&gt;=10, "Passable", Q852&lt;10, "Insuffisant")</f>
        <v>Excellent</v>
      </c>
    </row>
    <row r="853" spans="1:18">
      <c r="A853" t="s">
        <v>1181</v>
      </c>
      <c r="B853" t="s">
        <v>237</v>
      </c>
      <c r="C853" t="s">
        <v>25</v>
      </c>
      <c r="D853" t="s">
        <v>38</v>
      </c>
      <c r="E853" t="s">
        <v>48</v>
      </c>
      <c r="F853">
        <v>9.02</v>
      </c>
      <c r="G853">
        <v>16.54</v>
      </c>
      <c r="H853">
        <v>19.61</v>
      </c>
      <c r="I853">
        <v>13.57</v>
      </c>
      <c r="J853" s="4">
        <v>0.95920000000000005</v>
      </c>
      <c r="K853">
        <v>75000</v>
      </c>
      <c r="L853" s="2">
        <v>46001</v>
      </c>
      <c r="M853" t="str">
        <f t="shared" si="65"/>
        <v>Admis</v>
      </c>
      <c r="N853" t="str">
        <f t="shared" si="66"/>
        <v>Non Eligible</v>
      </c>
      <c r="O853" t="str">
        <f t="shared" si="67"/>
        <v>A surveiller</v>
      </c>
      <c r="P853" t="str">
        <f t="shared" si="68"/>
        <v>Hors Data</v>
      </c>
      <c r="Q853">
        <f t="shared" si="69"/>
        <v>14.685</v>
      </c>
      <c r="R853" t="str" cm="1">
        <f t="array" ref="R853">_xlfn.IFS(Q853&gt;=16, "Excellent",Q853&gt;=14, "Très bien", Q853&gt;=12, "Bien", Q853&gt;=10, "Passable", Q853&lt;10, "Insuffisant")</f>
        <v>Très bien</v>
      </c>
    </row>
    <row r="854" spans="1:18">
      <c r="A854" t="s">
        <v>1182</v>
      </c>
      <c r="B854" t="s">
        <v>408</v>
      </c>
      <c r="C854" t="s">
        <v>25</v>
      </c>
      <c r="D854" t="s">
        <v>21</v>
      </c>
      <c r="E854" t="s">
        <v>35</v>
      </c>
      <c r="F854">
        <v>12.02</v>
      </c>
      <c r="G854">
        <v>13.05</v>
      </c>
      <c r="H854">
        <v>13.04</v>
      </c>
      <c r="I854">
        <v>12.14</v>
      </c>
      <c r="J854" s="4">
        <v>0.96989999999999998</v>
      </c>
      <c r="K854">
        <v>120000</v>
      </c>
      <c r="L854" s="2">
        <v>45824</v>
      </c>
      <c r="M854" t="str">
        <f t="shared" si="65"/>
        <v>Admis</v>
      </c>
      <c r="N854" t="str">
        <f t="shared" si="66"/>
        <v>Eligible</v>
      </c>
      <c r="O854" t="str">
        <f t="shared" si="67"/>
        <v>RAS</v>
      </c>
      <c r="P854" t="str">
        <f t="shared" si="68"/>
        <v>Hors Data</v>
      </c>
      <c r="Q854">
        <f t="shared" si="69"/>
        <v>12.5625</v>
      </c>
      <c r="R854" t="str" cm="1">
        <f t="array" ref="R854">_xlfn.IFS(Q854&gt;=16, "Excellent",Q854&gt;=14, "Très bien", Q854&gt;=12, "Bien", Q854&gt;=10, "Passable", Q854&lt;10, "Insuffisant")</f>
        <v>Bien</v>
      </c>
    </row>
    <row r="855" spans="1:18">
      <c r="A855" t="s">
        <v>1183</v>
      </c>
      <c r="B855" t="s">
        <v>1184</v>
      </c>
      <c r="C855" t="s">
        <v>20</v>
      </c>
      <c r="D855" t="s">
        <v>53</v>
      </c>
      <c r="E855" t="s">
        <v>35</v>
      </c>
      <c r="F855">
        <v>9.0399999999999991</v>
      </c>
      <c r="G855">
        <v>10.44</v>
      </c>
      <c r="H855">
        <v>7.22</v>
      </c>
      <c r="I855">
        <v>9.83</v>
      </c>
      <c r="J855" s="4">
        <v>0.86260000000000003</v>
      </c>
      <c r="K855">
        <v>75000</v>
      </c>
      <c r="L855" s="2">
        <v>45841</v>
      </c>
      <c r="M855" t="str">
        <f t="shared" si="65"/>
        <v>Non admis</v>
      </c>
      <c r="N855" t="str">
        <f t="shared" si="66"/>
        <v>Non Eligible</v>
      </c>
      <c r="O855" t="str">
        <f t="shared" si="67"/>
        <v>A surveiller</v>
      </c>
      <c r="P855" t="str">
        <f t="shared" si="68"/>
        <v>Hors Data</v>
      </c>
      <c r="Q855">
        <f t="shared" si="69"/>
        <v>9.1324999999999985</v>
      </c>
      <c r="R855" t="str" cm="1">
        <f t="array" ref="R855">_xlfn.IFS(Q855&gt;=16, "Excellent",Q855&gt;=14, "Très bien", Q855&gt;=12, "Bien", Q855&gt;=10, "Passable", Q855&lt;10, "Insuffisant")</f>
        <v>Insuffisant</v>
      </c>
    </row>
    <row r="856" spans="1:18">
      <c r="A856" t="s">
        <v>1185</v>
      </c>
      <c r="B856" t="s">
        <v>930</v>
      </c>
      <c r="C856" t="s">
        <v>20</v>
      </c>
      <c r="D856" t="s">
        <v>34</v>
      </c>
      <c r="E856" t="s">
        <v>27</v>
      </c>
      <c r="F856">
        <v>15.13</v>
      </c>
      <c r="G856">
        <v>20</v>
      </c>
      <c r="H856">
        <v>13.28</v>
      </c>
      <c r="I856">
        <v>15.35</v>
      </c>
      <c r="J856" s="4">
        <v>0.8266</v>
      </c>
      <c r="K856">
        <v>60000</v>
      </c>
      <c r="L856" s="2">
        <v>46006</v>
      </c>
      <c r="M856" t="str">
        <f t="shared" si="65"/>
        <v>Admis</v>
      </c>
      <c r="N856" t="str">
        <f t="shared" si="66"/>
        <v>Eligible</v>
      </c>
      <c r="O856" t="str">
        <f t="shared" si="67"/>
        <v>RAS</v>
      </c>
      <c r="P856" t="str">
        <f t="shared" si="68"/>
        <v>Hors Data</v>
      </c>
      <c r="Q856">
        <f t="shared" si="69"/>
        <v>15.940000000000001</v>
      </c>
      <c r="R856" t="str" cm="1">
        <f t="array" ref="R856">_xlfn.IFS(Q856&gt;=16, "Excellent",Q856&gt;=14, "Très bien", Q856&gt;=12, "Bien", Q856&gt;=10, "Passable", Q856&lt;10, "Insuffisant")</f>
        <v>Très bien</v>
      </c>
    </row>
    <row r="857" spans="1:18">
      <c r="A857" t="s">
        <v>1186</v>
      </c>
      <c r="B857" t="s">
        <v>912</v>
      </c>
      <c r="C857" t="s">
        <v>25</v>
      </c>
      <c r="D857" t="s">
        <v>34</v>
      </c>
      <c r="E857" t="s">
        <v>22</v>
      </c>
      <c r="F857">
        <v>18.489999999999998</v>
      </c>
      <c r="G857">
        <v>18.02</v>
      </c>
      <c r="H857">
        <v>19.5</v>
      </c>
      <c r="I857">
        <v>14.38</v>
      </c>
      <c r="J857" s="4">
        <v>0.88739999999999997</v>
      </c>
      <c r="K857">
        <v>110000</v>
      </c>
      <c r="L857" s="2">
        <v>46065</v>
      </c>
      <c r="M857" t="str">
        <f t="shared" si="65"/>
        <v>Admis</v>
      </c>
      <c r="N857" t="str">
        <f t="shared" si="66"/>
        <v>Eligible</v>
      </c>
      <c r="O857" t="str">
        <f t="shared" si="67"/>
        <v>RAS</v>
      </c>
      <c r="P857" t="str">
        <f t="shared" si="68"/>
        <v>Data</v>
      </c>
      <c r="Q857">
        <f t="shared" si="69"/>
        <v>17.5975</v>
      </c>
      <c r="R857" t="str" cm="1">
        <f t="array" ref="R857">_xlfn.IFS(Q857&gt;=16, "Excellent",Q857&gt;=14, "Très bien", Q857&gt;=12, "Bien", Q857&gt;=10, "Passable", Q857&lt;10, "Insuffisant")</f>
        <v>Excellent</v>
      </c>
    </row>
    <row r="858" spans="1:18">
      <c r="A858" t="s">
        <v>1187</v>
      </c>
      <c r="B858" t="s">
        <v>600</v>
      </c>
      <c r="C858" t="s">
        <v>20</v>
      </c>
      <c r="D858" t="s">
        <v>38</v>
      </c>
      <c r="E858" t="s">
        <v>35</v>
      </c>
      <c r="F858">
        <v>13.43</v>
      </c>
      <c r="G858">
        <v>15.96</v>
      </c>
      <c r="H858">
        <v>13.81</v>
      </c>
      <c r="I858">
        <v>20</v>
      </c>
      <c r="J858" s="4">
        <v>0.57750000000000001</v>
      </c>
      <c r="K858">
        <v>100000</v>
      </c>
      <c r="L858" s="2">
        <v>45802</v>
      </c>
      <c r="M858" t="str">
        <f t="shared" si="65"/>
        <v>Admis</v>
      </c>
      <c r="N858" t="str">
        <f t="shared" si="66"/>
        <v>Non Eligible</v>
      </c>
      <c r="O858" t="str">
        <f t="shared" si="67"/>
        <v>RAS</v>
      </c>
      <c r="P858" t="str">
        <f t="shared" si="68"/>
        <v>Hors Data</v>
      </c>
      <c r="Q858">
        <f t="shared" si="69"/>
        <v>15.8</v>
      </c>
      <c r="R858" t="str" cm="1">
        <f t="array" ref="R858">_xlfn.IFS(Q858&gt;=16, "Excellent",Q858&gt;=14, "Très bien", Q858&gt;=12, "Bien", Q858&gt;=10, "Passable", Q858&lt;10, "Insuffisant")</f>
        <v>Très bien</v>
      </c>
    </row>
    <row r="859" spans="1:18">
      <c r="A859" t="s">
        <v>1188</v>
      </c>
      <c r="B859" t="s">
        <v>679</v>
      </c>
      <c r="C859" t="s">
        <v>20</v>
      </c>
      <c r="D859" t="s">
        <v>38</v>
      </c>
      <c r="E859" t="s">
        <v>22</v>
      </c>
      <c r="F859">
        <v>8.16</v>
      </c>
      <c r="G859">
        <v>11.81</v>
      </c>
      <c r="H859">
        <v>11.03</v>
      </c>
      <c r="I859">
        <v>8.56</v>
      </c>
      <c r="J859" s="4">
        <v>0.82110000000000005</v>
      </c>
      <c r="K859">
        <v>75000</v>
      </c>
      <c r="L859" s="2">
        <v>46234</v>
      </c>
      <c r="M859" t="str">
        <f t="shared" si="65"/>
        <v>Admis</v>
      </c>
      <c r="N859" t="str">
        <f t="shared" si="66"/>
        <v>Non Eligible</v>
      </c>
      <c r="O859" t="str">
        <f t="shared" si="67"/>
        <v>A surveiller</v>
      </c>
      <c r="P859" t="str">
        <f t="shared" si="68"/>
        <v>Data</v>
      </c>
      <c r="Q859">
        <f t="shared" si="69"/>
        <v>9.89</v>
      </c>
      <c r="R859" t="str" cm="1">
        <f t="array" ref="R859">_xlfn.IFS(Q859&gt;=16, "Excellent",Q859&gt;=14, "Très bien", Q859&gt;=12, "Bien", Q859&gt;=10, "Passable", Q859&lt;10, "Insuffisant")</f>
        <v>Insuffisant</v>
      </c>
    </row>
    <row r="860" spans="1:18">
      <c r="A860" t="s">
        <v>1189</v>
      </c>
      <c r="B860" t="s">
        <v>43</v>
      </c>
      <c r="C860" t="s">
        <v>25</v>
      </c>
      <c r="D860" t="s">
        <v>26</v>
      </c>
      <c r="E860" t="s">
        <v>27</v>
      </c>
      <c r="F860">
        <v>15.23</v>
      </c>
      <c r="G860">
        <v>18.670000000000002</v>
      </c>
      <c r="H860">
        <v>12.87</v>
      </c>
      <c r="I860">
        <v>15.14</v>
      </c>
      <c r="J860" s="4">
        <v>0.97829999999999995</v>
      </c>
      <c r="K860">
        <v>100000</v>
      </c>
      <c r="L860" s="2">
        <v>45884</v>
      </c>
      <c r="M860" t="str">
        <f t="shared" si="65"/>
        <v>Admis</v>
      </c>
      <c r="N860" t="str">
        <f t="shared" si="66"/>
        <v>Eligible</v>
      </c>
      <c r="O860" t="str">
        <f t="shared" si="67"/>
        <v>RAS</v>
      </c>
      <c r="P860" t="str">
        <f t="shared" si="68"/>
        <v>Hors Data</v>
      </c>
      <c r="Q860">
        <f t="shared" si="69"/>
        <v>15.477500000000001</v>
      </c>
      <c r="R860" t="str" cm="1">
        <f t="array" ref="R860">_xlfn.IFS(Q860&gt;=16, "Excellent",Q860&gt;=14, "Très bien", Q860&gt;=12, "Bien", Q860&gt;=10, "Passable", Q860&lt;10, "Insuffisant")</f>
        <v>Très bien</v>
      </c>
    </row>
    <row r="861" spans="1:18">
      <c r="A861" t="s">
        <v>1190</v>
      </c>
      <c r="B861" t="s">
        <v>52</v>
      </c>
      <c r="C861" t="s">
        <v>25</v>
      </c>
      <c r="D861" t="s">
        <v>38</v>
      </c>
      <c r="E861" t="s">
        <v>22</v>
      </c>
      <c r="F861">
        <v>15.98</v>
      </c>
      <c r="G861">
        <v>14.99</v>
      </c>
      <c r="H861">
        <v>19.53</v>
      </c>
      <c r="I861">
        <v>16.57</v>
      </c>
      <c r="J861" s="4">
        <v>0.85309999999999997</v>
      </c>
      <c r="K861">
        <v>110000</v>
      </c>
      <c r="L861" s="2">
        <v>45648</v>
      </c>
      <c r="M861" t="str">
        <f t="shared" si="65"/>
        <v>Admis</v>
      </c>
      <c r="N861" t="str">
        <f t="shared" si="66"/>
        <v>Eligible</v>
      </c>
      <c r="O861" t="str">
        <f t="shared" si="67"/>
        <v>RAS</v>
      </c>
      <c r="P861" t="str">
        <f t="shared" si="68"/>
        <v>Data</v>
      </c>
      <c r="Q861">
        <f t="shared" si="69"/>
        <v>16.767499999999998</v>
      </c>
      <c r="R861" t="str" cm="1">
        <f t="array" ref="R861">_xlfn.IFS(Q861&gt;=16, "Excellent",Q861&gt;=14, "Très bien", Q861&gt;=12, "Bien", Q861&gt;=10, "Passable", Q861&lt;10, "Insuffisant")</f>
        <v>Excellent</v>
      </c>
    </row>
    <row r="862" spans="1:18">
      <c r="A862" t="s">
        <v>1191</v>
      </c>
      <c r="B862" t="s">
        <v>651</v>
      </c>
      <c r="C862" t="s">
        <v>25</v>
      </c>
      <c r="D862" t="s">
        <v>53</v>
      </c>
      <c r="E862" t="s">
        <v>27</v>
      </c>
      <c r="F862">
        <v>17.100000000000001</v>
      </c>
      <c r="G862">
        <v>17.649999999999999</v>
      </c>
      <c r="H862">
        <v>20</v>
      </c>
      <c r="I862">
        <v>18.350000000000001</v>
      </c>
      <c r="J862" s="4">
        <v>0.83660000000000001</v>
      </c>
      <c r="K862">
        <v>110000</v>
      </c>
      <c r="L862" s="2">
        <v>45540</v>
      </c>
      <c r="M862" t="str">
        <f t="shared" si="65"/>
        <v>Admis</v>
      </c>
      <c r="N862" t="str">
        <f t="shared" si="66"/>
        <v>Eligible</v>
      </c>
      <c r="O862" t="str">
        <f t="shared" si="67"/>
        <v>RAS</v>
      </c>
      <c r="P862" t="str">
        <f t="shared" si="68"/>
        <v>Hors Data</v>
      </c>
      <c r="Q862">
        <f t="shared" si="69"/>
        <v>18.274999999999999</v>
      </c>
      <c r="R862" t="str" cm="1">
        <f t="array" ref="R862">_xlfn.IFS(Q862&gt;=16, "Excellent",Q862&gt;=14, "Très bien", Q862&gt;=12, "Bien", Q862&gt;=10, "Passable", Q862&lt;10, "Insuffisant")</f>
        <v>Excellent</v>
      </c>
    </row>
    <row r="863" spans="1:18">
      <c r="A863" t="s">
        <v>1192</v>
      </c>
      <c r="B863" t="s">
        <v>342</v>
      </c>
      <c r="C863" t="s">
        <v>25</v>
      </c>
      <c r="D863" t="s">
        <v>53</v>
      </c>
      <c r="E863" t="s">
        <v>22</v>
      </c>
      <c r="F863">
        <v>13.75</v>
      </c>
      <c r="G863">
        <v>8.06</v>
      </c>
      <c r="H863">
        <v>11.18</v>
      </c>
      <c r="I863">
        <v>10.53</v>
      </c>
      <c r="J863" s="4">
        <v>0.8891</v>
      </c>
      <c r="K863">
        <v>130000</v>
      </c>
      <c r="L863" s="2">
        <v>45677</v>
      </c>
      <c r="M863" t="str">
        <f t="shared" si="65"/>
        <v>Admis</v>
      </c>
      <c r="N863" t="str">
        <f t="shared" si="66"/>
        <v>Non Eligible</v>
      </c>
      <c r="O863" t="str">
        <f t="shared" si="67"/>
        <v>RAS</v>
      </c>
      <c r="P863" t="str">
        <f t="shared" si="68"/>
        <v>Data</v>
      </c>
      <c r="Q863">
        <f t="shared" si="69"/>
        <v>10.88</v>
      </c>
      <c r="R863" t="str" cm="1">
        <f t="array" ref="R863">_xlfn.IFS(Q863&gt;=16, "Excellent",Q863&gt;=14, "Très bien", Q863&gt;=12, "Bien", Q863&gt;=10, "Passable", Q863&lt;10, "Insuffisant")</f>
        <v>Passable</v>
      </c>
    </row>
    <row r="864" spans="1:18">
      <c r="A864" t="s">
        <v>1193</v>
      </c>
      <c r="B864" t="s">
        <v>1074</v>
      </c>
      <c r="C864" t="s">
        <v>20</v>
      </c>
      <c r="D864" t="s">
        <v>41</v>
      </c>
      <c r="E864" t="s">
        <v>35</v>
      </c>
      <c r="F864">
        <v>11</v>
      </c>
      <c r="G864">
        <v>10.66</v>
      </c>
      <c r="H864">
        <v>10.53</v>
      </c>
      <c r="I864">
        <v>12.36</v>
      </c>
      <c r="J864" s="4">
        <v>0.99199999999999999</v>
      </c>
      <c r="K864">
        <v>120000</v>
      </c>
      <c r="L864" s="2">
        <v>46019</v>
      </c>
      <c r="M864" t="str">
        <f t="shared" si="65"/>
        <v>Admis</v>
      </c>
      <c r="N864" t="str">
        <f t="shared" si="66"/>
        <v>Non Eligible</v>
      </c>
      <c r="O864" t="str">
        <f t="shared" si="67"/>
        <v>RAS</v>
      </c>
      <c r="P864" t="str">
        <f t="shared" si="68"/>
        <v>Hors Data</v>
      </c>
      <c r="Q864">
        <f t="shared" si="69"/>
        <v>11.137499999999999</v>
      </c>
      <c r="R864" t="str" cm="1">
        <f t="array" ref="R864">_xlfn.IFS(Q864&gt;=16, "Excellent",Q864&gt;=14, "Très bien", Q864&gt;=12, "Bien", Q864&gt;=10, "Passable", Q864&lt;10, "Insuffisant")</f>
        <v>Passable</v>
      </c>
    </row>
    <row r="865" spans="1:18">
      <c r="A865" t="s">
        <v>1194</v>
      </c>
      <c r="B865" t="s">
        <v>667</v>
      </c>
      <c r="C865" t="s">
        <v>25</v>
      </c>
      <c r="D865" t="s">
        <v>21</v>
      </c>
      <c r="E865" t="s">
        <v>48</v>
      </c>
      <c r="F865">
        <v>16.28</v>
      </c>
      <c r="G865">
        <v>14.85</v>
      </c>
      <c r="H865">
        <v>19.170000000000002</v>
      </c>
      <c r="I865">
        <v>14.98</v>
      </c>
      <c r="J865" s="4">
        <v>0.71740000000000004</v>
      </c>
      <c r="K865">
        <v>80000</v>
      </c>
      <c r="L865" s="2">
        <v>45913</v>
      </c>
      <c r="M865" t="str">
        <f t="shared" si="65"/>
        <v>Admis</v>
      </c>
      <c r="N865" t="str">
        <f t="shared" si="66"/>
        <v>Non Eligible</v>
      </c>
      <c r="O865" t="str">
        <f t="shared" si="67"/>
        <v>RAS</v>
      </c>
      <c r="P865" t="str">
        <f t="shared" si="68"/>
        <v>Hors Data</v>
      </c>
      <c r="Q865">
        <f t="shared" si="69"/>
        <v>16.32</v>
      </c>
      <c r="R865" t="str" cm="1">
        <f t="array" ref="R865">_xlfn.IFS(Q865&gt;=16, "Excellent",Q865&gt;=14, "Très bien", Q865&gt;=12, "Bien", Q865&gt;=10, "Passable", Q865&lt;10, "Insuffisant")</f>
        <v>Excellent</v>
      </c>
    </row>
    <row r="866" spans="1:18">
      <c r="A866" t="s">
        <v>1195</v>
      </c>
      <c r="B866" t="s">
        <v>77</v>
      </c>
      <c r="C866" t="s">
        <v>25</v>
      </c>
      <c r="D866" t="s">
        <v>53</v>
      </c>
      <c r="E866" t="s">
        <v>27</v>
      </c>
      <c r="F866">
        <v>13.81</v>
      </c>
      <c r="G866">
        <v>13.94</v>
      </c>
      <c r="H866">
        <v>13.06</v>
      </c>
      <c r="I866">
        <v>11.11</v>
      </c>
      <c r="J866" s="4">
        <v>0.81459999999999999</v>
      </c>
      <c r="K866">
        <v>70000</v>
      </c>
      <c r="L866" s="2">
        <v>45772</v>
      </c>
      <c r="M866" t="str">
        <f t="shared" si="65"/>
        <v>Admis</v>
      </c>
      <c r="N866" t="str">
        <f t="shared" si="66"/>
        <v>Eligible</v>
      </c>
      <c r="O866" t="str">
        <f t="shared" si="67"/>
        <v>RAS</v>
      </c>
      <c r="P866" t="str">
        <f t="shared" si="68"/>
        <v>Hors Data</v>
      </c>
      <c r="Q866">
        <f t="shared" si="69"/>
        <v>12.98</v>
      </c>
      <c r="R866" t="str" cm="1">
        <f t="array" ref="R866">_xlfn.IFS(Q866&gt;=16, "Excellent",Q866&gt;=14, "Très bien", Q866&gt;=12, "Bien", Q866&gt;=10, "Passable", Q866&lt;10, "Insuffisant")</f>
        <v>Bien</v>
      </c>
    </row>
    <row r="867" spans="1:18">
      <c r="A867" t="s">
        <v>1196</v>
      </c>
      <c r="B867" t="s">
        <v>204</v>
      </c>
      <c r="C867" t="s">
        <v>25</v>
      </c>
      <c r="D867" t="s">
        <v>41</v>
      </c>
      <c r="E867" t="s">
        <v>22</v>
      </c>
      <c r="F867">
        <v>6.95</v>
      </c>
      <c r="G867">
        <v>14.66</v>
      </c>
      <c r="H867">
        <v>8.14</v>
      </c>
      <c r="I867">
        <v>15</v>
      </c>
      <c r="J867" s="4">
        <v>0.88529999999999998</v>
      </c>
      <c r="K867">
        <v>60000</v>
      </c>
      <c r="L867" s="2">
        <v>45872</v>
      </c>
      <c r="M867" t="str">
        <f t="shared" si="65"/>
        <v>Non admis</v>
      </c>
      <c r="N867" t="str">
        <f t="shared" si="66"/>
        <v>Non Eligible</v>
      </c>
      <c r="O867" t="str">
        <f t="shared" si="67"/>
        <v>A surveiller</v>
      </c>
      <c r="P867" t="str">
        <f t="shared" si="68"/>
        <v>Data</v>
      </c>
      <c r="Q867">
        <f t="shared" si="69"/>
        <v>11.1875</v>
      </c>
      <c r="R867" t="str" cm="1">
        <f t="array" ref="R867">_xlfn.IFS(Q867&gt;=16, "Excellent",Q867&gt;=14, "Très bien", Q867&gt;=12, "Bien", Q867&gt;=10, "Passable", Q867&lt;10, "Insuffisant")</f>
        <v>Passable</v>
      </c>
    </row>
    <row r="868" spans="1:18">
      <c r="A868" t="s">
        <v>1197</v>
      </c>
      <c r="B868" t="s">
        <v>415</v>
      </c>
      <c r="C868" t="s">
        <v>25</v>
      </c>
      <c r="D868" t="s">
        <v>53</v>
      </c>
      <c r="E868" t="s">
        <v>22</v>
      </c>
      <c r="F868">
        <v>11.76</v>
      </c>
      <c r="G868">
        <v>16.239999999999998</v>
      </c>
      <c r="H868">
        <v>10.98</v>
      </c>
      <c r="I868">
        <v>14.08</v>
      </c>
      <c r="J868" s="4">
        <v>0.9496</v>
      </c>
      <c r="K868">
        <v>90000</v>
      </c>
      <c r="L868" s="2">
        <v>46122</v>
      </c>
      <c r="M868" t="str">
        <f t="shared" si="65"/>
        <v>Admis</v>
      </c>
      <c r="N868" t="str">
        <f t="shared" si="66"/>
        <v>Non Eligible</v>
      </c>
      <c r="O868" t="str">
        <f t="shared" si="67"/>
        <v>RAS</v>
      </c>
      <c r="P868" t="str">
        <f t="shared" si="68"/>
        <v>Data</v>
      </c>
      <c r="Q868">
        <f t="shared" si="69"/>
        <v>13.265000000000001</v>
      </c>
      <c r="R868" t="str" cm="1">
        <f t="array" ref="R868">_xlfn.IFS(Q868&gt;=16, "Excellent",Q868&gt;=14, "Très bien", Q868&gt;=12, "Bien", Q868&gt;=10, "Passable", Q868&lt;10, "Insuffisant")</f>
        <v>Bien</v>
      </c>
    </row>
    <row r="869" spans="1:18">
      <c r="A869" t="s">
        <v>1198</v>
      </c>
      <c r="B869" t="s">
        <v>280</v>
      </c>
      <c r="C869" t="s">
        <v>25</v>
      </c>
      <c r="D869" t="s">
        <v>21</v>
      </c>
      <c r="E869" t="s">
        <v>27</v>
      </c>
      <c r="F869">
        <v>15.15</v>
      </c>
      <c r="G869">
        <v>13.51</v>
      </c>
      <c r="H869">
        <v>13.9</v>
      </c>
      <c r="I869">
        <v>16.329999999999998</v>
      </c>
      <c r="J869" s="4">
        <v>0.7762</v>
      </c>
      <c r="K869">
        <v>100000</v>
      </c>
      <c r="L869" s="2">
        <v>45936</v>
      </c>
      <c r="M869" t="str">
        <f t="shared" si="65"/>
        <v>Admis</v>
      </c>
      <c r="N869" t="str">
        <f t="shared" si="66"/>
        <v>Non Eligible</v>
      </c>
      <c r="O869" t="str">
        <f t="shared" si="67"/>
        <v>RAS</v>
      </c>
      <c r="P869" t="str">
        <f t="shared" si="68"/>
        <v>Hors Data</v>
      </c>
      <c r="Q869">
        <f t="shared" si="69"/>
        <v>14.7225</v>
      </c>
      <c r="R869" t="str" cm="1">
        <f t="array" ref="R869">_xlfn.IFS(Q869&gt;=16, "Excellent",Q869&gt;=14, "Très bien", Q869&gt;=12, "Bien", Q869&gt;=10, "Passable", Q869&lt;10, "Insuffisant")</f>
        <v>Très bien</v>
      </c>
    </row>
    <row r="870" spans="1:18">
      <c r="A870" t="s">
        <v>1199</v>
      </c>
      <c r="B870" t="s">
        <v>492</v>
      </c>
      <c r="C870" t="s">
        <v>20</v>
      </c>
      <c r="D870" t="s">
        <v>53</v>
      </c>
      <c r="E870" t="s">
        <v>35</v>
      </c>
      <c r="F870">
        <v>18.100000000000001</v>
      </c>
      <c r="G870">
        <v>12.54</v>
      </c>
      <c r="H870">
        <v>10.75</v>
      </c>
      <c r="I870">
        <v>12.91</v>
      </c>
      <c r="J870" s="4">
        <v>0.78990000000000005</v>
      </c>
      <c r="K870">
        <v>100000</v>
      </c>
      <c r="L870" s="2">
        <v>45576</v>
      </c>
      <c r="M870" t="str">
        <f t="shared" si="65"/>
        <v>Admis</v>
      </c>
      <c r="N870" t="str">
        <f t="shared" si="66"/>
        <v>Non Eligible</v>
      </c>
      <c r="O870" t="str">
        <f t="shared" si="67"/>
        <v>RAS</v>
      </c>
      <c r="P870" t="str">
        <f t="shared" si="68"/>
        <v>Hors Data</v>
      </c>
      <c r="Q870">
        <f t="shared" si="69"/>
        <v>13.574999999999999</v>
      </c>
      <c r="R870" t="str" cm="1">
        <f t="array" ref="R870">_xlfn.IFS(Q870&gt;=16, "Excellent",Q870&gt;=14, "Très bien", Q870&gt;=12, "Bien", Q870&gt;=10, "Passable", Q870&lt;10, "Insuffisant")</f>
        <v>Bien</v>
      </c>
    </row>
    <row r="871" spans="1:18">
      <c r="A871" t="s">
        <v>1200</v>
      </c>
      <c r="B871" t="s">
        <v>45</v>
      </c>
      <c r="C871" t="s">
        <v>20</v>
      </c>
      <c r="D871" t="s">
        <v>26</v>
      </c>
      <c r="E871" t="s">
        <v>22</v>
      </c>
      <c r="F871">
        <v>15.39</v>
      </c>
      <c r="G871">
        <v>17.54</v>
      </c>
      <c r="H871">
        <v>12.94</v>
      </c>
      <c r="I871">
        <v>13.23</v>
      </c>
      <c r="J871" s="4">
        <v>0.86750000000000005</v>
      </c>
      <c r="K871">
        <v>50000</v>
      </c>
      <c r="L871" s="2">
        <v>45570</v>
      </c>
      <c r="M871" t="str">
        <f t="shared" si="65"/>
        <v>Admis</v>
      </c>
      <c r="N871" t="str">
        <f t="shared" si="66"/>
        <v>Eligible</v>
      </c>
      <c r="O871" t="str">
        <f t="shared" si="67"/>
        <v>RAS</v>
      </c>
      <c r="P871" t="str">
        <f t="shared" si="68"/>
        <v>Data</v>
      </c>
      <c r="Q871">
        <f t="shared" si="69"/>
        <v>14.774999999999999</v>
      </c>
      <c r="R871" t="str" cm="1">
        <f t="array" ref="R871">_xlfn.IFS(Q871&gt;=16, "Excellent",Q871&gt;=14, "Très bien", Q871&gt;=12, "Bien", Q871&gt;=10, "Passable", Q871&lt;10, "Insuffisant")</f>
        <v>Très bien</v>
      </c>
    </row>
    <row r="872" spans="1:18">
      <c r="A872" t="s">
        <v>1201</v>
      </c>
      <c r="B872" t="s">
        <v>564</v>
      </c>
      <c r="C872" t="s">
        <v>20</v>
      </c>
      <c r="D872" t="s">
        <v>26</v>
      </c>
      <c r="E872" t="s">
        <v>48</v>
      </c>
      <c r="F872">
        <v>8.98</v>
      </c>
      <c r="G872">
        <v>15.65</v>
      </c>
      <c r="H872">
        <v>14.61</v>
      </c>
      <c r="I872">
        <v>11.67</v>
      </c>
      <c r="J872" s="4">
        <v>0.97450000000000003</v>
      </c>
      <c r="K872">
        <v>100000</v>
      </c>
      <c r="L872" s="2">
        <v>45873</v>
      </c>
      <c r="M872" t="str">
        <f t="shared" si="65"/>
        <v>Admis</v>
      </c>
      <c r="N872" t="str">
        <f t="shared" si="66"/>
        <v>Non Eligible</v>
      </c>
      <c r="O872" t="str">
        <f t="shared" si="67"/>
        <v>A surveiller</v>
      </c>
      <c r="P872" t="str">
        <f t="shared" si="68"/>
        <v>Hors Data</v>
      </c>
      <c r="Q872">
        <f t="shared" si="69"/>
        <v>12.727500000000001</v>
      </c>
      <c r="R872" t="str" cm="1">
        <f t="array" ref="R872">_xlfn.IFS(Q872&gt;=16, "Excellent",Q872&gt;=14, "Très bien", Q872&gt;=12, "Bien", Q872&gt;=10, "Passable", Q872&lt;10, "Insuffisant")</f>
        <v>Bien</v>
      </c>
    </row>
    <row r="873" spans="1:18">
      <c r="A873" t="s">
        <v>1202</v>
      </c>
      <c r="B873" t="s">
        <v>575</v>
      </c>
      <c r="C873" t="s">
        <v>20</v>
      </c>
      <c r="D873" t="s">
        <v>26</v>
      </c>
      <c r="E873" t="s">
        <v>22</v>
      </c>
      <c r="F873">
        <v>10.8</v>
      </c>
      <c r="G873">
        <v>18.100000000000001</v>
      </c>
      <c r="H873">
        <v>17.010000000000002</v>
      </c>
      <c r="I873">
        <v>14.13</v>
      </c>
      <c r="J873" s="4">
        <v>0.97970000000000002</v>
      </c>
      <c r="K873">
        <v>110000</v>
      </c>
      <c r="L873" s="2">
        <v>45818</v>
      </c>
      <c r="M873" t="str">
        <f t="shared" si="65"/>
        <v>Admis</v>
      </c>
      <c r="N873" t="str">
        <f t="shared" si="66"/>
        <v>Non Eligible</v>
      </c>
      <c r="O873" t="str">
        <f t="shared" si="67"/>
        <v>RAS</v>
      </c>
      <c r="P873" t="str">
        <f t="shared" si="68"/>
        <v>Data</v>
      </c>
      <c r="Q873">
        <f t="shared" si="69"/>
        <v>15.010000000000002</v>
      </c>
      <c r="R873" t="str" cm="1">
        <f t="array" ref="R873">_xlfn.IFS(Q873&gt;=16, "Excellent",Q873&gt;=14, "Très bien", Q873&gt;=12, "Bien", Q873&gt;=10, "Passable", Q873&lt;10, "Insuffisant")</f>
        <v>Très bien</v>
      </c>
    </row>
    <row r="874" spans="1:18">
      <c r="A874" t="s">
        <v>1203</v>
      </c>
      <c r="B874" t="s">
        <v>1204</v>
      </c>
      <c r="C874" t="s">
        <v>20</v>
      </c>
      <c r="D874" t="s">
        <v>38</v>
      </c>
      <c r="E874" t="s">
        <v>27</v>
      </c>
      <c r="F874">
        <v>12.59</v>
      </c>
      <c r="G874">
        <v>10.4</v>
      </c>
      <c r="H874">
        <v>11.96</v>
      </c>
      <c r="I874">
        <v>10.52</v>
      </c>
      <c r="J874" s="4">
        <v>0.92959999999999998</v>
      </c>
      <c r="K874">
        <v>100000</v>
      </c>
      <c r="L874" s="2">
        <v>46131</v>
      </c>
      <c r="M874" t="str">
        <f t="shared" si="65"/>
        <v>Admis</v>
      </c>
      <c r="N874" t="str">
        <f t="shared" si="66"/>
        <v>Non Eligible</v>
      </c>
      <c r="O874" t="str">
        <f t="shared" si="67"/>
        <v>RAS</v>
      </c>
      <c r="P874" t="str">
        <f t="shared" si="68"/>
        <v>Hors Data</v>
      </c>
      <c r="Q874">
        <f t="shared" si="69"/>
        <v>11.3675</v>
      </c>
      <c r="R874" t="str" cm="1">
        <f t="array" ref="R874">_xlfn.IFS(Q874&gt;=16, "Excellent",Q874&gt;=14, "Très bien", Q874&gt;=12, "Bien", Q874&gt;=10, "Passable", Q874&lt;10, "Insuffisant")</f>
        <v>Passable</v>
      </c>
    </row>
    <row r="875" spans="1:18">
      <c r="A875" t="s">
        <v>1205</v>
      </c>
      <c r="B875" t="s">
        <v>737</v>
      </c>
      <c r="C875" t="s">
        <v>20</v>
      </c>
      <c r="D875" t="s">
        <v>38</v>
      </c>
      <c r="E875" t="s">
        <v>27</v>
      </c>
      <c r="F875">
        <v>11.64</v>
      </c>
      <c r="G875">
        <v>14.73</v>
      </c>
      <c r="H875">
        <v>10.46</v>
      </c>
      <c r="I875">
        <v>10.86</v>
      </c>
      <c r="J875" s="4">
        <v>0.6784</v>
      </c>
      <c r="K875">
        <v>85000</v>
      </c>
      <c r="L875" s="2">
        <v>45944</v>
      </c>
      <c r="M875" t="str">
        <f t="shared" si="65"/>
        <v>Admis</v>
      </c>
      <c r="N875" t="str">
        <f t="shared" si="66"/>
        <v>Non Eligible</v>
      </c>
      <c r="O875" t="str">
        <f t="shared" si="67"/>
        <v>RAS</v>
      </c>
      <c r="P875" t="str">
        <f t="shared" si="68"/>
        <v>Hors Data</v>
      </c>
      <c r="Q875">
        <f t="shared" si="69"/>
        <v>11.922499999999999</v>
      </c>
      <c r="R875" t="str" cm="1">
        <f t="array" ref="R875">_xlfn.IFS(Q875&gt;=16, "Excellent",Q875&gt;=14, "Très bien", Q875&gt;=12, "Bien", Q875&gt;=10, "Passable", Q875&lt;10, "Insuffisant")</f>
        <v>Passable</v>
      </c>
    </row>
    <row r="876" spans="1:18">
      <c r="A876" t="s">
        <v>1206</v>
      </c>
      <c r="B876" t="s">
        <v>317</v>
      </c>
      <c r="C876" t="s">
        <v>25</v>
      </c>
      <c r="D876" t="s">
        <v>41</v>
      </c>
      <c r="E876" t="s">
        <v>27</v>
      </c>
      <c r="F876">
        <v>16.04</v>
      </c>
      <c r="G876">
        <v>11.75</v>
      </c>
      <c r="H876">
        <v>13.87</v>
      </c>
      <c r="I876">
        <v>16.010000000000002</v>
      </c>
      <c r="J876" s="4">
        <v>0.68859999999999999</v>
      </c>
      <c r="K876">
        <v>50000</v>
      </c>
      <c r="L876" s="2">
        <v>46065</v>
      </c>
      <c r="M876" t="str">
        <f t="shared" si="65"/>
        <v>Admis</v>
      </c>
      <c r="N876" t="str">
        <f t="shared" si="66"/>
        <v>Non Eligible</v>
      </c>
      <c r="O876" t="str">
        <f t="shared" si="67"/>
        <v>RAS</v>
      </c>
      <c r="P876" t="str">
        <f t="shared" si="68"/>
        <v>Hors Data</v>
      </c>
      <c r="Q876">
        <f t="shared" si="69"/>
        <v>14.4175</v>
      </c>
      <c r="R876" t="str" cm="1">
        <f t="array" ref="R876">_xlfn.IFS(Q876&gt;=16, "Excellent",Q876&gt;=14, "Très bien", Q876&gt;=12, "Bien", Q876&gt;=10, "Passable", Q876&lt;10, "Insuffisant")</f>
        <v>Très bien</v>
      </c>
    </row>
    <row r="877" spans="1:18">
      <c r="A877" t="s">
        <v>1207</v>
      </c>
      <c r="B877" t="s">
        <v>777</v>
      </c>
      <c r="C877" t="s">
        <v>25</v>
      </c>
      <c r="D877" t="s">
        <v>26</v>
      </c>
      <c r="E877" t="s">
        <v>35</v>
      </c>
      <c r="F877">
        <v>14.02</v>
      </c>
      <c r="G877">
        <v>17.22</v>
      </c>
      <c r="H877">
        <v>20</v>
      </c>
      <c r="I877">
        <v>13.23</v>
      </c>
      <c r="J877" s="4">
        <v>0.92969999999999997</v>
      </c>
      <c r="K877">
        <v>85000</v>
      </c>
      <c r="L877" s="2">
        <v>45945</v>
      </c>
      <c r="M877" t="str">
        <f t="shared" si="65"/>
        <v>Admis</v>
      </c>
      <c r="N877" t="str">
        <f t="shared" si="66"/>
        <v>Eligible</v>
      </c>
      <c r="O877" t="str">
        <f t="shared" si="67"/>
        <v>RAS</v>
      </c>
      <c r="P877" t="str">
        <f t="shared" si="68"/>
        <v>Hors Data</v>
      </c>
      <c r="Q877">
        <f t="shared" si="69"/>
        <v>16.1175</v>
      </c>
      <c r="R877" t="str" cm="1">
        <f t="array" ref="R877">_xlfn.IFS(Q877&gt;=16, "Excellent",Q877&gt;=14, "Très bien", Q877&gt;=12, "Bien", Q877&gt;=10, "Passable", Q877&lt;10, "Insuffisant")</f>
        <v>Excellent</v>
      </c>
    </row>
    <row r="878" spans="1:18">
      <c r="A878" t="s">
        <v>1208</v>
      </c>
      <c r="B878" t="s">
        <v>55</v>
      </c>
      <c r="C878" t="s">
        <v>25</v>
      </c>
      <c r="D878" t="s">
        <v>53</v>
      </c>
      <c r="E878" t="s">
        <v>22</v>
      </c>
      <c r="F878">
        <v>10.08</v>
      </c>
      <c r="G878">
        <v>14.71</v>
      </c>
      <c r="H878">
        <v>8.74</v>
      </c>
      <c r="I878">
        <v>7.94</v>
      </c>
      <c r="J878" s="4">
        <v>0.97289999999999999</v>
      </c>
      <c r="K878">
        <v>100000</v>
      </c>
      <c r="L878" s="2">
        <v>45777</v>
      </c>
      <c r="M878" t="str">
        <f t="shared" si="65"/>
        <v>Non admis</v>
      </c>
      <c r="N878" t="str">
        <f t="shared" si="66"/>
        <v>Non Eligible</v>
      </c>
      <c r="O878" t="str">
        <f t="shared" si="67"/>
        <v>A surveiller</v>
      </c>
      <c r="P878" t="str">
        <f t="shared" si="68"/>
        <v>Data</v>
      </c>
      <c r="Q878">
        <f t="shared" si="69"/>
        <v>10.3675</v>
      </c>
      <c r="R878" t="str" cm="1">
        <f t="array" ref="R878">_xlfn.IFS(Q878&gt;=16, "Excellent",Q878&gt;=14, "Très bien", Q878&gt;=12, "Bien", Q878&gt;=10, "Passable", Q878&lt;10, "Insuffisant")</f>
        <v>Passable</v>
      </c>
    </row>
    <row r="879" spans="1:18">
      <c r="A879" t="s">
        <v>1209</v>
      </c>
      <c r="B879" t="s">
        <v>442</v>
      </c>
      <c r="C879" t="s">
        <v>25</v>
      </c>
      <c r="D879" t="s">
        <v>26</v>
      </c>
      <c r="E879" t="s">
        <v>35</v>
      </c>
      <c r="F879">
        <v>11.69</v>
      </c>
      <c r="G879">
        <v>10.68</v>
      </c>
      <c r="H879">
        <v>10.88</v>
      </c>
      <c r="I879">
        <v>7.75</v>
      </c>
      <c r="J879" s="4">
        <v>0.82310000000000005</v>
      </c>
      <c r="K879">
        <v>90000</v>
      </c>
      <c r="L879" s="2">
        <v>45996</v>
      </c>
      <c r="M879" t="str">
        <f t="shared" si="65"/>
        <v>Admis</v>
      </c>
      <c r="N879" t="str">
        <f t="shared" si="66"/>
        <v>Non Eligible</v>
      </c>
      <c r="O879" t="str">
        <f t="shared" si="67"/>
        <v>RAS</v>
      </c>
      <c r="P879" t="str">
        <f t="shared" si="68"/>
        <v>Hors Data</v>
      </c>
      <c r="Q879">
        <f t="shared" si="69"/>
        <v>10.25</v>
      </c>
      <c r="R879" t="str" cm="1">
        <f t="array" ref="R879">_xlfn.IFS(Q879&gt;=16, "Excellent",Q879&gt;=14, "Très bien", Q879&gt;=12, "Bien", Q879&gt;=10, "Passable", Q879&lt;10, "Insuffisant")</f>
        <v>Passable</v>
      </c>
    </row>
    <row r="880" spans="1:18">
      <c r="A880" t="s">
        <v>1210</v>
      </c>
      <c r="B880" t="s">
        <v>24</v>
      </c>
      <c r="C880" t="s">
        <v>25</v>
      </c>
      <c r="D880" t="s">
        <v>26</v>
      </c>
      <c r="E880" t="s">
        <v>35</v>
      </c>
      <c r="F880">
        <v>6.81</v>
      </c>
      <c r="G880">
        <v>6.49</v>
      </c>
      <c r="H880">
        <v>4.55</v>
      </c>
      <c r="I880">
        <v>10.87</v>
      </c>
      <c r="J880" s="4">
        <v>0.77610000000000001</v>
      </c>
      <c r="K880">
        <v>90000</v>
      </c>
      <c r="L880" s="2">
        <v>45971</v>
      </c>
      <c r="M880" t="str">
        <f t="shared" si="65"/>
        <v>Non admis</v>
      </c>
      <c r="N880" t="str">
        <f t="shared" si="66"/>
        <v>Non Eligible</v>
      </c>
      <c r="O880" t="str">
        <f t="shared" si="67"/>
        <v>A surveiller</v>
      </c>
      <c r="P880" t="str">
        <f t="shared" si="68"/>
        <v>Hors Data</v>
      </c>
      <c r="Q880">
        <f t="shared" si="69"/>
        <v>7.18</v>
      </c>
      <c r="R880" t="str" cm="1">
        <f t="array" ref="R880">_xlfn.IFS(Q880&gt;=16, "Excellent",Q880&gt;=14, "Très bien", Q880&gt;=12, "Bien", Q880&gt;=10, "Passable", Q880&lt;10, "Insuffisant")</f>
        <v>Insuffisant</v>
      </c>
    </row>
    <row r="881" spans="1:18">
      <c r="A881" t="s">
        <v>1211</v>
      </c>
      <c r="B881" t="s">
        <v>127</v>
      </c>
      <c r="C881" t="s">
        <v>25</v>
      </c>
      <c r="D881" t="s">
        <v>34</v>
      </c>
      <c r="E881" t="s">
        <v>27</v>
      </c>
      <c r="F881">
        <v>12.65</v>
      </c>
      <c r="G881">
        <v>14.89</v>
      </c>
      <c r="H881">
        <v>17.14</v>
      </c>
      <c r="I881">
        <v>11.58</v>
      </c>
      <c r="J881" s="4">
        <v>0.94079999999999997</v>
      </c>
      <c r="K881">
        <v>85000</v>
      </c>
      <c r="L881" s="2">
        <v>46040</v>
      </c>
      <c r="M881" t="str">
        <f t="shared" si="65"/>
        <v>Admis</v>
      </c>
      <c r="N881" t="str">
        <f t="shared" si="66"/>
        <v>Eligible</v>
      </c>
      <c r="O881" t="str">
        <f t="shared" si="67"/>
        <v>RAS</v>
      </c>
      <c r="P881" t="str">
        <f t="shared" si="68"/>
        <v>Hors Data</v>
      </c>
      <c r="Q881">
        <f t="shared" si="69"/>
        <v>14.065</v>
      </c>
      <c r="R881" t="str" cm="1">
        <f t="array" ref="R881">_xlfn.IFS(Q881&gt;=16, "Excellent",Q881&gt;=14, "Très bien", Q881&gt;=12, "Bien", Q881&gt;=10, "Passable", Q881&lt;10, "Insuffisant")</f>
        <v>Très bien</v>
      </c>
    </row>
    <row r="882" spans="1:18">
      <c r="A882" t="s">
        <v>1212</v>
      </c>
      <c r="B882" t="s">
        <v>607</v>
      </c>
      <c r="C882" t="s">
        <v>20</v>
      </c>
      <c r="D882" t="s">
        <v>34</v>
      </c>
      <c r="E882" t="s">
        <v>48</v>
      </c>
      <c r="F882">
        <v>10.42</v>
      </c>
      <c r="G882">
        <v>9.73</v>
      </c>
      <c r="H882">
        <v>9.52</v>
      </c>
      <c r="I882">
        <v>11.51</v>
      </c>
      <c r="J882" s="4">
        <v>0.65229999999999999</v>
      </c>
      <c r="K882">
        <v>90000</v>
      </c>
      <c r="L882" s="2">
        <v>45668</v>
      </c>
      <c r="M882" t="str">
        <f t="shared" si="65"/>
        <v>Non admis</v>
      </c>
      <c r="N882" t="str">
        <f t="shared" si="66"/>
        <v>Non Eligible</v>
      </c>
      <c r="O882" t="str">
        <f t="shared" si="67"/>
        <v>A surveiller</v>
      </c>
      <c r="P882" t="str">
        <f t="shared" si="68"/>
        <v>Hors Data</v>
      </c>
      <c r="Q882">
        <f t="shared" si="69"/>
        <v>10.295</v>
      </c>
      <c r="R882" t="str" cm="1">
        <f t="array" ref="R882">_xlfn.IFS(Q882&gt;=16, "Excellent",Q882&gt;=14, "Très bien", Q882&gt;=12, "Bien", Q882&gt;=10, "Passable", Q882&lt;10, "Insuffisant")</f>
        <v>Passable</v>
      </c>
    </row>
    <row r="883" spans="1:18">
      <c r="A883" t="s">
        <v>1213</v>
      </c>
      <c r="B883" t="s">
        <v>85</v>
      </c>
      <c r="C883" t="s">
        <v>25</v>
      </c>
      <c r="D883" t="s">
        <v>53</v>
      </c>
      <c r="E883" t="s">
        <v>27</v>
      </c>
      <c r="F883">
        <v>13.62</v>
      </c>
      <c r="G883">
        <v>9.76</v>
      </c>
      <c r="H883">
        <v>14.93</v>
      </c>
      <c r="I883">
        <v>14.46</v>
      </c>
      <c r="J883" s="4">
        <v>0.55000000000000004</v>
      </c>
      <c r="K883">
        <v>75000</v>
      </c>
      <c r="L883" s="2">
        <v>45985</v>
      </c>
      <c r="M883" t="str">
        <f t="shared" si="65"/>
        <v>Admis</v>
      </c>
      <c r="N883" t="str">
        <f t="shared" si="66"/>
        <v>Non Eligible</v>
      </c>
      <c r="O883" t="str">
        <f t="shared" si="67"/>
        <v>RAS</v>
      </c>
      <c r="P883" t="str">
        <f t="shared" si="68"/>
        <v>Hors Data</v>
      </c>
      <c r="Q883">
        <f t="shared" si="69"/>
        <v>13.192500000000001</v>
      </c>
      <c r="R883" t="str" cm="1">
        <f t="array" ref="R883">_xlfn.IFS(Q883&gt;=16, "Excellent",Q883&gt;=14, "Très bien", Q883&gt;=12, "Bien", Q883&gt;=10, "Passable", Q883&lt;10, "Insuffisant")</f>
        <v>Bien</v>
      </c>
    </row>
    <row r="884" spans="1:18">
      <c r="A884" t="s">
        <v>1214</v>
      </c>
      <c r="B884" t="s">
        <v>833</v>
      </c>
      <c r="C884" t="s">
        <v>20</v>
      </c>
      <c r="D884" t="s">
        <v>53</v>
      </c>
      <c r="E884" t="s">
        <v>27</v>
      </c>
      <c r="F884">
        <v>15.32</v>
      </c>
      <c r="G884">
        <v>17.29</v>
      </c>
      <c r="H884">
        <v>15.28</v>
      </c>
      <c r="I884">
        <v>14.93</v>
      </c>
      <c r="J884" s="4">
        <v>0.61939999999999995</v>
      </c>
      <c r="K884">
        <v>90000</v>
      </c>
      <c r="L884" s="2">
        <v>45735</v>
      </c>
      <c r="M884" t="str">
        <f t="shared" si="65"/>
        <v>Admis</v>
      </c>
      <c r="N884" t="str">
        <f t="shared" si="66"/>
        <v>Non Eligible</v>
      </c>
      <c r="O884" t="str">
        <f t="shared" si="67"/>
        <v>RAS</v>
      </c>
      <c r="P884" t="str">
        <f t="shared" si="68"/>
        <v>Hors Data</v>
      </c>
      <c r="Q884">
        <f t="shared" si="69"/>
        <v>15.705</v>
      </c>
      <c r="R884" t="str" cm="1">
        <f t="array" ref="R884">_xlfn.IFS(Q884&gt;=16, "Excellent",Q884&gt;=14, "Très bien", Q884&gt;=12, "Bien", Q884&gt;=10, "Passable", Q884&lt;10, "Insuffisant")</f>
        <v>Très bien</v>
      </c>
    </row>
    <row r="885" spans="1:18">
      <c r="A885" t="s">
        <v>1215</v>
      </c>
      <c r="B885" t="s">
        <v>372</v>
      </c>
      <c r="C885" t="s">
        <v>20</v>
      </c>
      <c r="D885" t="s">
        <v>53</v>
      </c>
      <c r="E885" t="s">
        <v>48</v>
      </c>
      <c r="F885">
        <v>13.85</v>
      </c>
      <c r="G885">
        <v>14.56</v>
      </c>
      <c r="H885">
        <v>13.25</v>
      </c>
      <c r="I885">
        <v>8.57</v>
      </c>
      <c r="J885" s="4">
        <v>0.72609999999999997</v>
      </c>
      <c r="K885">
        <v>75000</v>
      </c>
      <c r="L885" s="2">
        <v>46089</v>
      </c>
      <c r="M885" t="str">
        <f t="shared" si="65"/>
        <v>Admis</v>
      </c>
      <c r="N885" t="str">
        <f t="shared" si="66"/>
        <v>Non Eligible</v>
      </c>
      <c r="O885" t="str">
        <f t="shared" si="67"/>
        <v>RAS</v>
      </c>
      <c r="P885" t="str">
        <f t="shared" si="68"/>
        <v>Hors Data</v>
      </c>
      <c r="Q885">
        <f t="shared" si="69"/>
        <v>12.557499999999999</v>
      </c>
      <c r="R885" t="str" cm="1">
        <f t="array" ref="R885">_xlfn.IFS(Q885&gt;=16, "Excellent",Q885&gt;=14, "Très bien", Q885&gt;=12, "Bien", Q885&gt;=10, "Passable", Q885&lt;10, "Insuffisant")</f>
        <v>Bien</v>
      </c>
    </row>
    <row r="886" spans="1:18">
      <c r="A886" t="s">
        <v>1216</v>
      </c>
      <c r="B886" t="s">
        <v>1034</v>
      </c>
      <c r="C886" t="s">
        <v>25</v>
      </c>
      <c r="D886" t="s">
        <v>53</v>
      </c>
      <c r="E886" t="s">
        <v>22</v>
      </c>
      <c r="F886">
        <v>13.13</v>
      </c>
      <c r="G886">
        <v>13.86</v>
      </c>
      <c r="H886">
        <v>15.82</v>
      </c>
      <c r="I886">
        <v>11.05</v>
      </c>
      <c r="J886" s="4">
        <v>0.76170000000000004</v>
      </c>
      <c r="K886">
        <v>85000</v>
      </c>
      <c r="L886" s="2">
        <v>46094</v>
      </c>
      <c r="M886" t="str">
        <f t="shared" si="65"/>
        <v>Admis</v>
      </c>
      <c r="N886" t="str">
        <f t="shared" si="66"/>
        <v>Non Eligible</v>
      </c>
      <c r="O886" t="str">
        <f t="shared" si="67"/>
        <v>RAS</v>
      </c>
      <c r="P886" t="str">
        <f t="shared" si="68"/>
        <v>Data</v>
      </c>
      <c r="Q886">
        <f t="shared" si="69"/>
        <v>13.465</v>
      </c>
      <c r="R886" t="str" cm="1">
        <f t="array" ref="R886">_xlfn.IFS(Q886&gt;=16, "Excellent",Q886&gt;=14, "Très bien", Q886&gt;=12, "Bien", Q886&gt;=10, "Passable", Q886&lt;10, "Insuffisant")</f>
        <v>Bien</v>
      </c>
    </row>
    <row r="887" spans="1:18">
      <c r="A887" t="s">
        <v>1217</v>
      </c>
      <c r="B887" t="s">
        <v>720</v>
      </c>
      <c r="C887" t="s">
        <v>25</v>
      </c>
      <c r="D887" t="s">
        <v>41</v>
      </c>
      <c r="E887" t="s">
        <v>22</v>
      </c>
      <c r="F887">
        <v>9.74</v>
      </c>
      <c r="G887">
        <v>12.23</v>
      </c>
      <c r="H887">
        <v>11.87</v>
      </c>
      <c r="I887">
        <v>14.45</v>
      </c>
      <c r="J887" s="4">
        <v>0.66259999999999997</v>
      </c>
      <c r="K887">
        <v>80000</v>
      </c>
      <c r="L887" s="2">
        <v>45973</v>
      </c>
      <c r="M887" t="str">
        <f t="shared" si="65"/>
        <v>Admis</v>
      </c>
      <c r="N887" t="str">
        <f t="shared" si="66"/>
        <v>Non Eligible</v>
      </c>
      <c r="O887" t="str">
        <f t="shared" si="67"/>
        <v>A surveiller</v>
      </c>
      <c r="P887" t="str">
        <f t="shared" si="68"/>
        <v>Data</v>
      </c>
      <c r="Q887">
        <f t="shared" si="69"/>
        <v>12.072499999999998</v>
      </c>
      <c r="R887" t="str" cm="1">
        <f t="array" ref="R887">_xlfn.IFS(Q887&gt;=16, "Excellent",Q887&gt;=14, "Très bien", Q887&gt;=12, "Bien", Q887&gt;=10, "Passable", Q887&lt;10, "Insuffisant")</f>
        <v>Bien</v>
      </c>
    </row>
    <row r="888" spans="1:18">
      <c r="A888" t="s">
        <v>1218</v>
      </c>
      <c r="B888" t="s">
        <v>562</v>
      </c>
      <c r="C888" t="s">
        <v>20</v>
      </c>
      <c r="D888" t="s">
        <v>34</v>
      </c>
      <c r="E888" t="s">
        <v>22</v>
      </c>
      <c r="F888">
        <v>19.73</v>
      </c>
      <c r="G888">
        <v>13.67</v>
      </c>
      <c r="H888">
        <v>17.98</v>
      </c>
      <c r="I888">
        <v>12.51</v>
      </c>
      <c r="J888" s="4">
        <v>0.90469999999999995</v>
      </c>
      <c r="K888">
        <v>100000</v>
      </c>
      <c r="L888" s="2">
        <v>46198</v>
      </c>
      <c r="M888" t="str">
        <f t="shared" si="65"/>
        <v>Admis</v>
      </c>
      <c r="N888" t="str">
        <f t="shared" si="66"/>
        <v>Eligible</v>
      </c>
      <c r="O888" t="str">
        <f t="shared" si="67"/>
        <v>RAS</v>
      </c>
      <c r="P888" t="str">
        <f t="shared" si="68"/>
        <v>Data</v>
      </c>
      <c r="Q888">
        <f t="shared" si="69"/>
        <v>15.972499999999998</v>
      </c>
      <c r="R888" t="str" cm="1">
        <f t="array" ref="R888">_xlfn.IFS(Q888&gt;=16, "Excellent",Q888&gt;=14, "Très bien", Q888&gt;=12, "Bien", Q888&gt;=10, "Passable", Q888&lt;10, "Insuffisant")</f>
        <v>Très bien</v>
      </c>
    </row>
    <row r="889" spans="1:18">
      <c r="A889" t="s">
        <v>1219</v>
      </c>
      <c r="B889" t="s">
        <v>718</v>
      </c>
      <c r="C889" t="s">
        <v>20</v>
      </c>
      <c r="D889" t="s">
        <v>26</v>
      </c>
      <c r="E889" t="s">
        <v>48</v>
      </c>
      <c r="F889">
        <v>13.5</v>
      </c>
      <c r="G889">
        <v>14.9</v>
      </c>
      <c r="H889">
        <v>13.36</v>
      </c>
      <c r="I889">
        <v>15.59</v>
      </c>
      <c r="J889" s="4">
        <v>0.84689999999999999</v>
      </c>
      <c r="K889">
        <v>120000</v>
      </c>
      <c r="L889" s="2">
        <v>45912</v>
      </c>
      <c r="M889" t="str">
        <f t="shared" si="65"/>
        <v>Admis</v>
      </c>
      <c r="N889" t="str">
        <f t="shared" si="66"/>
        <v>Eligible</v>
      </c>
      <c r="O889" t="str">
        <f t="shared" si="67"/>
        <v>RAS</v>
      </c>
      <c r="P889" t="str">
        <f t="shared" si="68"/>
        <v>Hors Data</v>
      </c>
      <c r="Q889">
        <f t="shared" si="69"/>
        <v>14.337499999999999</v>
      </c>
      <c r="R889" t="str" cm="1">
        <f t="array" ref="R889">_xlfn.IFS(Q889&gt;=16, "Excellent",Q889&gt;=14, "Très bien", Q889&gt;=12, "Bien", Q889&gt;=10, "Passable", Q889&lt;10, "Insuffisant")</f>
        <v>Très bien</v>
      </c>
    </row>
    <row r="890" spans="1:18">
      <c r="A890" t="s">
        <v>1220</v>
      </c>
      <c r="B890" t="s">
        <v>325</v>
      </c>
      <c r="C890" t="s">
        <v>20</v>
      </c>
      <c r="D890" t="s">
        <v>38</v>
      </c>
      <c r="E890" t="s">
        <v>22</v>
      </c>
      <c r="F890">
        <v>10.31</v>
      </c>
      <c r="G890">
        <v>10.73</v>
      </c>
      <c r="H890">
        <v>13.47</v>
      </c>
      <c r="I890">
        <v>11.71</v>
      </c>
      <c r="J890" s="4">
        <v>0.82040000000000002</v>
      </c>
      <c r="K890">
        <v>90000</v>
      </c>
      <c r="L890" s="2">
        <v>45553</v>
      </c>
      <c r="M890" t="str">
        <f t="shared" si="65"/>
        <v>Admis</v>
      </c>
      <c r="N890" t="str">
        <f t="shared" si="66"/>
        <v>Non Eligible</v>
      </c>
      <c r="O890" t="str">
        <f t="shared" si="67"/>
        <v>RAS</v>
      </c>
      <c r="P890" t="str">
        <f t="shared" si="68"/>
        <v>Data</v>
      </c>
      <c r="Q890">
        <f t="shared" si="69"/>
        <v>11.555</v>
      </c>
      <c r="R890" t="str" cm="1">
        <f t="array" ref="R890">_xlfn.IFS(Q890&gt;=16, "Excellent",Q890&gt;=14, "Très bien", Q890&gt;=12, "Bien", Q890&gt;=10, "Passable", Q890&lt;10, "Insuffisant")</f>
        <v>Passable</v>
      </c>
    </row>
    <row r="891" spans="1:18">
      <c r="A891" t="s">
        <v>1221</v>
      </c>
      <c r="B891" t="s">
        <v>65</v>
      </c>
      <c r="C891" t="s">
        <v>20</v>
      </c>
      <c r="D891" t="s">
        <v>41</v>
      </c>
      <c r="E891" t="s">
        <v>27</v>
      </c>
      <c r="F891">
        <v>12.88</v>
      </c>
      <c r="G891">
        <v>11.2</v>
      </c>
      <c r="H891">
        <v>12.37</v>
      </c>
      <c r="I891">
        <v>13.76</v>
      </c>
      <c r="J891" s="4">
        <v>0.73619999999999997</v>
      </c>
      <c r="K891">
        <v>60000</v>
      </c>
      <c r="L891" s="2">
        <v>45960</v>
      </c>
      <c r="M891" t="str">
        <f t="shared" si="65"/>
        <v>Admis</v>
      </c>
      <c r="N891" t="str">
        <f t="shared" si="66"/>
        <v>Non Eligible</v>
      </c>
      <c r="O891" t="str">
        <f t="shared" si="67"/>
        <v>RAS</v>
      </c>
      <c r="P891" t="str">
        <f t="shared" si="68"/>
        <v>Hors Data</v>
      </c>
      <c r="Q891">
        <f t="shared" si="69"/>
        <v>12.552499999999998</v>
      </c>
      <c r="R891" t="str" cm="1">
        <f t="array" ref="R891">_xlfn.IFS(Q891&gt;=16, "Excellent",Q891&gt;=14, "Très bien", Q891&gt;=12, "Bien", Q891&gt;=10, "Passable", Q891&lt;10, "Insuffisant")</f>
        <v>Bien</v>
      </c>
    </row>
    <row r="892" spans="1:18">
      <c r="A892" t="s">
        <v>1222</v>
      </c>
      <c r="B892" t="s">
        <v>178</v>
      </c>
      <c r="C892" t="s">
        <v>20</v>
      </c>
      <c r="D892" t="s">
        <v>38</v>
      </c>
      <c r="E892" t="s">
        <v>22</v>
      </c>
      <c r="F892">
        <v>16.57</v>
      </c>
      <c r="G892">
        <v>20</v>
      </c>
      <c r="H892">
        <v>17.39</v>
      </c>
      <c r="I892">
        <v>17.36</v>
      </c>
      <c r="J892" s="4">
        <v>0.80800000000000005</v>
      </c>
      <c r="K892">
        <v>100000</v>
      </c>
      <c r="L892" s="2">
        <v>46080</v>
      </c>
      <c r="M892" t="str">
        <f t="shared" si="65"/>
        <v>Admis</v>
      </c>
      <c r="N892" t="str">
        <f t="shared" si="66"/>
        <v>Eligible</v>
      </c>
      <c r="O892" t="str">
        <f t="shared" si="67"/>
        <v>RAS</v>
      </c>
      <c r="P892" t="str">
        <f t="shared" si="68"/>
        <v>Data</v>
      </c>
      <c r="Q892">
        <f t="shared" si="69"/>
        <v>17.829999999999998</v>
      </c>
      <c r="R892" t="str" cm="1">
        <f t="array" ref="R892">_xlfn.IFS(Q892&gt;=16, "Excellent",Q892&gt;=14, "Très bien", Q892&gt;=12, "Bien", Q892&gt;=10, "Passable", Q892&lt;10, "Insuffisant")</f>
        <v>Excellent</v>
      </c>
    </row>
    <row r="893" spans="1:18">
      <c r="A893" t="s">
        <v>1223</v>
      </c>
      <c r="B893" t="s">
        <v>50</v>
      </c>
      <c r="C893" t="s">
        <v>25</v>
      </c>
      <c r="D893" t="s">
        <v>41</v>
      </c>
      <c r="E893" t="s">
        <v>27</v>
      </c>
      <c r="F893">
        <v>13.75</v>
      </c>
      <c r="G893">
        <v>16.03</v>
      </c>
      <c r="H893">
        <v>13.79</v>
      </c>
      <c r="I893">
        <v>12.45</v>
      </c>
      <c r="J893" s="4">
        <v>0.62170000000000003</v>
      </c>
      <c r="K893">
        <v>75000</v>
      </c>
      <c r="L893" s="2">
        <v>45606</v>
      </c>
      <c r="M893" t="str">
        <f t="shared" si="65"/>
        <v>Admis</v>
      </c>
      <c r="N893" t="str">
        <f t="shared" si="66"/>
        <v>Non Eligible</v>
      </c>
      <c r="O893" t="str">
        <f t="shared" si="67"/>
        <v>RAS</v>
      </c>
      <c r="P893" t="str">
        <f t="shared" si="68"/>
        <v>Hors Data</v>
      </c>
      <c r="Q893">
        <f t="shared" si="69"/>
        <v>14.004999999999999</v>
      </c>
      <c r="R893" t="str" cm="1">
        <f t="array" ref="R893">_xlfn.IFS(Q893&gt;=16, "Excellent",Q893&gt;=14, "Très bien", Q893&gt;=12, "Bien", Q893&gt;=10, "Passable", Q893&lt;10, "Insuffisant")</f>
        <v>Très bien</v>
      </c>
    </row>
    <row r="894" spans="1:18">
      <c r="A894" t="s">
        <v>1224</v>
      </c>
      <c r="B894" t="s">
        <v>260</v>
      </c>
      <c r="C894" t="s">
        <v>25</v>
      </c>
      <c r="D894" t="s">
        <v>53</v>
      </c>
      <c r="E894" t="s">
        <v>48</v>
      </c>
      <c r="F894">
        <v>9.5500000000000007</v>
      </c>
      <c r="G894">
        <v>11.25</v>
      </c>
      <c r="H894">
        <v>9.9</v>
      </c>
      <c r="I894">
        <v>7.34</v>
      </c>
      <c r="J894" s="4">
        <v>0.85919999999999996</v>
      </c>
      <c r="K894">
        <v>50000</v>
      </c>
      <c r="L894" s="2">
        <v>45609</v>
      </c>
      <c r="M894" t="str">
        <f t="shared" si="65"/>
        <v>Non admis</v>
      </c>
      <c r="N894" t="str">
        <f t="shared" si="66"/>
        <v>Non Eligible</v>
      </c>
      <c r="O894" t="str">
        <f t="shared" si="67"/>
        <v>A surveiller</v>
      </c>
      <c r="P894" t="str">
        <f t="shared" si="68"/>
        <v>Hors Data</v>
      </c>
      <c r="Q894">
        <f t="shared" si="69"/>
        <v>9.5100000000000016</v>
      </c>
      <c r="R894" t="str" cm="1">
        <f t="array" ref="R894">_xlfn.IFS(Q894&gt;=16, "Excellent",Q894&gt;=14, "Très bien", Q894&gt;=12, "Bien", Q894&gt;=10, "Passable", Q894&lt;10, "Insuffisant")</f>
        <v>Insuffisant</v>
      </c>
    </row>
    <row r="895" spans="1:18">
      <c r="A895" t="s">
        <v>1225</v>
      </c>
      <c r="B895" t="s">
        <v>52</v>
      </c>
      <c r="C895" t="s">
        <v>25</v>
      </c>
      <c r="D895" t="s">
        <v>53</v>
      </c>
      <c r="E895" t="s">
        <v>22</v>
      </c>
      <c r="F895">
        <v>15.25</v>
      </c>
      <c r="G895">
        <v>17.68</v>
      </c>
      <c r="H895">
        <v>13.17</v>
      </c>
      <c r="I895">
        <v>16.809999999999999</v>
      </c>
      <c r="J895" s="4">
        <v>0.87939999999999996</v>
      </c>
      <c r="K895">
        <v>70000</v>
      </c>
      <c r="L895" s="2">
        <v>45727</v>
      </c>
      <c r="M895" t="str">
        <f t="shared" si="65"/>
        <v>Admis</v>
      </c>
      <c r="N895" t="str">
        <f t="shared" si="66"/>
        <v>Eligible</v>
      </c>
      <c r="O895" t="str">
        <f t="shared" si="67"/>
        <v>RAS</v>
      </c>
      <c r="P895" t="str">
        <f t="shared" si="68"/>
        <v>Data</v>
      </c>
      <c r="Q895">
        <f t="shared" si="69"/>
        <v>15.727499999999999</v>
      </c>
      <c r="R895" t="str" cm="1">
        <f t="array" ref="R895">_xlfn.IFS(Q895&gt;=16, "Excellent",Q895&gt;=14, "Très bien", Q895&gt;=12, "Bien", Q895&gt;=10, "Passable", Q895&lt;10, "Insuffisant")</f>
        <v>Très bien</v>
      </c>
    </row>
    <row r="896" spans="1:18">
      <c r="A896" t="s">
        <v>1226</v>
      </c>
      <c r="B896" t="s">
        <v>585</v>
      </c>
      <c r="C896" t="s">
        <v>25</v>
      </c>
      <c r="D896" t="s">
        <v>53</v>
      </c>
      <c r="E896" t="s">
        <v>22</v>
      </c>
      <c r="F896">
        <v>10.85</v>
      </c>
      <c r="G896">
        <v>12.56</v>
      </c>
      <c r="H896">
        <v>11.21</v>
      </c>
      <c r="I896">
        <v>8.98</v>
      </c>
      <c r="J896" s="4">
        <v>0.89259999999999995</v>
      </c>
      <c r="K896">
        <v>130000</v>
      </c>
      <c r="L896" s="2">
        <v>46126</v>
      </c>
      <c r="M896" t="str">
        <f t="shared" si="65"/>
        <v>Admis</v>
      </c>
      <c r="N896" t="str">
        <f t="shared" si="66"/>
        <v>Non Eligible</v>
      </c>
      <c r="O896" t="str">
        <f t="shared" si="67"/>
        <v>RAS</v>
      </c>
      <c r="P896" t="str">
        <f t="shared" si="68"/>
        <v>Data</v>
      </c>
      <c r="Q896">
        <f t="shared" si="69"/>
        <v>10.900000000000002</v>
      </c>
      <c r="R896" t="str" cm="1">
        <f t="array" ref="R896">_xlfn.IFS(Q896&gt;=16, "Excellent",Q896&gt;=14, "Très bien", Q896&gt;=12, "Bien", Q896&gt;=10, "Passable", Q896&lt;10, "Insuffisant")</f>
        <v>Passable</v>
      </c>
    </row>
    <row r="897" spans="1:18">
      <c r="A897" t="s">
        <v>1227</v>
      </c>
      <c r="B897" t="s">
        <v>623</v>
      </c>
      <c r="C897" t="s">
        <v>25</v>
      </c>
      <c r="D897" t="s">
        <v>26</v>
      </c>
      <c r="E897" t="s">
        <v>35</v>
      </c>
      <c r="F897">
        <v>12.27</v>
      </c>
      <c r="G897">
        <v>16.95</v>
      </c>
      <c r="H897">
        <v>17.75</v>
      </c>
      <c r="I897">
        <v>11.3</v>
      </c>
      <c r="J897" s="4">
        <v>0.78939999999999999</v>
      </c>
      <c r="K897">
        <v>80000</v>
      </c>
      <c r="L897" s="2">
        <v>45905</v>
      </c>
      <c r="M897" t="str">
        <f t="shared" si="65"/>
        <v>Admis</v>
      </c>
      <c r="N897" t="str">
        <f t="shared" si="66"/>
        <v>Non Eligible</v>
      </c>
      <c r="O897" t="str">
        <f t="shared" si="67"/>
        <v>RAS</v>
      </c>
      <c r="P897" t="str">
        <f t="shared" si="68"/>
        <v>Hors Data</v>
      </c>
      <c r="Q897">
        <f t="shared" si="69"/>
        <v>14.567499999999999</v>
      </c>
      <c r="R897" t="str" cm="1">
        <f t="array" ref="R897">_xlfn.IFS(Q897&gt;=16, "Excellent",Q897&gt;=14, "Très bien", Q897&gt;=12, "Bien", Q897&gt;=10, "Passable", Q897&lt;10, "Insuffisant")</f>
        <v>Très bien</v>
      </c>
    </row>
    <row r="898" spans="1:18">
      <c r="A898" t="s">
        <v>1228</v>
      </c>
      <c r="B898" t="s">
        <v>129</v>
      </c>
      <c r="C898" t="s">
        <v>25</v>
      </c>
      <c r="D898" t="s">
        <v>38</v>
      </c>
      <c r="E898" t="s">
        <v>35</v>
      </c>
      <c r="F898">
        <v>20</v>
      </c>
      <c r="G898">
        <v>17.37</v>
      </c>
      <c r="H898">
        <v>15.38</v>
      </c>
      <c r="I898">
        <v>17.690000000000001</v>
      </c>
      <c r="J898" s="4">
        <v>0.94220000000000004</v>
      </c>
      <c r="K898">
        <v>70000</v>
      </c>
      <c r="L898" s="2">
        <v>46219</v>
      </c>
      <c r="M898" t="str">
        <f t="shared" si="65"/>
        <v>Admis</v>
      </c>
      <c r="N898" t="str">
        <f t="shared" si="66"/>
        <v>Eligible</v>
      </c>
      <c r="O898" t="str">
        <f t="shared" si="67"/>
        <v>RAS</v>
      </c>
      <c r="P898" t="str">
        <f t="shared" si="68"/>
        <v>Hors Data</v>
      </c>
      <c r="Q898">
        <f t="shared" si="69"/>
        <v>17.610000000000003</v>
      </c>
      <c r="R898" t="str" cm="1">
        <f t="array" ref="R898">_xlfn.IFS(Q898&gt;=16, "Excellent",Q898&gt;=14, "Très bien", Q898&gt;=12, "Bien", Q898&gt;=10, "Passable", Q898&lt;10, "Insuffisant")</f>
        <v>Excellent</v>
      </c>
    </row>
    <row r="899" spans="1:18">
      <c r="A899" t="s">
        <v>1229</v>
      </c>
      <c r="B899" t="s">
        <v>75</v>
      </c>
      <c r="C899" t="s">
        <v>20</v>
      </c>
      <c r="D899" t="s">
        <v>21</v>
      </c>
      <c r="E899" t="s">
        <v>35</v>
      </c>
      <c r="F899">
        <v>13.99</v>
      </c>
      <c r="G899">
        <v>14.12</v>
      </c>
      <c r="H899">
        <v>14.39</v>
      </c>
      <c r="I899">
        <v>11.93</v>
      </c>
      <c r="J899" s="4">
        <v>0.90300000000000002</v>
      </c>
      <c r="K899">
        <v>60000</v>
      </c>
      <c r="L899" s="2">
        <v>46147</v>
      </c>
      <c r="M899" t="str">
        <f t="shared" ref="M899:M962" si="70">IF(H899&gt;=10,"Admis","Non admis")</f>
        <v>Admis</v>
      </c>
      <c r="N899" t="str">
        <f t="shared" ref="N899:N962" si="71">IF(AND(F899&gt;=12,H899&gt;=12,J899&gt;80%), "Eligible", "Non Eligible")</f>
        <v>Eligible</v>
      </c>
      <c r="O899" t="str">
        <f t="shared" ref="O899:O962" si="72">IF(OR(F899&lt;10,H899&lt;10), "A surveiller", "RAS")</f>
        <v>RAS</v>
      </c>
      <c r="P899" t="str">
        <f t="shared" ref="P899:P962" si="73">IF(NOT(E899="Data"), "Hors Data", "Data")</f>
        <v>Hors Data</v>
      </c>
      <c r="Q899">
        <f t="shared" ref="Q899:Q962" si="74">AVERAGE(F899:I899)</f>
        <v>13.6075</v>
      </c>
      <c r="R899" t="str" cm="1">
        <f t="array" ref="R899">_xlfn.IFS(Q899&gt;=16, "Excellent",Q899&gt;=14, "Très bien", Q899&gt;=12, "Bien", Q899&gt;=10, "Passable", Q899&lt;10, "Insuffisant")</f>
        <v>Bien</v>
      </c>
    </row>
    <row r="900" spans="1:18">
      <c r="A900" t="s">
        <v>1230</v>
      </c>
      <c r="B900" t="s">
        <v>100</v>
      </c>
      <c r="C900" t="s">
        <v>20</v>
      </c>
      <c r="D900" t="s">
        <v>21</v>
      </c>
      <c r="E900" t="s">
        <v>48</v>
      </c>
      <c r="F900">
        <v>15.22</v>
      </c>
      <c r="G900">
        <v>15.3</v>
      </c>
      <c r="H900">
        <v>14.44</v>
      </c>
      <c r="I900">
        <v>14.87</v>
      </c>
      <c r="J900" s="4">
        <v>0.92100000000000004</v>
      </c>
      <c r="K900">
        <v>100000</v>
      </c>
      <c r="L900" s="2">
        <v>45924</v>
      </c>
      <c r="M900" t="str">
        <f t="shared" si="70"/>
        <v>Admis</v>
      </c>
      <c r="N900" t="str">
        <f t="shared" si="71"/>
        <v>Eligible</v>
      </c>
      <c r="O900" t="str">
        <f t="shared" si="72"/>
        <v>RAS</v>
      </c>
      <c r="P900" t="str">
        <f t="shared" si="73"/>
        <v>Hors Data</v>
      </c>
      <c r="Q900">
        <f t="shared" si="74"/>
        <v>14.9575</v>
      </c>
      <c r="R900" t="str" cm="1">
        <f t="array" ref="R900">_xlfn.IFS(Q900&gt;=16, "Excellent",Q900&gt;=14, "Très bien", Q900&gt;=12, "Bien", Q900&gt;=10, "Passable", Q900&lt;10, "Insuffisant")</f>
        <v>Très bien</v>
      </c>
    </row>
    <row r="901" spans="1:18">
      <c r="A901" t="s">
        <v>1231</v>
      </c>
      <c r="B901" t="s">
        <v>1232</v>
      </c>
      <c r="C901" t="s">
        <v>25</v>
      </c>
      <c r="D901" t="s">
        <v>26</v>
      </c>
      <c r="E901" t="s">
        <v>22</v>
      </c>
      <c r="F901">
        <v>9.8800000000000008</v>
      </c>
      <c r="G901">
        <v>14.07</v>
      </c>
      <c r="H901">
        <v>11.76</v>
      </c>
      <c r="I901">
        <v>15.88</v>
      </c>
      <c r="J901" s="4">
        <v>0.85929999999999995</v>
      </c>
      <c r="K901">
        <v>110000</v>
      </c>
      <c r="L901" s="2">
        <v>46011</v>
      </c>
      <c r="M901" t="str">
        <f t="shared" si="70"/>
        <v>Admis</v>
      </c>
      <c r="N901" t="str">
        <f t="shared" si="71"/>
        <v>Non Eligible</v>
      </c>
      <c r="O901" t="str">
        <f t="shared" si="72"/>
        <v>A surveiller</v>
      </c>
      <c r="P901" t="str">
        <f t="shared" si="73"/>
        <v>Data</v>
      </c>
      <c r="Q901">
        <f t="shared" si="74"/>
        <v>12.897500000000001</v>
      </c>
      <c r="R901" t="str" cm="1">
        <f t="array" ref="R901">_xlfn.IFS(Q901&gt;=16, "Excellent",Q901&gt;=14, "Très bien", Q901&gt;=12, "Bien", Q901&gt;=10, "Passable", Q901&lt;10, "Insuffisant")</f>
        <v>Bien</v>
      </c>
    </row>
    <row r="902" spans="1:18">
      <c r="A902" t="s">
        <v>1233</v>
      </c>
      <c r="B902" t="s">
        <v>939</v>
      </c>
      <c r="C902" t="s">
        <v>20</v>
      </c>
      <c r="D902" t="s">
        <v>21</v>
      </c>
      <c r="E902" t="s">
        <v>22</v>
      </c>
      <c r="F902">
        <v>14.36</v>
      </c>
      <c r="G902">
        <v>14.96</v>
      </c>
      <c r="H902">
        <v>15.32</v>
      </c>
      <c r="I902">
        <v>15.34</v>
      </c>
      <c r="J902" s="4">
        <v>0.7581</v>
      </c>
      <c r="K902">
        <v>75000</v>
      </c>
      <c r="L902" s="2">
        <v>45767</v>
      </c>
      <c r="M902" t="str">
        <f t="shared" si="70"/>
        <v>Admis</v>
      </c>
      <c r="N902" t="str">
        <f t="shared" si="71"/>
        <v>Non Eligible</v>
      </c>
      <c r="O902" t="str">
        <f t="shared" si="72"/>
        <v>RAS</v>
      </c>
      <c r="P902" t="str">
        <f t="shared" si="73"/>
        <v>Data</v>
      </c>
      <c r="Q902">
        <f t="shared" si="74"/>
        <v>14.995000000000001</v>
      </c>
      <c r="R902" t="str" cm="1">
        <f t="array" ref="R902">_xlfn.IFS(Q902&gt;=16, "Excellent",Q902&gt;=14, "Très bien", Q902&gt;=12, "Bien", Q902&gt;=10, "Passable", Q902&lt;10, "Insuffisant")</f>
        <v>Très bien</v>
      </c>
    </row>
    <row r="903" spans="1:18">
      <c r="A903" t="s">
        <v>1234</v>
      </c>
      <c r="B903" t="s">
        <v>320</v>
      </c>
      <c r="C903" t="s">
        <v>20</v>
      </c>
      <c r="D903" t="s">
        <v>53</v>
      </c>
      <c r="E903" t="s">
        <v>48</v>
      </c>
      <c r="F903">
        <v>10.98</v>
      </c>
      <c r="G903">
        <v>9.94</v>
      </c>
      <c r="H903">
        <v>10.45</v>
      </c>
      <c r="I903">
        <v>14.55</v>
      </c>
      <c r="J903" s="4">
        <v>0.92469999999999997</v>
      </c>
      <c r="K903">
        <v>60000</v>
      </c>
      <c r="L903" s="2">
        <v>45599</v>
      </c>
      <c r="M903" t="str">
        <f t="shared" si="70"/>
        <v>Admis</v>
      </c>
      <c r="N903" t="str">
        <f t="shared" si="71"/>
        <v>Non Eligible</v>
      </c>
      <c r="O903" t="str">
        <f t="shared" si="72"/>
        <v>RAS</v>
      </c>
      <c r="P903" t="str">
        <f t="shared" si="73"/>
        <v>Hors Data</v>
      </c>
      <c r="Q903">
        <f t="shared" si="74"/>
        <v>11.48</v>
      </c>
      <c r="R903" t="str" cm="1">
        <f t="array" ref="R903">_xlfn.IFS(Q903&gt;=16, "Excellent",Q903&gt;=14, "Très bien", Q903&gt;=12, "Bien", Q903&gt;=10, "Passable", Q903&lt;10, "Insuffisant")</f>
        <v>Passable</v>
      </c>
    </row>
    <row r="904" spans="1:18">
      <c r="A904" t="s">
        <v>1235</v>
      </c>
      <c r="B904" t="s">
        <v>543</v>
      </c>
      <c r="C904" t="s">
        <v>20</v>
      </c>
      <c r="D904" t="s">
        <v>21</v>
      </c>
      <c r="E904" t="s">
        <v>27</v>
      </c>
      <c r="F904">
        <v>17.39</v>
      </c>
      <c r="G904">
        <v>14.88</v>
      </c>
      <c r="H904">
        <v>19.52</v>
      </c>
      <c r="I904">
        <v>14.4</v>
      </c>
      <c r="J904" s="4">
        <v>0.70069999999999999</v>
      </c>
      <c r="K904">
        <v>75000</v>
      </c>
      <c r="L904" s="2">
        <v>45815</v>
      </c>
      <c r="M904" t="str">
        <f t="shared" si="70"/>
        <v>Admis</v>
      </c>
      <c r="N904" t="str">
        <f t="shared" si="71"/>
        <v>Non Eligible</v>
      </c>
      <c r="O904" t="str">
        <f t="shared" si="72"/>
        <v>RAS</v>
      </c>
      <c r="P904" t="str">
        <f t="shared" si="73"/>
        <v>Hors Data</v>
      </c>
      <c r="Q904">
        <f t="shared" si="74"/>
        <v>16.547500000000003</v>
      </c>
      <c r="R904" t="str" cm="1">
        <f t="array" ref="R904">_xlfn.IFS(Q904&gt;=16, "Excellent",Q904&gt;=14, "Très bien", Q904&gt;=12, "Bien", Q904&gt;=10, "Passable", Q904&lt;10, "Insuffisant")</f>
        <v>Excellent</v>
      </c>
    </row>
    <row r="905" spans="1:18">
      <c r="A905" t="s">
        <v>1236</v>
      </c>
      <c r="B905" t="s">
        <v>793</v>
      </c>
      <c r="C905" t="s">
        <v>25</v>
      </c>
      <c r="D905" t="s">
        <v>38</v>
      </c>
      <c r="E905" t="s">
        <v>35</v>
      </c>
      <c r="F905">
        <v>14.65</v>
      </c>
      <c r="G905">
        <v>15.89</v>
      </c>
      <c r="H905">
        <v>18.47</v>
      </c>
      <c r="I905">
        <v>19.329999999999998</v>
      </c>
      <c r="J905" s="4">
        <v>0.77449999999999997</v>
      </c>
      <c r="K905">
        <v>100000</v>
      </c>
      <c r="L905" s="2">
        <v>45950</v>
      </c>
      <c r="M905" t="str">
        <f t="shared" si="70"/>
        <v>Admis</v>
      </c>
      <c r="N905" t="str">
        <f t="shared" si="71"/>
        <v>Non Eligible</v>
      </c>
      <c r="O905" t="str">
        <f t="shared" si="72"/>
        <v>RAS</v>
      </c>
      <c r="P905" t="str">
        <f t="shared" si="73"/>
        <v>Hors Data</v>
      </c>
      <c r="Q905">
        <f t="shared" si="74"/>
        <v>17.085000000000001</v>
      </c>
      <c r="R905" t="str" cm="1">
        <f t="array" ref="R905">_xlfn.IFS(Q905&gt;=16, "Excellent",Q905&gt;=14, "Très bien", Q905&gt;=12, "Bien", Q905&gt;=10, "Passable", Q905&lt;10, "Insuffisant")</f>
        <v>Excellent</v>
      </c>
    </row>
    <row r="906" spans="1:18">
      <c r="A906" t="s">
        <v>1237</v>
      </c>
      <c r="B906" t="s">
        <v>288</v>
      </c>
      <c r="C906" t="s">
        <v>20</v>
      </c>
      <c r="D906" t="s">
        <v>26</v>
      </c>
      <c r="E906" t="s">
        <v>27</v>
      </c>
      <c r="F906">
        <v>13.59</v>
      </c>
      <c r="G906">
        <v>8.17</v>
      </c>
      <c r="H906">
        <v>12.73</v>
      </c>
      <c r="I906">
        <v>9.49</v>
      </c>
      <c r="J906" s="4">
        <v>0.55000000000000004</v>
      </c>
      <c r="K906">
        <v>60000</v>
      </c>
      <c r="L906" s="2">
        <v>45663</v>
      </c>
      <c r="M906" t="str">
        <f t="shared" si="70"/>
        <v>Admis</v>
      </c>
      <c r="N906" t="str">
        <f t="shared" si="71"/>
        <v>Non Eligible</v>
      </c>
      <c r="O906" t="str">
        <f t="shared" si="72"/>
        <v>RAS</v>
      </c>
      <c r="P906" t="str">
        <f t="shared" si="73"/>
        <v>Hors Data</v>
      </c>
      <c r="Q906">
        <f t="shared" si="74"/>
        <v>10.994999999999999</v>
      </c>
      <c r="R906" t="str" cm="1">
        <f t="array" ref="R906">_xlfn.IFS(Q906&gt;=16, "Excellent",Q906&gt;=14, "Très bien", Q906&gt;=12, "Bien", Q906&gt;=10, "Passable", Q906&lt;10, "Insuffisant")</f>
        <v>Passable</v>
      </c>
    </row>
    <row r="907" spans="1:18">
      <c r="A907" t="s">
        <v>1238</v>
      </c>
      <c r="B907" t="s">
        <v>471</v>
      </c>
      <c r="C907" t="s">
        <v>25</v>
      </c>
      <c r="D907" t="s">
        <v>26</v>
      </c>
      <c r="E907" t="s">
        <v>35</v>
      </c>
      <c r="F907">
        <v>10.34</v>
      </c>
      <c r="G907">
        <v>13.29</v>
      </c>
      <c r="H907">
        <v>14.55</v>
      </c>
      <c r="I907">
        <v>11.66</v>
      </c>
      <c r="J907" s="4">
        <v>0.84130000000000005</v>
      </c>
      <c r="K907">
        <v>70000</v>
      </c>
      <c r="L907" s="2">
        <v>45691</v>
      </c>
      <c r="M907" t="str">
        <f t="shared" si="70"/>
        <v>Admis</v>
      </c>
      <c r="N907" t="str">
        <f t="shared" si="71"/>
        <v>Non Eligible</v>
      </c>
      <c r="O907" t="str">
        <f t="shared" si="72"/>
        <v>RAS</v>
      </c>
      <c r="P907" t="str">
        <f t="shared" si="73"/>
        <v>Hors Data</v>
      </c>
      <c r="Q907">
        <f t="shared" si="74"/>
        <v>12.46</v>
      </c>
      <c r="R907" t="str" cm="1">
        <f t="array" ref="R907">_xlfn.IFS(Q907&gt;=16, "Excellent",Q907&gt;=14, "Très bien", Q907&gt;=12, "Bien", Q907&gt;=10, "Passable", Q907&lt;10, "Insuffisant")</f>
        <v>Bien</v>
      </c>
    </row>
    <row r="908" spans="1:18">
      <c r="A908" t="s">
        <v>1239</v>
      </c>
      <c r="B908" t="s">
        <v>121</v>
      </c>
      <c r="C908" t="s">
        <v>20</v>
      </c>
      <c r="D908" t="s">
        <v>53</v>
      </c>
      <c r="E908" t="s">
        <v>35</v>
      </c>
      <c r="F908">
        <v>9.16</v>
      </c>
      <c r="G908">
        <v>12.68</v>
      </c>
      <c r="H908">
        <v>6</v>
      </c>
      <c r="I908">
        <v>11.54</v>
      </c>
      <c r="J908" s="4">
        <v>0.92610000000000003</v>
      </c>
      <c r="K908">
        <v>50000</v>
      </c>
      <c r="L908" s="2">
        <v>45546</v>
      </c>
      <c r="M908" t="str">
        <f t="shared" si="70"/>
        <v>Non admis</v>
      </c>
      <c r="N908" t="str">
        <f t="shared" si="71"/>
        <v>Non Eligible</v>
      </c>
      <c r="O908" t="str">
        <f t="shared" si="72"/>
        <v>A surveiller</v>
      </c>
      <c r="P908" t="str">
        <f t="shared" si="73"/>
        <v>Hors Data</v>
      </c>
      <c r="Q908">
        <f t="shared" si="74"/>
        <v>9.8449999999999989</v>
      </c>
      <c r="R908" t="str" cm="1">
        <f t="array" ref="R908">_xlfn.IFS(Q908&gt;=16, "Excellent",Q908&gt;=14, "Très bien", Q908&gt;=12, "Bien", Q908&gt;=10, "Passable", Q908&lt;10, "Insuffisant")</f>
        <v>Insuffisant</v>
      </c>
    </row>
    <row r="909" spans="1:18">
      <c r="A909" t="s">
        <v>1240</v>
      </c>
      <c r="B909" t="s">
        <v>178</v>
      </c>
      <c r="C909" t="s">
        <v>20</v>
      </c>
      <c r="D909" t="s">
        <v>26</v>
      </c>
      <c r="E909" t="s">
        <v>22</v>
      </c>
      <c r="F909">
        <v>9.98</v>
      </c>
      <c r="G909">
        <v>16.48</v>
      </c>
      <c r="H909">
        <v>5.09</v>
      </c>
      <c r="I909">
        <v>10</v>
      </c>
      <c r="J909" s="4">
        <v>0.91759999999999997</v>
      </c>
      <c r="K909">
        <v>85000</v>
      </c>
      <c r="L909" s="2">
        <v>46049</v>
      </c>
      <c r="M909" t="str">
        <f t="shared" si="70"/>
        <v>Non admis</v>
      </c>
      <c r="N909" t="str">
        <f t="shared" si="71"/>
        <v>Non Eligible</v>
      </c>
      <c r="O909" t="str">
        <f t="shared" si="72"/>
        <v>A surveiller</v>
      </c>
      <c r="P909" t="str">
        <f t="shared" si="73"/>
        <v>Data</v>
      </c>
      <c r="Q909">
        <f t="shared" si="74"/>
        <v>10.387499999999999</v>
      </c>
      <c r="R909" t="str" cm="1">
        <f t="array" ref="R909">_xlfn.IFS(Q909&gt;=16, "Excellent",Q909&gt;=14, "Très bien", Q909&gt;=12, "Bien", Q909&gt;=10, "Passable", Q909&lt;10, "Insuffisant")</f>
        <v>Passable</v>
      </c>
    </row>
    <row r="910" spans="1:18">
      <c r="A910" t="s">
        <v>1241</v>
      </c>
      <c r="B910" t="s">
        <v>73</v>
      </c>
      <c r="C910" t="s">
        <v>20</v>
      </c>
      <c r="D910" t="s">
        <v>53</v>
      </c>
      <c r="E910" t="s">
        <v>35</v>
      </c>
      <c r="F910">
        <v>11.2</v>
      </c>
      <c r="G910">
        <v>7.92</v>
      </c>
      <c r="H910">
        <v>7.7</v>
      </c>
      <c r="I910">
        <v>10.82</v>
      </c>
      <c r="J910" s="4">
        <v>0.64249999999999996</v>
      </c>
      <c r="K910">
        <v>60000</v>
      </c>
      <c r="L910" s="2">
        <v>46165</v>
      </c>
      <c r="M910" t="str">
        <f t="shared" si="70"/>
        <v>Non admis</v>
      </c>
      <c r="N910" t="str">
        <f t="shared" si="71"/>
        <v>Non Eligible</v>
      </c>
      <c r="O910" t="str">
        <f t="shared" si="72"/>
        <v>A surveiller</v>
      </c>
      <c r="P910" t="str">
        <f t="shared" si="73"/>
        <v>Hors Data</v>
      </c>
      <c r="Q910">
        <f t="shared" si="74"/>
        <v>9.41</v>
      </c>
      <c r="R910" t="str" cm="1">
        <f t="array" ref="R910">_xlfn.IFS(Q910&gt;=16, "Excellent",Q910&gt;=14, "Très bien", Q910&gt;=12, "Bien", Q910&gt;=10, "Passable", Q910&lt;10, "Insuffisant")</f>
        <v>Insuffisant</v>
      </c>
    </row>
    <row r="911" spans="1:18">
      <c r="A911" t="s">
        <v>1242</v>
      </c>
      <c r="B911" t="s">
        <v>649</v>
      </c>
      <c r="C911" t="s">
        <v>20</v>
      </c>
      <c r="D911" t="s">
        <v>34</v>
      </c>
      <c r="E911" t="s">
        <v>35</v>
      </c>
      <c r="F911">
        <v>11.39</v>
      </c>
      <c r="G911">
        <v>14.76</v>
      </c>
      <c r="H911">
        <v>12.71</v>
      </c>
      <c r="I911">
        <v>14.49</v>
      </c>
      <c r="J911" s="4">
        <v>0.88639999999999997</v>
      </c>
      <c r="K911">
        <v>70000</v>
      </c>
      <c r="L911" s="2">
        <v>46115</v>
      </c>
      <c r="M911" t="str">
        <f t="shared" si="70"/>
        <v>Admis</v>
      </c>
      <c r="N911" t="str">
        <f t="shared" si="71"/>
        <v>Non Eligible</v>
      </c>
      <c r="O911" t="str">
        <f t="shared" si="72"/>
        <v>RAS</v>
      </c>
      <c r="P911" t="str">
        <f t="shared" si="73"/>
        <v>Hors Data</v>
      </c>
      <c r="Q911">
        <f t="shared" si="74"/>
        <v>13.3375</v>
      </c>
      <c r="R911" t="str" cm="1">
        <f t="array" ref="R911">_xlfn.IFS(Q911&gt;=16, "Excellent",Q911&gt;=14, "Très bien", Q911&gt;=12, "Bien", Q911&gt;=10, "Passable", Q911&lt;10, "Insuffisant")</f>
        <v>Bien</v>
      </c>
    </row>
    <row r="912" spans="1:18">
      <c r="A912" t="s">
        <v>1243</v>
      </c>
      <c r="B912" t="s">
        <v>611</v>
      </c>
      <c r="C912" t="s">
        <v>25</v>
      </c>
      <c r="D912" t="s">
        <v>21</v>
      </c>
      <c r="E912" t="s">
        <v>48</v>
      </c>
      <c r="F912">
        <v>15.67</v>
      </c>
      <c r="G912">
        <v>16.52</v>
      </c>
      <c r="H912">
        <v>18.239999999999998</v>
      </c>
      <c r="I912">
        <v>20</v>
      </c>
      <c r="J912" s="4">
        <v>0.95789999999999997</v>
      </c>
      <c r="K912">
        <v>60000</v>
      </c>
      <c r="L912" s="2">
        <v>45801</v>
      </c>
      <c r="M912" t="str">
        <f t="shared" si="70"/>
        <v>Admis</v>
      </c>
      <c r="N912" t="str">
        <f t="shared" si="71"/>
        <v>Eligible</v>
      </c>
      <c r="O912" t="str">
        <f t="shared" si="72"/>
        <v>RAS</v>
      </c>
      <c r="P912" t="str">
        <f t="shared" si="73"/>
        <v>Hors Data</v>
      </c>
      <c r="Q912">
        <f t="shared" si="74"/>
        <v>17.607499999999998</v>
      </c>
      <c r="R912" t="str" cm="1">
        <f t="array" ref="R912">_xlfn.IFS(Q912&gt;=16, "Excellent",Q912&gt;=14, "Très bien", Q912&gt;=12, "Bien", Q912&gt;=10, "Passable", Q912&lt;10, "Insuffisant")</f>
        <v>Excellent</v>
      </c>
    </row>
    <row r="913" spans="1:18">
      <c r="A913" t="s">
        <v>1244</v>
      </c>
      <c r="B913" t="s">
        <v>1245</v>
      </c>
      <c r="C913" t="s">
        <v>20</v>
      </c>
      <c r="D913" t="s">
        <v>38</v>
      </c>
      <c r="E913" t="s">
        <v>22</v>
      </c>
      <c r="F913">
        <v>13.21</v>
      </c>
      <c r="G913">
        <v>18.350000000000001</v>
      </c>
      <c r="H913">
        <v>18.14</v>
      </c>
      <c r="I913">
        <v>20</v>
      </c>
      <c r="J913" s="4">
        <v>0.85370000000000001</v>
      </c>
      <c r="K913">
        <v>110000</v>
      </c>
      <c r="L913" s="2">
        <v>45951</v>
      </c>
      <c r="M913" t="str">
        <f t="shared" si="70"/>
        <v>Admis</v>
      </c>
      <c r="N913" t="str">
        <f t="shared" si="71"/>
        <v>Eligible</v>
      </c>
      <c r="O913" t="str">
        <f t="shared" si="72"/>
        <v>RAS</v>
      </c>
      <c r="P913" t="str">
        <f t="shared" si="73"/>
        <v>Data</v>
      </c>
      <c r="Q913">
        <f t="shared" si="74"/>
        <v>17.425000000000001</v>
      </c>
      <c r="R913" t="str" cm="1">
        <f t="array" ref="R913">_xlfn.IFS(Q913&gt;=16, "Excellent",Q913&gt;=14, "Très bien", Q913&gt;=12, "Bien", Q913&gt;=10, "Passable", Q913&lt;10, "Insuffisant")</f>
        <v>Excellent</v>
      </c>
    </row>
    <row r="914" spans="1:18">
      <c r="A914" t="s">
        <v>1246</v>
      </c>
      <c r="B914" t="s">
        <v>492</v>
      </c>
      <c r="C914" t="s">
        <v>20</v>
      </c>
      <c r="D914" t="s">
        <v>21</v>
      </c>
      <c r="E914" t="s">
        <v>22</v>
      </c>
      <c r="F914">
        <v>6.55</v>
      </c>
      <c r="G914">
        <v>9.7899999999999991</v>
      </c>
      <c r="H914">
        <v>11.17</v>
      </c>
      <c r="I914">
        <v>9.4700000000000006</v>
      </c>
      <c r="J914" s="4">
        <v>0.82720000000000005</v>
      </c>
      <c r="K914">
        <v>85000</v>
      </c>
      <c r="L914" s="2">
        <v>46208</v>
      </c>
      <c r="M914" t="str">
        <f t="shared" si="70"/>
        <v>Admis</v>
      </c>
      <c r="N914" t="str">
        <f t="shared" si="71"/>
        <v>Non Eligible</v>
      </c>
      <c r="O914" t="str">
        <f t="shared" si="72"/>
        <v>A surveiller</v>
      </c>
      <c r="P914" t="str">
        <f t="shared" si="73"/>
        <v>Data</v>
      </c>
      <c r="Q914">
        <f t="shared" si="74"/>
        <v>9.2449999999999992</v>
      </c>
      <c r="R914" t="str" cm="1">
        <f t="array" ref="R914">_xlfn.IFS(Q914&gt;=16, "Excellent",Q914&gt;=14, "Très bien", Q914&gt;=12, "Bien", Q914&gt;=10, "Passable", Q914&lt;10, "Insuffisant")</f>
        <v>Insuffisant</v>
      </c>
    </row>
    <row r="915" spans="1:18">
      <c r="A915" t="s">
        <v>1247</v>
      </c>
      <c r="B915" t="s">
        <v>213</v>
      </c>
      <c r="C915" t="s">
        <v>25</v>
      </c>
      <c r="D915" t="s">
        <v>38</v>
      </c>
      <c r="E915" t="s">
        <v>35</v>
      </c>
      <c r="F915">
        <v>13.74</v>
      </c>
      <c r="G915">
        <v>14.14</v>
      </c>
      <c r="H915">
        <v>13.23</v>
      </c>
      <c r="I915">
        <v>16.649999999999999</v>
      </c>
      <c r="J915" s="4">
        <v>0.90839999999999999</v>
      </c>
      <c r="K915">
        <v>130000</v>
      </c>
      <c r="L915" s="2">
        <v>45949</v>
      </c>
      <c r="M915" t="str">
        <f t="shared" si="70"/>
        <v>Admis</v>
      </c>
      <c r="N915" t="str">
        <f t="shared" si="71"/>
        <v>Eligible</v>
      </c>
      <c r="O915" t="str">
        <f t="shared" si="72"/>
        <v>RAS</v>
      </c>
      <c r="P915" t="str">
        <f t="shared" si="73"/>
        <v>Hors Data</v>
      </c>
      <c r="Q915">
        <f t="shared" si="74"/>
        <v>14.44</v>
      </c>
      <c r="R915" t="str" cm="1">
        <f t="array" ref="R915">_xlfn.IFS(Q915&gt;=16, "Excellent",Q915&gt;=14, "Très bien", Q915&gt;=12, "Bien", Q915&gt;=10, "Passable", Q915&lt;10, "Insuffisant")</f>
        <v>Très bien</v>
      </c>
    </row>
    <row r="916" spans="1:18">
      <c r="A916" t="s">
        <v>1248</v>
      </c>
      <c r="B916" t="s">
        <v>1232</v>
      </c>
      <c r="C916" t="s">
        <v>25</v>
      </c>
      <c r="D916" t="s">
        <v>26</v>
      </c>
      <c r="E916" t="s">
        <v>22</v>
      </c>
      <c r="F916">
        <v>13.93</v>
      </c>
      <c r="G916">
        <v>17.5</v>
      </c>
      <c r="H916">
        <v>18.559999999999999</v>
      </c>
      <c r="I916">
        <v>20</v>
      </c>
      <c r="J916" s="4">
        <v>0.81840000000000002</v>
      </c>
      <c r="K916">
        <v>80000</v>
      </c>
      <c r="L916" s="2">
        <v>45743</v>
      </c>
      <c r="M916" t="str">
        <f t="shared" si="70"/>
        <v>Admis</v>
      </c>
      <c r="N916" t="str">
        <f t="shared" si="71"/>
        <v>Eligible</v>
      </c>
      <c r="O916" t="str">
        <f t="shared" si="72"/>
        <v>RAS</v>
      </c>
      <c r="P916" t="str">
        <f t="shared" si="73"/>
        <v>Data</v>
      </c>
      <c r="Q916">
        <f t="shared" si="74"/>
        <v>17.497499999999999</v>
      </c>
      <c r="R916" t="str" cm="1">
        <f t="array" ref="R916">_xlfn.IFS(Q916&gt;=16, "Excellent",Q916&gt;=14, "Très bien", Q916&gt;=12, "Bien", Q916&gt;=10, "Passable", Q916&lt;10, "Insuffisant")</f>
        <v>Excellent</v>
      </c>
    </row>
    <row r="917" spans="1:18">
      <c r="A917" t="s">
        <v>1249</v>
      </c>
      <c r="B917" t="s">
        <v>47</v>
      </c>
      <c r="C917" t="s">
        <v>20</v>
      </c>
      <c r="D917" t="s">
        <v>41</v>
      </c>
      <c r="E917" t="s">
        <v>22</v>
      </c>
      <c r="F917">
        <v>10.61</v>
      </c>
      <c r="G917">
        <v>8.27</v>
      </c>
      <c r="H917">
        <v>12.45</v>
      </c>
      <c r="I917">
        <v>9.51</v>
      </c>
      <c r="J917" s="4">
        <v>0.65190000000000003</v>
      </c>
      <c r="K917">
        <v>70000</v>
      </c>
      <c r="L917" s="2">
        <v>45773</v>
      </c>
      <c r="M917" t="str">
        <f t="shared" si="70"/>
        <v>Admis</v>
      </c>
      <c r="N917" t="str">
        <f t="shared" si="71"/>
        <v>Non Eligible</v>
      </c>
      <c r="O917" t="str">
        <f t="shared" si="72"/>
        <v>RAS</v>
      </c>
      <c r="P917" t="str">
        <f t="shared" si="73"/>
        <v>Data</v>
      </c>
      <c r="Q917">
        <f t="shared" si="74"/>
        <v>10.209999999999999</v>
      </c>
      <c r="R917" t="str" cm="1">
        <f t="array" ref="R917">_xlfn.IFS(Q917&gt;=16, "Excellent",Q917&gt;=14, "Très bien", Q917&gt;=12, "Bien", Q917&gt;=10, "Passable", Q917&lt;10, "Insuffisant")</f>
        <v>Passable</v>
      </c>
    </row>
    <row r="918" spans="1:18">
      <c r="A918" t="s">
        <v>1250</v>
      </c>
      <c r="B918" t="s">
        <v>471</v>
      </c>
      <c r="C918" t="s">
        <v>25</v>
      </c>
      <c r="D918" t="s">
        <v>26</v>
      </c>
      <c r="E918" t="s">
        <v>48</v>
      </c>
      <c r="F918">
        <v>9.35</v>
      </c>
      <c r="G918">
        <v>16.22</v>
      </c>
      <c r="H918">
        <v>14.75</v>
      </c>
      <c r="I918">
        <v>10.8</v>
      </c>
      <c r="J918" s="4">
        <v>0.93179999999999996</v>
      </c>
      <c r="K918">
        <v>70000</v>
      </c>
      <c r="L918" s="2">
        <v>46044</v>
      </c>
      <c r="M918" t="str">
        <f t="shared" si="70"/>
        <v>Admis</v>
      </c>
      <c r="N918" t="str">
        <f t="shared" si="71"/>
        <v>Non Eligible</v>
      </c>
      <c r="O918" t="str">
        <f t="shared" si="72"/>
        <v>A surveiller</v>
      </c>
      <c r="P918" t="str">
        <f t="shared" si="73"/>
        <v>Hors Data</v>
      </c>
      <c r="Q918">
        <f t="shared" si="74"/>
        <v>12.780000000000001</v>
      </c>
      <c r="R918" t="str" cm="1">
        <f t="array" ref="R918">_xlfn.IFS(Q918&gt;=16, "Excellent",Q918&gt;=14, "Très bien", Q918&gt;=12, "Bien", Q918&gt;=10, "Passable", Q918&lt;10, "Insuffisant")</f>
        <v>Bien</v>
      </c>
    </row>
    <row r="919" spans="1:18">
      <c r="A919" t="s">
        <v>1251</v>
      </c>
      <c r="B919" t="s">
        <v>376</v>
      </c>
      <c r="C919" t="s">
        <v>25</v>
      </c>
      <c r="D919" t="s">
        <v>21</v>
      </c>
      <c r="E919" t="s">
        <v>27</v>
      </c>
      <c r="F919">
        <v>5.64</v>
      </c>
      <c r="G919">
        <v>6.58</v>
      </c>
      <c r="H919">
        <v>6.93</v>
      </c>
      <c r="I919">
        <v>10.54</v>
      </c>
      <c r="J919" s="4">
        <v>0.89249999999999996</v>
      </c>
      <c r="K919">
        <v>130000</v>
      </c>
      <c r="L919" s="2">
        <v>45848</v>
      </c>
      <c r="M919" t="str">
        <f t="shared" si="70"/>
        <v>Non admis</v>
      </c>
      <c r="N919" t="str">
        <f t="shared" si="71"/>
        <v>Non Eligible</v>
      </c>
      <c r="O919" t="str">
        <f t="shared" si="72"/>
        <v>A surveiller</v>
      </c>
      <c r="P919" t="str">
        <f t="shared" si="73"/>
        <v>Hors Data</v>
      </c>
      <c r="Q919">
        <f t="shared" si="74"/>
        <v>7.4224999999999994</v>
      </c>
      <c r="R919" t="str" cm="1">
        <f t="array" ref="R919">_xlfn.IFS(Q919&gt;=16, "Excellent",Q919&gt;=14, "Très bien", Q919&gt;=12, "Bien", Q919&gt;=10, "Passable", Q919&lt;10, "Insuffisant")</f>
        <v>Insuffisant</v>
      </c>
    </row>
    <row r="920" spans="1:18">
      <c r="A920" t="s">
        <v>1252</v>
      </c>
      <c r="B920" t="s">
        <v>449</v>
      </c>
      <c r="C920" t="s">
        <v>20</v>
      </c>
      <c r="D920" t="s">
        <v>34</v>
      </c>
      <c r="E920" t="s">
        <v>48</v>
      </c>
      <c r="F920">
        <v>16.89</v>
      </c>
      <c r="G920">
        <v>14.57</v>
      </c>
      <c r="H920">
        <v>17.489999999999998</v>
      </c>
      <c r="I920">
        <v>14.75</v>
      </c>
      <c r="J920" s="4">
        <v>0.91790000000000005</v>
      </c>
      <c r="K920">
        <v>90000</v>
      </c>
      <c r="L920" s="2">
        <v>46122</v>
      </c>
      <c r="M920" t="str">
        <f t="shared" si="70"/>
        <v>Admis</v>
      </c>
      <c r="N920" t="str">
        <f t="shared" si="71"/>
        <v>Eligible</v>
      </c>
      <c r="O920" t="str">
        <f t="shared" si="72"/>
        <v>RAS</v>
      </c>
      <c r="P920" t="str">
        <f t="shared" si="73"/>
        <v>Hors Data</v>
      </c>
      <c r="Q920">
        <f t="shared" si="74"/>
        <v>15.925000000000001</v>
      </c>
      <c r="R920" t="str" cm="1">
        <f t="array" ref="R920">_xlfn.IFS(Q920&gt;=16, "Excellent",Q920&gt;=14, "Très bien", Q920&gt;=12, "Bien", Q920&gt;=10, "Passable", Q920&lt;10, "Insuffisant")</f>
        <v>Très bien</v>
      </c>
    </row>
    <row r="921" spans="1:18">
      <c r="A921" t="s">
        <v>1253</v>
      </c>
      <c r="B921" t="s">
        <v>655</v>
      </c>
      <c r="C921" t="s">
        <v>25</v>
      </c>
      <c r="D921" t="s">
        <v>21</v>
      </c>
      <c r="E921" t="s">
        <v>22</v>
      </c>
      <c r="F921">
        <v>11.41</v>
      </c>
      <c r="G921">
        <v>7.78</v>
      </c>
      <c r="H921">
        <v>10.49</v>
      </c>
      <c r="I921">
        <v>9.92</v>
      </c>
      <c r="J921" s="4">
        <v>0.76900000000000002</v>
      </c>
      <c r="K921">
        <v>75000</v>
      </c>
      <c r="L921" s="2">
        <v>46140</v>
      </c>
      <c r="M921" t="str">
        <f t="shared" si="70"/>
        <v>Admis</v>
      </c>
      <c r="N921" t="str">
        <f t="shared" si="71"/>
        <v>Non Eligible</v>
      </c>
      <c r="O921" t="str">
        <f t="shared" si="72"/>
        <v>RAS</v>
      </c>
      <c r="P921" t="str">
        <f t="shared" si="73"/>
        <v>Data</v>
      </c>
      <c r="Q921">
        <f t="shared" si="74"/>
        <v>9.9</v>
      </c>
      <c r="R921" t="str" cm="1">
        <f t="array" ref="R921">_xlfn.IFS(Q921&gt;=16, "Excellent",Q921&gt;=14, "Très bien", Q921&gt;=12, "Bien", Q921&gt;=10, "Passable", Q921&lt;10, "Insuffisant")</f>
        <v>Insuffisant</v>
      </c>
    </row>
    <row r="922" spans="1:18">
      <c r="A922" t="s">
        <v>1254</v>
      </c>
      <c r="B922" t="s">
        <v>646</v>
      </c>
      <c r="C922" t="s">
        <v>25</v>
      </c>
      <c r="D922" t="s">
        <v>26</v>
      </c>
      <c r="E922" t="s">
        <v>27</v>
      </c>
      <c r="F922">
        <v>14.47</v>
      </c>
      <c r="G922">
        <v>13.18</v>
      </c>
      <c r="H922">
        <v>18.16</v>
      </c>
      <c r="I922">
        <v>13.98</v>
      </c>
      <c r="J922" s="4">
        <v>0.90559999999999996</v>
      </c>
      <c r="K922">
        <v>100000</v>
      </c>
      <c r="L922" s="2">
        <v>45561</v>
      </c>
      <c r="M922" t="str">
        <f t="shared" si="70"/>
        <v>Admis</v>
      </c>
      <c r="N922" t="str">
        <f t="shared" si="71"/>
        <v>Eligible</v>
      </c>
      <c r="O922" t="str">
        <f t="shared" si="72"/>
        <v>RAS</v>
      </c>
      <c r="P922" t="str">
        <f t="shared" si="73"/>
        <v>Hors Data</v>
      </c>
      <c r="Q922">
        <f t="shared" si="74"/>
        <v>14.947500000000002</v>
      </c>
      <c r="R922" t="str" cm="1">
        <f t="array" ref="R922">_xlfn.IFS(Q922&gt;=16, "Excellent",Q922&gt;=14, "Très bien", Q922&gt;=12, "Bien", Q922&gt;=10, "Passable", Q922&lt;10, "Insuffisant")</f>
        <v>Très bien</v>
      </c>
    </row>
    <row r="923" spans="1:18">
      <c r="A923" t="s">
        <v>1255</v>
      </c>
      <c r="B923" t="s">
        <v>129</v>
      </c>
      <c r="C923" t="s">
        <v>25</v>
      </c>
      <c r="D923" t="s">
        <v>34</v>
      </c>
      <c r="E923" t="s">
        <v>48</v>
      </c>
      <c r="F923">
        <v>6.92</v>
      </c>
      <c r="G923">
        <v>8.91</v>
      </c>
      <c r="H923">
        <v>7.59</v>
      </c>
      <c r="I923">
        <v>3.78</v>
      </c>
      <c r="J923" s="4">
        <v>0.89639999999999997</v>
      </c>
      <c r="K923">
        <v>90000</v>
      </c>
      <c r="L923" s="2">
        <v>46042</v>
      </c>
      <c r="M923" t="str">
        <f t="shared" si="70"/>
        <v>Non admis</v>
      </c>
      <c r="N923" t="str">
        <f t="shared" si="71"/>
        <v>Non Eligible</v>
      </c>
      <c r="O923" t="str">
        <f t="shared" si="72"/>
        <v>A surveiller</v>
      </c>
      <c r="P923" t="str">
        <f t="shared" si="73"/>
        <v>Hors Data</v>
      </c>
      <c r="Q923">
        <f t="shared" si="74"/>
        <v>6.8000000000000007</v>
      </c>
      <c r="R923" t="str" cm="1">
        <f t="array" ref="R923">_xlfn.IFS(Q923&gt;=16, "Excellent",Q923&gt;=14, "Très bien", Q923&gt;=12, "Bien", Q923&gt;=10, "Passable", Q923&lt;10, "Insuffisant")</f>
        <v>Insuffisant</v>
      </c>
    </row>
    <row r="924" spans="1:18">
      <c r="A924" t="s">
        <v>1256</v>
      </c>
      <c r="B924" t="s">
        <v>1245</v>
      </c>
      <c r="C924" t="s">
        <v>20</v>
      </c>
      <c r="D924" t="s">
        <v>21</v>
      </c>
      <c r="E924" t="s">
        <v>48</v>
      </c>
      <c r="F924">
        <v>11.64</v>
      </c>
      <c r="G924">
        <v>15.4</v>
      </c>
      <c r="H924">
        <v>16.850000000000001</v>
      </c>
      <c r="I924">
        <v>14.5</v>
      </c>
      <c r="J924" s="4">
        <v>0.89459999999999995</v>
      </c>
      <c r="K924">
        <v>60000</v>
      </c>
      <c r="L924" s="2">
        <v>45794</v>
      </c>
      <c r="M924" t="str">
        <f t="shared" si="70"/>
        <v>Admis</v>
      </c>
      <c r="N924" t="str">
        <f t="shared" si="71"/>
        <v>Non Eligible</v>
      </c>
      <c r="O924" t="str">
        <f t="shared" si="72"/>
        <v>RAS</v>
      </c>
      <c r="P924" t="str">
        <f t="shared" si="73"/>
        <v>Hors Data</v>
      </c>
      <c r="Q924">
        <f t="shared" si="74"/>
        <v>14.5975</v>
      </c>
      <c r="R924" t="str" cm="1">
        <f t="array" ref="R924">_xlfn.IFS(Q924&gt;=16, "Excellent",Q924&gt;=14, "Très bien", Q924&gt;=12, "Bien", Q924&gt;=10, "Passable", Q924&lt;10, "Insuffisant")</f>
        <v>Très bien</v>
      </c>
    </row>
    <row r="925" spans="1:18">
      <c r="A925" t="s">
        <v>1257</v>
      </c>
      <c r="B925" t="s">
        <v>1038</v>
      </c>
      <c r="C925" t="s">
        <v>20</v>
      </c>
      <c r="D925" t="s">
        <v>21</v>
      </c>
      <c r="E925" t="s">
        <v>22</v>
      </c>
      <c r="F925">
        <v>13.86</v>
      </c>
      <c r="G925">
        <v>17.82</v>
      </c>
      <c r="H925">
        <v>16.440000000000001</v>
      </c>
      <c r="I925">
        <v>14.61</v>
      </c>
      <c r="J925" s="4">
        <v>0.76690000000000003</v>
      </c>
      <c r="K925">
        <v>100000</v>
      </c>
      <c r="L925" s="2">
        <v>45899</v>
      </c>
      <c r="M925" t="str">
        <f t="shared" si="70"/>
        <v>Admis</v>
      </c>
      <c r="N925" t="str">
        <f t="shared" si="71"/>
        <v>Non Eligible</v>
      </c>
      <c r="O925" t="str">
        <f t="shared" si="72"/>
        <v>RAS</v>
      </c>
      <c r="P925" t="str">
        <f t="shared" si="73"/>
        <v>Data</v>
      </c>
      <c r="Q925">
        <f t="shared" si="74"/>
        <v>15.682500000000001</v>
      </c>
      <c r="R925" t="str" cm="1">
        <f t="array" ref="R925">_xlfn.IFS(Q925&gt;=16, "Excellent",Q925&gt;=14, "Très bien", Q925&gt;=12, "Bien", Q925&gt;=10, "Passable", Q925&lt;10, "Insuffisant")</f>
        <v>Très bien</v>
      </c>
    </row>
    <row r="926" spans="1:18">
      <c r="A926" t="s">
        <v>1258</v>
      </c>
      <c r="B926" t="s">
        <v>88</v>
      </c>
      <c r="C926" t="s">
        <v>20</v>
      </c>
      <c r="D926" t="s">
        <v>21</v>
      </c>
      <c r="E926" t="s">
        <v>48</v>
      </c>
      <c r="F926">
        <v>11.21</v>
      </c>
      <c r="G926">
        <v>14.87</v>
      </c>
      <c r="H926">
        <v>10.79</v>
      </c>
      <c r="I926">
        <v>13.23</v>
      </c>
      <c r="J926" s="4">
        <v>0.80840000000000001</v>
      </c>
      <c r="K926">
        <v>60000</v>
      </c>
      <c r="L926" s="2">
        <v>45721</v>
      </c>
      <c r="M926" t="str">
        <f t="shared" si="70"/>
        <v>Admis</v>
      </c>
      <c r="N926" t="str">
        <f t="shared" si="71"/>
        <v>Non Eligible</v>
      </c>
      <c r="O926" t="str">
        <f t="shared" si="72"/>
        <v>RAS</v>
      </c>
      <c r="P926" t="str">
        <f t="shared" si="73"/>
        <v>Hors Data</v>
      </c>
      <c r="Q926">
        <f t="shared" si="74"/>
        <v>12.524999999999999</v>
      </c>
      <c r="R926" t="str" cm="1">
        <f t="array" ref="R926">_xlfn.IFS(Q926&gt;=16, "Excellent",Q926&gt;=14, "Très bien", Q926&gt;=12, "Bien", Q926&gt;=10, "Passable", Q926&lt;10, "Insuffisant")</f>
        <v>Bien</v>
      </c>
    </row>
    <row r="927" spans="1:18">
      <c r="A927" t="s">
        <v>1259</v>
      </c>
      <c r="B927" t="s">
        <v>720</v>
      </c>
      <c r="C927" t="s">
        <v>25</v>
      </c>
      <c r="D927" t="s">
        <v>34</v>
      </c>
      <c r="E927" t="s">
        <v>22</v>
      </c>
      <c r="F927">
        <v>12.23</v>
      </c>
      <c r="G927">
        <v>12.33</v>
      </c>
      <c r="H927">
        <v>11.91</v>
      </c>
      <c r="I927">
        <v>12.41</v>
      </c>
      <c r="J927" s="4">
        <v>0.85250000000000004</v>
      </c>
      <c r="K927">
        <v>70000</v>
      </c>
      <c r="L927" s="2">
        <v>45793</v>
      </c>
      <c r="M927" t="str">
        <f t="shared" si="70"/>
        <v>Admis</v>
      </c>
      <c r="N927" t="str">
        <f t="shared" si="71"/>
        <v>Non Eligible</v>
      </c>
      <c r="O927" t="str">
        <f t="shared" si="72"/>
        <v>RAS</v>
      </c>
      <c r="P927" t="str">
        <f t="shared" si="73"/>
        <v>Data</v>
      </c>
      <c r="Q927">
        <f t="shared" si="74"/>
        <v>12.219999999999999</v>
      </c>
      <c r="R927" t="str" cm="1">
        <f t="array" ref="R927">_xlfn.IFS(Q927&gt;=16, "Excellent",Q927&gt;=14, "Très bien", Q927&gt;=12, "Bien", Q927&gt;=10, "Passable", Q927&lt;10, "Insuffisant")</f>
        <v>Bien</v>
      </c>
    </row>
    <row r="928" spans="1:18">
      <c r="A928" t="s">
        <v>1260</v>
      </c>
      <c r="B928" t="s">
        <v>146</v>
      </c>
      <c r="C928" t="s">
        <v>25</v>
      </c>
      <c r="D928" t="s">
        <v>26</v>
      </c>
      <c r="E928" t="s">
        <v>48</v>
      </c>
      <c r="F928">
        <v>9.4499999999999993</v>
      </c>
      <c r="G928">
        <v>9.98</v>
      </c>
      <c r="H928">
        <v>7</v>
      </c>
      <c r="I928">
        <v>8.6300000000000008</v>
      </c>
      <c r="J928" s="4">
        <v>0.95640000000000003</v>
      </c>
      <c r="K928">
        <v>100000</v>
      </c>
      <c r="L928" s="2">
        <v>45767</v>
      </c>
      <c r="M928" t="str">
        <f t="shared" si="70"/>
        <v>Non admis</v>
      </c>
      <c r="N928" t="str">
        <f t="shared" si="71"/>
        <v>Non Eligible</v>
      </c>
      <c r="O928" t="str">
        <f t="shared" si="72"/>
        <v>A surveiller</v>
      </c>
      <c r="P928" t="str">
        <f t="shared" si="73"/>
        <v>Hors Data</v>
      </c>
      <c r="Q928">
        <f t="shared" si="74"/>
        <v>8.7650000000000006</v>
      </c>
      <c r="R928" t="str" cm="1">
        <f t="array" ref="R928">_xlfn.IFS(Q928&gt;=16, "Excellent",Q928&gt;=14, "Très bien", Q928&gt;=12, "Bien", Q928&gt;=10, "Passable", Q928&lt;10, "Insuffisant")</f>
        <v>Insuffisant</v>
      </c>
    </row>
    <row r="929" spans="1:18">
      <c r="A929" t="s">
        <v>1261</v>
      </c>
      <c r="B929" t="s">
        <v>152</v>
      </c>
      <c r="C929" t="s">
        <v>20</v>
      </c>
      <c r="D929" t="s">
        <v>21</v>
      </c>
      <c r="E929" t="s">
        <v>22</v>
      </c>
      <c r="F929">
        <v>14.14</v>
      </c>
      <c r="G929">
        <v>16.34</v>
      </c>
      <c r="H929">
        <v>7.1</v>
      </c>
      <c r="I929">
        <v>13.52</v>
      </c>
      <c r="J929" s="4">
        <v>0.97670000000000001</v>
      </c>
      <c r="K929">
        <v>80000</v>
      </c>
      <c r="L929" s="2">
        <v>45571</v>
      </c>
      <c r="M929" t="str">
        <f t="shared" si="70"/>
        <v>Non admis</v>
      </c>
      <c r="N929" t="str">
        <f t="shared" si="71"/>
        <v>Non Eligible</v>
      </c>
      <c r="O929" t="str">
        <f t="shared" si="72"/>
        <v>A surveiller</v>
      </c>
      <c r="P929" t="str">
        <f t="shared" si="73"/>
        <v>Data</v>
      </c>
      <c r="Q929">
        <f t="shared" si="74"/>
        <v>12.774999999999999</v>
      </c>
      <c r="R929" t="str" cm="1">
        <f t="array" ref="R929">_xlfn.IFS(Q929&gt;=16, "Excellent",Q929&gt;=14, "Très bien", Q929&gt;=12, "Bien", Q929&gt;=10, "Passable", Q929&lt;10, "Insuffisant")</f>
        <v>Bien</v>
      </c>
    </row>
    <row r="930" spans="1:18">
      <c r="A930" t="s">
        <v>1262</v>
      </c>
      <c r="B930" t="s">
        <v>1184</v>
      </c>
      <c r="C930" t="s">
        <v>20</v>
      </c>
      <c r="D930" t="s">
        <v>26</v>
      </c>
      <c r="E930" t="s">
        <v>27</v>
      </c>
      <c r="F930">
        <v>10.25</v>
      </c>
      <c r="G930">
        <v>13.52</v>
      </c>
      <c r="H930">
        <v>5.33</v>
      </c>
      <c r="I930">
        <v>8.48</v>
      </c>
      <c r="J930" s="4">
        <v>0.79890000000000005</v>
      </c>
      <c r="K930">
        <v>70000</v>
      </c>
      <c r="L930" s="2">
        <v>46083</v>
      </c>
      <c r="M930" t="str">
        <f t="shared" si="70"/>
        <v>Non admis</v>
      </c>
      <c r="N930" t="str">
        <f t="shared" si="71"/>
        <v>Non Eligible</v>
      </c>
      <c r="O930" t="str">
        <f t="shared" si="72"/>
        <v>A surveiller</v>
      </c>
      <c r="P930" t="str">
        <f t="shared" si="73"/>
        <v>Hors Data</v>
      </c>
      <c r="Q930">
        <f t="shared" si="74"/>
        <v>9.3949999999999996</v>
      </c>
      <c r="R930" t="str" cm="1">
        <f t="array" ref="R930">_xlfn.IFS(Q930&gt;=16, "Excellent",Q930&gt;=14, "Très bien", Q930&gt;=12, "Bien", Q930&gt;=10, "Passable", Q930&lt;10, "Insuffisant")</f>
        <v>Insuffisant</v>
      </c>
    </row>
    <row r="931" spans="1:18">
      <c r="A931" t="s">
        <v>1263</v>
      </c>
      <c r="B931" t="s">
        <v>825</v>
      </c>
      <c r="C931" t="s">
        <v>25</v>
      </c>
      <c r="D931" t="s">
        <v>26</v>
      </c>
      <c r="E931" t="s">
        <v>22</v>
      </c>
      <c r="F931">
        <v>9.2100000000000009</v>
      </c>
      <c r="G931">
        <v>9.48</v>
      </c>
      <c r="H931">
        <v>12.16</v>
      </c>
      <c r="I931">
        <v>10.36</v>
      </c>
      <c r="J931" s="4">
        <v>0.98309999999999997</v>
      </c>
      <c r="K931">
        <v>50000</v>
      </c>
      <c r="L931" s="2">
        <v>45636</v>
      </c>
      <c r="M931" t="str">
        <f t="shared" si="70"/>
        <v>Admis</v>
      </c>
      <c r="N931" t="str">
        <f t="shared" si="71"/>
        <v>Non Eligible</v>
      </c>
      <c r="O931" t="str">
        <f t="shared" si="72"/>
        <v>A surveiller</v>
      </c>
      <c r="P931" t="str">
        <f t="shared" si="73"/>
        <v>Data</v>
      </c>
      <c r="Q931">
        <f t="shared" si="74"/>
        <v>10.3025</v>
      </c>
      <c r="R931" t="str" cm="1">
        <f t="array" ref="R931">_xlfn.IFS(Q931&gt;=16, "Excellent",Q931&gt;=14, "Très bien", Q931&gt;=12, "Bien", Q931&gt;=10, "Passable", Q931&lt;10, "Insuffisant")</f>
        <v>Passable</v>
      </c>
    </row>
    <row r="932" spans="1:18">
      <c r="A932" t="s">
        <v>1264</v>
      </c>
      <c r="B932" t="s">
        <v>344</v>
      </c>
      <c r="C932" t="s">
        <v>25</v>
      </c>
      <c r="D932" t="s">
        <v>21</v>
      </c>
      <c r="E932" t="s">
        <v>48</v>
      </c>
      <c r="F932">
        <v>14.06</v>
      </c>
      <c r="G932">
        <v>17.39</v>
      </c>
      <c r="H932">
        <v>17.68</v>
      </c>
      <c r="I932">
        <v>16.05</v>
      </c>
      <c r="J932" s="4">
        <v>0.60460000000000003</v>
      </c>
      <c r="K932">
        <v>90000</v>
      </c>
      <c r="L932" s="2">
        <v>45799</v>
      </c>
      <c r="M932" t="str">
        <f t="shared" si="70"/>
        <v>Admis</v>
      </c>
      <c r="N932" t="str">
        <f t="shared" si="71"/>
        <v>Non Eligible</v>
      </c>
      <c r="O932" t="str">
        <f t="shared" si="72"/>
        <v>RAS</v>
      </c>
      <c r="P932" t="str">
        <f t="shared" si="73"/>
        <v>Hors Data</v>
      </c>
      <c r="Q932">
        <f t="shared" si="74"/>
        <v>16.295000000000002</v>
      </c>
      <c r="R932" t="str" cm="1">
        <f t="array" ref="R932">_xlfn.IFS(Q932&gt;=16, "Excellent",Q932&gt;=14, "Très bien", Q932&gt;=12, "Bien", Q932&gt;=10, "Passable", Q932&lt;10, "Insuffisant")</f>
        <v>Excellent</v>
      </c>
    </row>
    <row r="933" spans="1:18">
      <c r="A933" t="s">
        <v>1265</v>
      </c>
      <c r="B933" t="s">
        <v>781</v>
      </c>
      <c r="C933" t="s">
        <v>25</v>
      </c>
      <c r="D933" t="s">
        <v>41</v>
      </c>
      <c r="E933" t="s">
        <v>22</v>
      </c>
      <c r="F933">
        <v>11.8</v>
      </c>
      <c r="G933">
        <v>15</v>
      </c>
      <c r="H933">
        <v>16.59</v>
      </c>
      <c r="I933">
        <v>14.88</v>
      </c>
      <c r="J933" s="4">
        <v>0.55000000000000004</v>
      </c>
      <c r="K933">
        <v>100000</v>
      </c>
      <c r="L933" s="2">
        <v>45671</v>
      </c>
      <c r="M933" t="str">
        <f t="shared" si="70"/>
        <v>Admis</v>
      </c>
      <c r="N933" t="str">
        <f t="shared" si="71"/>
        <v>Non Eligible</v>
      </c>
      <c r="O933" t="str">
        <f t="shared" si="72"/>
        <v>RAS</v>
      </c>
      <c r="P933" t="str">
        <f t="shared" si="73"/>
        <v>Data</v>
      </c>
      <c r="Q933">
        <f t="shared" si="74"/>
        <v>14.567500000000001</v>
      </c>
      <c r="R933" t="str" cm="1">
        <f t="array" ref="R933">_xlfn.IFS(Q933&gt;=16, "Excellent",Q933&gt;=14, "Très bien", Q933&gt;=12, "Bien", Q933&gt;=10, "Passable", Q933&lt;10, "Insuffisant")</f>
        <v>Très bien</v>
      </c>
    </row>
    <row r="934" spans="1:18">
      <c r="A934" t="s">
        <v>1266</v>
      </c>
      <c r="B934" t="s">
        <v>291</v>
      </c>
      <c r="C934" t="s">
        <v>20</v>
      </c>
      <c r="D934" t="s">
        <v>38</v>
      </c>
      <c r="E934" t="s">
        <v>48</v>
      </c>
      <c r="F934">
        <v>14.97</v>
      </c>
      <c r="G934">
        <v>12.31</v>
      </c>
      <c r="H934">
        <v>10.65</v>
      </c>
      <c r="I934">
        <v>15.05</v>
      </c>
      <c r="J934" s="4">
        <v>0.81569999999999998</v>
      </c>
      <c r="K934">
        <v>70000</v>
      </c>
      <c r="L934" s="2">
        <v>45648</v>
      </c>
      <c r="M934" t="str">
        <f t="shared" si="70"/>
        <v>Admis</v>
      </c>
      <c r="N934" t="str">
        <f t="shared" si="71"/>
        <v>Non Eligible</v>
      </c>
      <c r="O934" t="str">
        <f t="shared" si="72"/>
        <v>RAS</v>
      </c>
      <c r="P934" t="str">
        <f t="shared" si="73"/>
        <v>Hors Data</v>
      </c>
      <c r="Q934">
        <f t="shared" si="74"/>
        <v>13.245000000000001</v>
      </c>
      <c r="R934" t="str" cm="1">
        <f t="array" ref="R934">_xlfn.IFS(Q934&gt;=16, "Excellent",Q934&gt;=14, "Très bien", Q934&gt;=12, "Bien", Q934&gt;=10, "Passable", Q934&lt;10, "Insuffisant")</f>
        <v>Bien</v>
      </c>
    </row>
    <row r="935" spans="1:18">
      <c r="A935" t="s">
        <v>1267</v>
      </c>
      <c r="B935" t="s">
        <v>699</v>
      </c>
      <c r="C935" t="s">
        <v>25</v>
      </c>
      <c r="D935" t="s">
        <v>41</v>
      </c>
      <c r="E935" t="s">
        <v>35</v>
      </c>
      <c r="F935">
        <v>8.07</v>
      </c>
      <c r="G935">
        <v>9.15</v>
      </c>
      <c r="H935">
        <v>9.3000000000000007</v>
      </c>
      <c r="I935">
        <v>8.1199999999999992</v>
      </c>
      <c r="J935" s="4">
        <v>0.91720000000000002</v>
      </c>
      <c r="K935">
        <v>80000</v>
      </c>
      <c r="L935" s="2">
        <v>45797</v>
      </c>
      <c r="M935" t="str">
        <f t="shared" si="70"/>
        <v>Non admis</v>
      </c>
      <c r="N935" t="str">
        <f t="shared" si="71"/>
        <v>Non Eligible</v>
      </c>
      <c r="O935" t="str">
        <f t="shared" si="72"/>
        <v>A surveiller</v>
      </c>
      <c r="P935" t="str">
        <f t="shared" si="73"/>
        <v>Hors Data</v>
      </c>
      <c r="Q935">
        <f t="shared" si="74"/>
        <v>8.66</v>
      </c>
      <c r="R935" t="str" cm="1">
        <f t="array" ref="R935">_xlfn.IFS(Q935&gt;=16, "Excellent",Q935&gt;=14, "Très bien", Q935&gt;=12, "Bien", Q935&gt;=10, "Passable", Q935&lt;10, "Insuffisant")</f>
        <v>Insuffisant</v>
      </c>
    </row>
    <row r="936" spans="1:18">
      <c r="A936" t="s">
        <v>1268</v>
      </c>
      <c r="B936" t="s">
        <v>69</v>
      </c>
      <c r="C936" t="s">
        <v>20</v>
      </c>
      <c r="D936" t="s">
        <v>38</v>
      </c>
      <c r="E936" t="s">
        <v>27</v>
      </c>
      <c r="F936">
        <v>15.98</v>
      </c>
      <c r="G936">
        <v>15.05</v>
      </c>
      <c r="H936">
        <v>15.78</v>
      </c>
      <c r="I936">
        <v>15.55</v>
      </c>
      <c r="J936" s="4">
        <v>0.82989999999999997</v>
      </c>
      <c r="K936">
        <v>75000</v>
      </c>
      <c r="L936" s="2">
        <v>46179</v>
      </c>
      <c r="M936" t="str">
        <f t="shared" si="70"/>
        <v>Admis</v>
      </c>
      <c r="N936" t="str">
        <f t="shared" si="71"/>
        <v>Eligible</v>
      </c>
      <c r="O936" t="str">
        <f t="shared" si="72"/>
        <v>RAS</v>
      </c>
      <c r="P936" t="str">
        <f t="shared" si="73"/>
        <v>Hors Data</v>
      </c>
      <c r="Q936">
        <f t="shared" si="74"/>
        <v>15.59</v>
      </c>
      <c r="R936" t="str" cm="1">
        <f t="array" ref="R936">_xlfn.IFS(Q936&gt;=16, "Excellent",Q936&gt;=14, "Très bien", Q936&gt;=12, "Bien", Q936&gt;=10, "Passable", Q936&lt;10, "Insuffisant")</f>
        <v>Très bien</v>
      </c>
    </row>
    <row r="937" spans="1:18">
      <c r="A937" t="s">
        <v>1269</v>
      </c>
      <c r="B937" t="s">
        <v>777</v>
      </c>
      <c r="C937" t="s">
        <v>25</v>
      </c>
      <c r="D937" t="s">
        <v>34</v>
      </c>
      <c r="E937" t="s">
        <v>48</v>
      </c>
      <c r="F937">
        <v>17.850000000000001</v>
      </c>
      <c r="G937">
        <v>14.98</v>
      </c>
      <c r="H937">
        <v>15.41</v>
      </c>
      <c r="I937">
        <v>13.46</v>
      </c>
      <c r="J937" s="4">
        <v>0.95130000000000003</v>
      </c>
      <c r="K937">
        <v>120000</v>
      </c>
      <c r="L937" s="2">
        <v>46196</v>
      </c>
      <c r="M937" t="str">
        <f t="shared" si="70"/>
        <v>Admis</v>
      </c>
      <c r="N937" t="str">
        <f t="shared" si="71"/>
        <v>Eligible</v>
      </c>
      <c r="O937" t="str">
        <f t="shared" si="72"/>
        <v>RAS</v>
      </c>
      <c r="P937" t="str">
        <f t="shared" si="73"/>
        <v>Hors Data</v>
      </c>
      <c r="Q937">
        <f t="shared" si="74"/>
        <v>15.424999999999999</v>
      </c>
      <c r="R937" t="str" cm="1">
        <f t="array" ref="R937">_xlfn.IFS(Q937&gt;=16, "Excellent",Q937&gt;=14, "Très bien", Q937&gt;=12, "Bien", Q937&gt;=10, "Passable", Q937&lt;10, "Insuffisant")</f>
        <v>Très bien</v>
      </c>
    </row>
    <row r="938" spans="1:18">
      <c r="A938" t="s">
        <v>1270</v>
      </c>
      <c r="B938" t="s">
        <v>600</v>
      </c>
      <c r="C938" t="s">
        <v>20</v>
      </c>
      <c r="D938" t="s">
        <v>38</v>
      </c>
      <c r="E938" t="s">
        <v>35</v>
      </c>
      <c r="F938">
        <v>9.91</v>
      </c>
      <c r="G938">
        <v>15.25</v>
      </c>
      <c r="H938">
        <v>11.12</v>
      </c>
      <c r="I938">
        <v>13.42</v>
      </c>
      <c r="J938" s="4">
        <v>0.55000000000000004</v>
      </c>
      <c r="K938">
        <v>110000</v>
      </c>
      <c r="L938" s="2">
        <v>45803</v>
      </c>
      <c r="M938" t="str">
        <f t="shared" si="70"/>
        <v>Admis</v>
      </c>
      <c r="N938" t="str">
        <f t="shared" si="71"/>
        <v>Non Eligible</v>
      </c>
      <c r="O938" t="str">
        <f t="shared" si="72"/>
        <v>A surveiller</v>
      </c>
      <c r="P938" t="str">
        <f t="shared" si="73"/>
        <v>Hors Data</v>
      </c>
      <c r="Q938">
        <f t="shared" si="74"/>
        <v>12.425000000000001</v>
      </c>
      <c r="R938" t="str" cm="1">
        <f t="array" ref="R938">_xlfn.IFS(Q938&gt;=16, "Excellent",Q938&gt;=14, "Très bien", Q938&gt;=12, "Bien", Q938&gt;=10, "Passable", Q938&lt;10, "Insuffisant")</f>
        <v>Bien</v>
      </c>
    </row>
    <row r="939" spans="1:18">
      <c r="A939" t="s">
        <v>1271</v>
      </c>
      <c r="B939" t="s">
        <v>295</v>
      </c>
      <c r="C939" t="s">
        <v>20</v>
      </c>
      <c r="D939" t="s">
        <v>21</v>
      </c>
      <c r="E939" t="s">
        <v>22</v>
      </c>
      <c r="F939">
        <v>13.82</v>
      </c>
      <c r="G939">
        <v>15.59</v>
      </c>
      <c r="H939">
        <v>19.059999999999999</v>
      </c>
      <c r="I939">
        <v>15.16</v>
      </c>
      <c r="J939" s="4">
        <v>0.85319999999999996</v>
      </c>
      <c r="K939">
        <v>75000</v>
      </c>
      <c r="L939" s="2">
        <v>45889</v>
      </c>
      <c r="M939" t="str">
        <f t="shared" si="70"/>
        <v>Admis</v>
      </c>
      <c r="N939" t="str">
        <f t="shared" si="71"/>
        <v>Eligible</v>
      </c>
      <c r="O939" t="str">
        <f t="shared" si="72"/>
        <v>RAS</v>
      </c>
      <c r="P939" t="str">
        <f t="shared" si="73"/>
        <v>Data</v>
      </c>
      <c r="Q939">
        <f t="shared" si="74"/>
        <v>15.907499999999999</v>
      </c>
      <c r="R939" t="str" cm="1">
        <f t="array" ref="R939">_xlfn.IFS(Q939&gt;=16, "Excellent",Q939&gt;=14, "Très bien", Q939&gt;=12, "Bien", Q939&gt;=10, "Passable", Q939&lt;10, "Insuffisant")</f>
        <v>Très bien</v>
      </c>
    </row>
    <row r="940" spans="1:18">
      <c r="A940" t="s">
        <v>1272</v>
      </c>
      <c r="B940" t="s">
        <v>625</v>
      </c>
      <c r="C940" t="s">
        <v>20</v>
      </c>
      <c r="D940" t="s">
        <v>21</v>
      </c>
      <c r="E940" t="s">
        <v>48</v>
      </c>
      <c r="F940">
        <v>9.09</v>
      </c>
      <c r="G940">
        <v>13.15</v>
      </c>
      <c r="H940">
        <v>15.38</v>
      </c>
      <c r="I940">
        <v>9.6300000000000008</v>
      </c>
      <c r="J940" s="4">
        <v>0.71779999999999999</v>
      </c>
      <c r="K940">
        <v>85000</v>
      </c>
      <c r="L940" s="2">
        <v>46225</v>
      </c>
      <c r="M940" t="str">
        <f t="shared" si="70"/>
        <v>Admis</v>
      </c>
      <c r="N940" t="str">
        <f t="shared" si="71"/>
        <v>Non Eligible</v>
      </c>
      <c r="O940" t="str">
        <f t="shared" si="72"/>
        <v>A surveiller</v>
      </c>
      <c r="P940" t="str">
        <f t="shared" si="73"/>
        <v>Hors Data</v>
      </c>
      <c r="Q940">
        <f t="shared" si="74"/>
        <v>11.812500000000002</v>
      </c>
      <c r="R940" t="str" cm="1">
        <f t="array" ref="R940">_xlfn.IFS(Q940&gt;=16, "Excellent",Q940&gt;=14, "Très bien", Q940&gt;=12, "Bien", Q940&gt;=10, "Passable", Q940&lt;10, "Insuffisant")</f>
        <v>Passable</v>
      </c>
    </row>
    <row r="941" spans="1:18">
      <c r="A941" t="s">
        <v>1273</v>
      </c>
      <c r="B941" t="s">
        <v>471</v>
      </c>
      <c r="C941" t="s">
        <v>25</v>
      </c>
      <c r="D941" t="s">
        <v>26</v>
      </c>
      <c r="E941" t="s">
        <v>35</v>
      </c>
      <c r="F941">
        <v>13.1</v>
      </c>
      <c r="G941">
        <v>16.88</v>
      </c>
      <c r="H941">
        <v>14.84</v>
      </c>
      <c r="I941">
        <v>15.75</v>
      </c>
      <c r="J941" s="4">
        <v>0.9123</v>
      </c>
      <c r="K941">
        <v>130000</v>
      </c>
      <c r="L941" s="2">
        <v>45700</v>
      </c>
      <c r="M941" t="str">
        <f t="shared" si="70"/>
        <v>Admis</v>
      </c>
      <c r="N941" t="str">
        <f t="shared" si="71"/>
        <v>Eligible</v>
      </c>
      <c r="O941" t="str">
        <f t="shared" si="72"/>
        <v>RAS</v>
      </c>
      <c r="P941" t="str">
        <f t="shared" si="73"/>
        <v>Hors Data</v>
      </c>
      <c r="Q941">
        <f t="shared" si="74"/>
        <v>15.142499999999998</v>
      </c>
      <c r="R941" t="str" cm="1">
        <f t="array" ref="R941">_xlfn.IFS(Q941&gt;=16, "Excellent",Q941&gt;=14, "Très bien", Q941&gt;=12, "Bien", Q941&gt;=10, "Passable", Q941&lt;10, "Insuffisant")</f>
        <v>Très bien</v>
      </c>
    </row>
    <row r="942" spans="1:18">
      <c r="A942" t="s">
        <v>1274</v>
      </c>
      <c r="B942" t="s">
        <v>415</v>
      </c>
      <c r="C942" t="s">
        <v>25</v>
      </c>
      <c r="D942" t="s">
        <v>53</v>
      </c>
      <c r="E942" t="s">
        <v>22</v>
      </c>
      <c r="F942">
        <v>10.4</v>
      </c>
      <c r="G942">
        <v>16.95</v>
      </c>
      <c r="H942">
        <v>14.09</v>
      </c>
      <c r="I942">
        <v>11.39</v>
      </c>
      <c r="J942" s="4">
        <v>0.82010000000000005</v>
      </c>
      <c r="K942">
        <v>75000</v>
      </c>
      <c r="L942" s="2">
        <v>46197</v>
      </c>
      <c r="M942" t="str">
        <f t="shared" si="70"/>
        <v>Admis</v>
      </c>
      <c r="N942" t="str">
        <f t="shared" si="71"/>
        <v>Non Eligible</v>
      </c>
      <c r="O942" t="str">
        <f t="shared" si="72"/>
        <v>RAS</v>
      </c>
      <c r="P942" t="str">
        <f t="shared" si="73"/>
        <v>Data</v>
      </c>
      <c r="Q942">
        <f t="shared" si="74"/>
        <v>13.2075</v>
      </c>
      <c r="R942" t="str" cm="1">
        <f t="array" ref="R942">_xlfn.IFS(Q942&gt;=16, "Excellent",Q942&gt;=14, "Très bien", Q942&gt;=12, "Bien", Q942&gt;=10, "Passable", Q942&lt;10, "Insuffisant")</f>
        <v>Bien</v>
      </c>
    </row>
    <row r="943" spans="1:18">
      <c r="A943" t="s">
        <v>1275</v>
      </c>
      <c r="B943" t="s">
        <v>770</v>
      </c>
      <c r="C943" t="s">
        <v>20</v>
      </c>
      <c r="D943" t="s">
        <v>41</v>
      </c>
      <c r="E943" t="s">
        <v>48</v>
      </c>
      <c r="F943">
        <v>13.49</v>
      </c>
      <c r="G943">
        <v>15.24</v>
      </c>
      <c r="H943">
        <v>9.5399999999999991</v>
      </c>
      <c r="I943">
        <v>9.7899999999999991</v>
      </c>
      <c r="J943" s="4">
        <v>0.88200000000000001</v>
      </c>
      <c r="K943">
        <v>60000</v>
      </c>
      <c r="L943" s="2">
        <v>45610</v>
      </c>
      <c r="M943" t="str">
        <f t="shared" si="70"/>
        <v>Non admis</v>
      </c>
      <c r="N943" t="str">
        <f t="shared" si="71"/>
        <v>Non Eligible</v>
      </c>
      <c r="O943" t="str">
        <f t="shared" si="72"/>
        <v>A surveiller</v>
      </c>
      <c r="P943" t="str">
        <f t="shared" si="73"/>
        <v>Hors Data</v>
      </c>
      <c r="Q943">
        <f t="shared" si="74"/>
        <v>12.014999999999999</v>
      </c>
      <c r="R943" t="str" cm="1">
        <f t="array" ref="R943">_xlfn.IFS(Q943&gt;=16, "Excellent",Q943&gt;=14, "Très bien", Q943&gt;=12, "Bien", Q943&gt;=10, "Passable", Q943&lt;10, "Insuffisant")</f>
        <v>Bien</v>
      </c>
    </row>
    <row r="944" spans="1:18">
      <c r="A944" t="s">
        <v>1276</v>
      </c>
      <c r="B944" t="s">
        <v>111</v>
      </c>
      <c r="C944" t="s">
        <v>25</v>
      </c>
      <c r="D944" t="s">
        <v>41</v>
      </c>
      <c r="E944" t="s">
        <v>22</v>
      </c>
      <c r="F944">
        <v>16.190000000000001</v>
      </c>
      <c r="G944">
        <v>12.84</v>
      </c>
      <c r="H944">
        <v>18.32</v>
      </c>
      <c r="I944">
        <v>12.37</v>
      </c>
      <c r="J944" s="4">
        <v>0.9002</v>
      </c>
      <c r="K944">
        <v>75000</v>
      </c>
      <c r="L944" s="2">
        <v>45694</v>
      </c>
      <c r="M944" t="str">
        <f t="shared" si="70"/>
        <v>Admis</v>
      </c>
      <c r="N944" t="str">
        <f t="shared" si="71"/>
        <v>Eligible</v>
      </c>
      <c r="O944" t="str">
        <f t="shared" si="72"/>
        <v>RAS</v>
      </c>
      <c r="P944" t="str">
        <f t="shared" si="73"/>
        <v>Data</v>
      </c>
      <c r="Q944">
        <f t="shared" si="74"/>
        <v>14.93</v>
      </c>
      <c r="R944" t="str" cm="1">
        <f t="array" ref="R944">_xlfn.IFS(Q944&gt;=16, "Excellent",Q944&gt;=14, "Très bien", Q944&gt;=12, "Bien", Q944&gt;=10, "Passable", Q944&lt;10, "Insuffisant")</f>
        <v>Très bien</v>
      </c>
    </row>
    <row r="945" spans="1:18">
      <c r="A945" t="s">
        <v>1277</v>
      </c>
      <c r="B945" t="s">
        <v>359</v>
      </c>
      <c r="C945" t="s">
        <v>20</v>
      </c>
      <c r="D945" t="s">
        <v>34</v>
      </c>
      <c r="E945" t="s">
        <v>22</v>
      </c>
      <c r="F945">
        <v>12.43</v>
      </c>
      <c r="G945">
        <v>12.78</v>
      </c>
      <c r="H945">
        <v>11.68</v>
      </c>
      <c r="I945">
        <v>10.42</v>
      </c>
      <c r="J945" s="4">
        <v>0.78869999999999996</v>
      </c>
      <c r="K945">
        <v>90000</v>
      </c>
      <c r="L945" s="2">
        <v>45772</v>
      </c>
      <c r="M945" t="str">
        <f t="shared" si="70"/>
        <v>Admis</v>
      </c>
      <c r="N945" t="str">
        <f t="shared" si="71"/>
        <v>Non Eligible</v>
      </c>
      <c r="O945" t="str">
        <f t="shared" si="72"/>
        <v>RAS</v>
      </c>
      <c r="P945" t="str">
        <f t="shared" si="73"/>
        <v>Data</v>
      </c>
      <c r="Q945">
        <f t="shared" si="74"/>
        <v>11.827500000000001</v>
      </c>
      <c r="R945" t="str" cm="1">
        <f t="array" ref="R945">_xlfn.IFS(Q945&gt;=16, "Excellent",Q945&gt;=14, "Très bien", Q945&gt;=12, "Bien", Q945&gt;=10, "Passable", Q945&lt;10, "Insuffisant")</f>
        <v>Passable</v>
      </c>
    </row>
    <row r="946" spans="1:18">
      <c r="A946" t="s">
        <v>1278</v>
      </c>
      <c r="B946" t="s">
        <v>607</v>
      </c>
      <c r="C946" t="s">
        <v>20</v>
      </c>
      <c r="D946" t="s">
        <v>34</v>
      </c>
      <c r="E946" t="s">
        <v>22</v>
      </c>
      <c r="F946">
        <v>13.01</v>
      </c>
      <c r="G946">
        <v>13.99</v>
      </c>
      <c r="H946">
        <v>14.49</v>
      </c>
      <c r="I946">
        <v>12.12</v>
      </c>
      <c r="J946" s="4">
        <v>0.65469999999999995</v>
      </c>
      <c r="K946">
        <v>130000</v>
      </c>
      <c r="L946" s="2">
        <v>45561</v>
      </c>
      <c r="M946" t="str">
        <f t="shared" si="70"/>
        <v>Admis</v>
      </c>
      <c r="N946" t="str">
        <f t="shared" si="71"/>
        <v>Non Eligible</v>
      </c>
      <c r="O946" t="str">
        <f t="shared" si="72"/>
        <v>RAS</v>
      </c>
      <c r="P946" t="str">
        <f t="shared" si="73"/>
        <v>Data</v>
      </c>
      <c r="Q946">
        <f t="shared" si="74"/>
        <v>13.4025</v>
      </c>
      <c r="R946" t="str" cm="1">
        <f t="array" ref="R946">_xlfn.IFS(Q946&gt;=16, "Excellent",Q946&gt;=14, "Très bien", Q946&gt;=12, "Bien", Q946&gt;=10, "Passable", Q946&lt;10, "Insuffisant")</f>
        <v>Bien</v>
      </c>
    </row>
    <row r="947" spans="1:18">
      <c r="A947" t="s">
        <v>1279</v>
      </c>
      <c r="B947" t="s">
        <v>354</v>
      </c>
      <c r="C947" t="s">
        <v>20</v>
      </c>
      <c r="D947" t="s">
        <v>26</v>
      </c>
      <c r="E947" t="s">
        <v>35</v>
      </c>
      <c r="F947">
        <v>15.24</v>
      </c>
      <c r="G947">
        <v>11.82</v>
      </c>
      <c r="H947">
        <v>16.3</v>
      </c>
      <c r="I947">
        <v>14.84</v>
      </c>
      <c r="J947" s="4">
        <v>0.79479999999999995</v>
      </c>
      <c r="K947">
        <v>75000</v>
      </c>
      <c r="L947" s="2">
        <v>46107</v>
      </c>
      <c r="M947" t="str">
        <f t="shared" si="70"/>
        <v>Admis</v>
      </c>
      <c r="N947" t="str">
        <f t="shared" si="71"/>
        <v>Non Eligible</v>
      </c>
      <c r="O947" t="str">
        <f t="shared" si="72"/>
        <v>RAS</v>
      </c>
      <c r="P947" t="str">
        <f t="shared" si="73"/>
        <v>Hors Data</v>
      </c>
      <c r="Q947">
        <f t="shared" si="74"/>
        <v>14.55</v>
      </c>
      <c r="R947" t="str" cm="1">
        <f t="array" ref="R947">_xlfn.IFS(Q947&gt;=16, "Excellent",Q947&gt;=14, "Très bien", Q947&gt;=12, "Bien", Q947&gt;=10, "Passable", Q947&lt;10, "Insuffisant")</f>
        <v>Très bien</v>
      </c>
    </row>
    <row r="948" spans="1:18">
      <c r="A948" t="s">
        <v>1280</v>
      </c>
      <c r="B948" t="s">
        <v>415</v>
      </c>
      <c r="C948" t="s">
        <v>25</v>
      </c>
      <c r="D948" t="s">
        <v>38</v>
      </c>
      <c r="E948" t="s">
        <v>22</v>
      </c>
      <c r="F948">
        <v>3.35</v>
      </c>
      <c r="G948">
        <v>5.0999999999999996</v>
      </c>
      <c r="H948">
        <v>4.24</v>
      </c>
      <c r="I948">
        <v>4.87</v>
      </c>
      <c r="J948" s="4">
        <v>0.61209999999999998</v>
      </c>
      <c r="K948">
        <v>50000</v>
      </c>
      <c r="L948" s="2">
        <v>46134</v>
      </c>
      <c r="M948" t="str">
        <f t="shared" si="70"/>
        <v>Non admis</v>
      </c>
      <c r="N948" t="str">
        <f t="shared" si="71"/>
        <v>Non Eligible</v>
      </c>
      <c r="O948" t="str">
        <f t="shared" si="72"/>
        <v>A surveiller</v>
      </c>
      <c r="P948" t="str">
        <f t="shared" si="73"/>
        <v>Data</v>
      </c>
      <c r="Q948">
        <f t="shared" si="74"/>
        <v>4.3899999999999997</v>
      </c>
      <c r="R948" t="str" cm="1">
        <f t="array" ref="R948">_xlfn.IFS(Q948&gt;=16, "Excellent",Q948&gt;=14, "Très bien", Q948&gt;=12, "Bien", Q948&gt;=10, "Passable", Q948&lt;10, "Insuffisant")</f>
        <v>Insuffisant</v>
      </c>
    </row>
    <row r="949" spans="1:18">
      <c r="A949" t="s">
        <v>1281</v>
      </c>
      <c r="B949" t="s">
        <v>1282</v>
      </c>
      <c r="C949" t="s">
        <v>20</v>
      </c>
      <c r="D949" t="s">
        <v>26</v>
      </c>
      <c r="E949" t="s">
        <v>22</v>
      </c>
      <c r="F949">
        <v>16.100000000000001</v>
      </c>
      <c r="G949">
        <v>20</v>
      </c>
      <c r="H949">
        <v>17.36</v>
      </c>
      <c r="I949">
        <v>15</v>
      </c>
      <c r="J949" s="4">
        <v>0.97350000000000003</v>
      </c>
      <c r="K949">
        <v>60000</v>
      </c>
      <c r="L949" s="2">
        <v>45804</v>
      </c>
      <c r="M949" t="str">
        <f t="shared" si="70"/>
        <v>Admis</v>
      </c>
      <c r="N949" t="str">
        <f t="shared" si="71"/>
        <v>Eligible</v>
      </c>
      <c r="O949" t="str">
        <f t="shared" si="72"/>
        <v>RAS</v>
      </c>
      <c r="P949" t="str">
        <f t="shared" si="73"/>
        <v>Data</v>
      </c>
      <c r="Q949">
        <f t="shared" si="74"/>
        <v>17.115000000000002</v>
      </c>
      <c r="R949" t="str" cm="1">
        <f t="array" ref="R949">_xlfn.IFS(Q949&gt;=16, "Excellent",Q949&gt;=14, "Très bien", Q949&gt;=12, "Bien", Q949&gt;=10, "Passable", Q949&lt;10, "Insuffisant")</f>
        <v>Excellent</v>
      </c>
    </row>
    <row r="950" spans="1:18">
      <c r="A950" t="s">
        <v>1283</v>
      </c>
      <c r="B950" t="s">
        <v>433</v>
      </c>
      <c r="C950" t="s">
        <v>25</v>
      </c>
      <c r="D950" t="s">
        <v>38</v>
      </c>
      <c r="E950" t="s">
        <v>35</v>
      </c>
      <c r="F950">
        <v>9.6999999999999993</v>
      </c>
      <c r="G950">
        <v>6.38</v>
      </c>
      <c r="H950">
        <v>1.99</v>
      </c>
      <c r="I950">
        <v>6.79</v>
      </c>
      <c r="J950" s="4">
        <v>0.84860000000000002</v>
      </c>
      <c r="K950">
        <v>80000</v>
      </c>
      <c r="L950" s="2">
        <v>46121</v>
      </c>
      <c r="M950" t="str">
        <f t="shared" si="70"/>
        <v>Non admis</v>
      </c>
      <c r="N950" t="str">
        <f t="shared" si="71"/>
        <v>Non Eligible</v>
      </c>
      <c r="O950" t="str">
        <f t="shared" si="72"/>
        <v>A surveiller</v>
      </c>
      <c r="P950" t="str">
        <f t="shared" si="73"/>
        <v>Hors Data</v>
      </c>
      <c r="Q950">
        <f t="shared" si="74"/>
        <v>6.214999999999999</v>
      </c>
      <c r="R950" t="str" cm="1">
        <f t="array" ref="R950">_xlfn.IFS(Q950&gt;=16, "Excellent",Q950&gt;=14, "Très bien", Q950&gt;=12, "Bien", Q950&gt;=10, "Passable", Q950&lt;10, "Insuffisant")</f>
        <v>Insuffisant</v>
      </c>
    </row>
    <row r="951" spans="1:18">
      <c r="A951" t="s">
        <v>1284</v>
      </c>
      <c r="B951" t="s">
        <v>115</v>
      </c>
      <c r="C951" t="s">
        <v>20</v>
      </c>
      <c r="D951" t="s">
        <v>26</v>
      </c>
      <c r="E951" t="s">
        <v>22</v>
      </c>
      <c r="F951">
        <v>11.99</v>
      </c>
      <c r="G951">
        <v>16.61</v>
      </c>
      <c r="H951">
        <v>14.37</v>
      </c>
      <c r="I951">
        <v>11.54</v>
      </c>
      <c r="J951" s="4">
        <v>0.73440000000000005</v>
      </c>
      <c r="K951">
        <v>60000</v>
      </c>
      <c r="L951" s="2">
        <v>46076</v>
      </c>
      <c r="M951" t="str">
        <f t="shared" si="70"/>
        <v>Admis</v>
      </c>
      <c r="N951" t="str">
        <f t="shared" si="71"/>
        <v>Non Eligible</v>
      </c>
      <c r="O951" t="str">
        <f t="shared" si="72"/>
        <v>RAS</v>
      </c>
      <c r="P951" t="str">
        <f t="shared" si="73"/>
        <v>Data</v>
      </c>
      <c r="Q951">
        <f t="shared" si="74"/>
        <v>13.6275</v>
      </c>
      <c r="R951" t="str" cm="1">
        <f t="array" ref="R951">_xlfn.IFS(Q951&gt;=16, "Excellent",Q951&gt;=14, "Très bien", Q951&gt;=12, "Bien", Q951&gt;=10, "Passable", Q951&lt;10, "Insuffisant")</f>
        <v>Bien</v>
      </c>
    </row>
    <row r="952" spans="1:18">
      <c r="A952" t="s">
        <v>1285</v>
      </c>
      <c r="B952" t="s">
        <v>737</v>
      </c>
      <c r="C952" t="s">
        <v>20</v>
      </c>
      <c r="D952" t="s">
        <v>38</v>
      </c>
      <c r="E952" t="s">
        <v>22</v>
      </c>
      <c r="F952">
        <v>13.76</v>
      </c>
      <c r="G952">
        <v>17.16</v>
      </c>
      <c r="H952">
        <v>16.34</v>
      </c>
      <c r="I952">
        <v>18.61</v>
      </c>
      <c r="J952" s="4">
        <v>0.55000000000000004</v>
      </c>
      <c r="K952">
        <v>50000</v>
      </c>
      <c r="L952" s="2">
        <v>46096</v>
      </c>
      <c r="M952" t="str">
        <f t="shared" si="70"/>
        <v>Admis</v>
      </c>
      <c r="N952" t="str">
        <f t="shared" si="71"/>
        <v>Non Eligible</v>
      </c>
      <c r="O952" t="str">
        <f t="shared" si="72"/>
        <v>RAS</v>
      </c>
      <c r="P952" t="str">
        <f t="shared" si="73"/>
        <v>Data</v>
      </c>
      <c r="Q952">
        <f t="shared" si="74"/>
        <v>16.467500000000001</v>
      </c>
      <c r="R952" t="str" cm="1">
        <f t="array" ref="R952">_xlfn.IFS(Q952&gt;=16, "Excellent",Q952&gt;=14, "Très bien", Q952&gt;=12, "Bien", Q952&gt;=10, "Passable", Q952&lt;10, "Insuffisant")</f>
        <v>Excellent</v>
      </c>
    </row>
    <row r="953" spans="1:18">
      <c r="A953" t="s">
        <v>1286</v>
      </c>
      <c r="B953" t="s">
        <v>975</v>
      </c>
      <c r="C953" t="s">
        <v>20</v>
      </c>
      <c r="D953" t="s">
        <v>26</v>
      </c>
      <c r="E953" t="s">
        <v>35</v>
      </c>
      <c r="F953">
        <v>13.01</v>
      </c>
      <c r="G953">
        <v>18.399999999999999</v>
      </c>
      <c r="H953">
        <v>15.36</v>
      </c>
      <c r="I953">
        <v>12.08</v>
      </c>
      <c r="J953" s="4">
        <v>0.89159999999999995</v>
      </c>
      <c r="K953">
        <v>100000</v>
      </c>
      <c r="L953" s="2">
        <v>46097</v>
      </c>
      <c r="M953" t="str">
        <f t="shared" si="70"/>
        <v>Admis</v>
      </c>
      <c r="N953" t="str">
        <f t="shared" si="71"/>
        <v>Eligible</v>
      </c>
      <c r="O953" t="str">
        <f t="shared" si="72"/>
        <v>RAS</v>
      </c>
      <c r="P953" t="str">
        <f t="shared" si="73"/>
        <v>Hors Data</v>
      </c>
      <c r="Q953">
        <f t="shared" si="74"/>
        <v>14.712499999999999</v>
      </c>
      <c r="R953" t="str" cm="1">
        <f t="array" ref="R953">_xlfn.IFS(Q953&gt;=16, "Excellent",Q953&gt;=14, "Très bien", Q953&gt;=12, "Bien", Q953&gt;=10, "Passable", Q953&lt;10, "Insuffisant")</f>
        <v>Très bien</v>
      </c>
    </row>
    <row r="954" spans="1:18">
      <c r="A954" t="s">
        <v>1287</v>
      </c>
      <c r="B954" t="s">
        <v>81</v>
      </c>
      <c r="C954" t="s">
        <v>25</v>
      </c>
      <c r="D954" t="s">
        <v>26</v>
      </c>
      <c r="E954" t="s">
        <v>22</v>
      </c>
      <c r="F954">
        <v>6.42</v>
      </c>
      <c r="G954">
        <v>10.19</v>
      </c>
      <c r="H954">
        <v>9.15</v>
      </c>
      <c r="I954">
        <v>9.24</v>
      </c>
      <c r="J954" s="4">
        <v>0.79420000000000002</v>
      </c>
      <c r="K954">
        <v>120000</v>
      </c>
      <c r="L954" s="2">
        <v>45937</v>
      </c>
      <c r="M954" t="str">
        <f t="shared" si="70"/>
        <v>Non admis</v>
      </c>
      <c r="N954" t="str">
        <f t="shared" si="71"/>
        <v>Non Eligible</v>
      </c>
      <c r="O954" t="str">
        <f t="shared" si="72"/>
        <v>A surveiller</v>
      </c>
      <c r="P954" t="str">
        <f t="shared" si="73"/>
        <v>Data</v>
      </c>
      <c r="Q954">
        <f t="shared" si="74"/>
        <v>8.75</v>
      </c>
      <c r="R954" t="str" cm="1">
        <f t="array" ref="R954">_xlfn.IFS(Q954&gt;=16, "Excellent",Q954&gt;=14, "Très bien", Q954&gt;=12, "Bien", Q954&gt;=10, "Passable", Q954&lt;10, "Insuffisant")</f>
        <v>Insuffisant</v>
      </c>
    </row>
    <row r="955" spans="1:18">
      <c r="A955" t="s">
        <v>1288</v>
      </c>
      <c r="B955" t="s">
        <v>65</v>
      </c>
      <c r="C955" t="s">
        <v>20</v>
      </c>
      <c r="D955" t="s">
        <v>38</v>
      </c>
      <c r="E955" t="s">
        <v>27</v>
      </c>
      <c r="F955">
        <v>7.8</v>
      </c>
      <c r="G955">
        <v>10.89</v>
      </c>
      <c r="H955">
        <v>10.34</v>
      </c>
      <c r="I955">
        <v>9.1</v>
      </c>
      <c r="J955" s="4">
        <v>0.91359999999999997</v>
      </c>
      <c r="K955">
        <v>70000</v>
      </c>
      <c r="L955" s="2">
        <v>45613</v>
      </c>
      <c r="M955" t="str">
        <f t="shared" si="70"/>
        <v>Admis</v>
      </c>
      <c r="N955" t="str">
        <f t="shared" si="71"/>
        <v>Non Eligible</v>
      </c>
      <c r="O955" t="str">
        <f t="shared" si="72"/>
        <v>A surveiller</v>
      </c>
      <c r="P955" t="str">
        <f t="shared" si="73"/>
        <v>Hors Data</v>
      </c>
      <c r="Q955">
        <f t="shared" si="74"/>
        <v>9.5325000000000006</v>
      </c>
      <c r="R955" t="str" cm="1">
        <f t="array" ref="R955">_xlfn.IFS(Q955&gt;=16, "Excellent",Q955&gt;=14, "Très bien", Q955&gt;=12, "Bien", Q955&gt;=10, "Passable", Q955&lt;10, "Insuffisant")</f>
        <v>Insuffisant</v>
      </c>
    </row>
    <row r="956" spans="1:18">
      <c r="A956" t="s">
        <v>1289</v>
      </c>
      <c r="B956" t="s">
        <v>37</v>
      </c>
      <c r="C956" t="s">
        <v>25</v>
      </c>
      <c r="D956" t="s">
        <v>34</v>
      </c>
      <c r="E956" t="s">
        <v>35</v>
      </c>
      <c r="F956">
        <v>14.08</v>
      </c>
      <c r="G956">
        <v>13.96</v>
      </c>
      <c r="H956">
        <v>13.91</v>
      </c>
      <c r="I956">
        <v>16.260000000000002</v>
      </c>
      <c r="J956" s="4">
        <v>0.69810000000000005</v>
      </c>
      <c r="K956">
        <v>85000</v>
      </c>
      <c r="L956" s="2">
        <v>46182</v>
      </c>
      <c r="M956" t="str">
        <f t="shared" si="70"/>
        <v>Admis</v>
      </c>
      <c r="N956" t="str">
        <f t="shared" si="71"/>
        <v>Non Eligible</v>
      </c>
      <c r="O956" t="str">
        <f t="shared" si="72"/>
        <v>RAS</v>
      </c>
      <c r="P956" t="str">
        <f t="shared" si="73"/>
        <v>Hors Data</v>
      </c>
      <c r="Q956">
        <f t="shared" si="74"/>
        <v>14.552500000000002</v>
      </c>
      <c r="R956" t="str" cm="1">
        <f t="array" ref="R956">_xlfn.IFS(Q956&gt;=16, "Excellent",Q956&gt;=14, "Très bien", Q956&gt;=12, "Bien", Q956&gt;=10, "Passable", Q956&lt;10, "Insuffisant")</f>
        <v>Très bien</v>
      </c>
    </row>
    <row r="957" spans="1:18">
      <c r="A957" t="s">
        <v>1290</v>
      </c>
      <c r="B957" t="s">
        <v>550</v>
      </c>
      <c r="C957" t="s">
        <v>25</v>
      </c>
      <c r="D957" t="s">
        <v>21</v>
      </c>
      <c r="E957" t="s">
        <v>27</v>
      </c>
      <c r="F957">
        <v>7.14</v>
      </c>
      <c r="G957">
        <v>10.96</v>
      </c>
      <c r="H957">
        <v>9.99</v>
      </c>
      <c r="I957">
        <v>9.59</v>
      </c>
      <c r="J957" s="4">
        <v>0.75960000000000005</v>
      </c>
      <c r="K957">
        <v>90000</v>
      </c>
      <c r="L957" s="2">
        <v>45962</v>
      </c>
      <c r="M957" t="str">
        <f t="shared" si="70"/>
        <v>Non admis</v>
      </c>
      <c r="N957" t="str">
        <f t="shared" si="71"/>
        <v>Non Eligible</v>
      </c>
      <c r="O957" t="str">
        <f t="shared" si="72"/>
        <v>A surveiller</v>
      </c>
      <c r="P957" t="str">
        <f t="shared" si="73"/>
        <v>Hors Data</v>
      </c>
      <c r="Q957">
        <f t="shared" si="74"/>
        <v>9.4200000000000017</v>
      </c>
      <c r="R957" t="str" cm="1">
        <f t="array" ref="R957">_xlfn.IFS(Q957&gt;=16, "Excellent",Q957&gt;=14, "Très bien", Q957&gt;=12, "Bien", Q957&gt;=10, "Passable", Q957&lt;10, "Insuffisant")</f>
        <v>Insuffisant</v>
      </c>
    </row>
    <row r="958" spans="1:18">
      <c r="A958" t="s">
        <v>1291</v>
      </c>
      <c r="B958" t="s">
        <v>295</v>
      </c>
      <c r="C958" t="s">
        <v>20</v>
      </c>
      <c r="D958" t="s">
        <v>38</v>
      </c>
      <c r="E958" t="s">
        <v>27</v>
      </c>
      <c r="F958">
        <v>18.72</v>
      </c>
      <c r="G958">
        <v>15.96</v>
      </c>
      <c r="H958">
        <v>14.93</v>
      </c>
      <c r="I958">
        <v>15.66</v>
      </c>
      <c r="J958" s="4">
        <v>0.82430000000000003</v>
      </c>
      <c r="K958">
        <v>100000</v>
      </c>
      <c r="L958" s="2">
        <v>46166</v>
      </c>
      <c r="M958" t="str">
        <f t="shared" si="70"/>
        <v>Admis</v>
      </c>
      <c r="N958" t="str">
        <f t="shared" si="71"/>
        <v>Eligible</v>
      </c>
      <c r="O958" t="str">
        <f t="shared" si="72"/>
        <v>RAS</v>
      </c>
      <c r="P958" t="str">
        <f t="shared" si="73"/>
        <v>Hors Data</v>
      </c>
      <c r="Q958">
        <f t="shared" si="74"/>
        <v>16.317499999999999</v>
      </c>
      <c r="R958" t="str" cm="1">
        <f t="array" ref="R958">_xlfn.IFS(Q958&gt;=16, "Excellent",Q958&gt;=14, "Très bien", Q958&gt;=12, "Bien", Q958&gt;=10, "Passable", Q958&lt;10, "Insuffisant")</f>
        <v>Excellent</v>
      </c>
    </row>
    <row r="959" spans="1:18">
      <c r="A959" t="s">
        <v>1292</v>
      </c>
      <c r="B959" t="s">
        <v>315</v>
      </c>
      <c r="C959" t="s">
        <v>25</v>
      </c>
      <c r="D959" t="s">
        <v>34</v>
      </c>
      <c r="E959" t="s">
        <v>27</v>
      </c>
      <c r="F959">
        <v>14.62</v>
      </c>
      <c r="G959">
        <v>12.32</v>
      </c>
      <c r="H959">
        <v>12.48</v>
      </c>
      <c r="I959">
        <v>14.39</v>
      </c>
      <c r="J959" s="4">
        <v>0.89080000000000004</v>
      </c>
      <c r="K959">
        <v>130000</v>
      </c>
      <c r="L959" s="2">
        <v>46207</v>
      </c>
      <c r="M959" t="str">
        <f t="shared" si="70"/>
        <v>Admis</v>
      </c>
      <c r="N959" t="str">
        <f t="shared" si="71"/>
        <v>Eligible</v>
      </c>
      <c r="O959" t="str">
        <f t="shared" si="72"/>
        <v>RAS</v>
      </c>
      <c r="P959" t="str">
        <f t="shared" si="73"/>
        <v>Hors Data</v>
      </c>
      <c r="Q959">
        <f t="shared" si="74"/>
        <v>13.452500000000001</v>
      </c>
      <c r="R959" t="str" cm="1">
        <f t="array" ref="R959">_xlfn.IFS(Q959&gt;=16, "Excellent",Q959&gt;=14, "Très bien", Q959&gt;=12, "Bien", Q959&gt;=10, "Passable", Q959&lt;10, "Insuffisant")</f>
        <v>Bien</v>
      </c>
    </row>
    <row r="960" spans="1:18">
      <c r="A960" t="s">
        <v>1293</v>
      </c>
      <c r="B960" t="s">
        <v>1106</v>
      </c>
      <c r="C960" t="s">
        <v>25</v>
      </c>
      <c r="D960" t="s">
        <v>41</v>
      </c>
      <c r="E960" t="s">
        <v>48</v>
      </c>
      <c r="F960">
        <v>11.31</v>
      </c>
      <c r="G960">
        <v>13.38</v>
      </c>
      <c r="H960">
        <v>10.36</v>
      </c>
      <c r="I960">
        <v>8.27</v>
      </c>
      <c r="J960" s="4">
        <v>0.9284</v>
      </c>
      <c r="K960">
        <v>120000</v>
      </c>
      <c r="L960" s="2">
        <v>45667</v>
      </c>
      <c r="M960" t="str">
        <f t="shared" si="70"/>
        <v>Admis</v>
      </c>
      <c r="N960" t="str">
        <f t="shared" si="71"/>
        <v>Non Eligible</v>
      </c>
      <c r="O960" t="str">
        <f t="shared" si="72"/>
        <v>RAS</v>
      </c>
      <c r="P960" t="str">
        <f t="shared" si="73"/>
        <v>Hors Data</v>
      </c>
      <c r="Q960">
        <f t="shared" si="74"/>
        <v>10.829999999999998</v>
      </c>
      <c r="R960" t="str" cm="1">
        <f t="array" ref="R960">_xlfn.IFS(Q960&gt;=16, "Excellent",Q960&gt;=14, "Très bien", Q960&gt;=12, "Bien", Q960&gt;=10, "Passable", Q960&lt;10, "Insuffisant")</f>
        <v>Passable</v>
      </c>
    </row>
    <row r="961" spans="1:18">
      <c r="A961" t="s">
        <v>1294</v>
      </c>
      <c r="B961" t="s">
        <v>152</v>
      </c>
      <c r="C961" t="s">
        <v>20</v>
      </c>
      <c r="D961" t="s">
        <v>53</v>
      </c>
      <c r="E961" t="s">
        <v>35</v>
      </c>
      <c r="F961">
        <v>9.4499999999999993</v>
      </c>
      <c r="G961">
        <v>14.82</v>
      </c>
      <c r="H961">
        <v>12.33</v>
      </c>
      <c r="I961">
        <v>13.44</v>
      </c>
      <c r="J961" s="4">
        <v>0.94369999999999998</v>
      </c>
      <c r="K961">
        <v>75000</v>
      </c>
      <c r="L961" s="2">
        <v>45817</v>
      </c>
      <c r="M961" t="str">
        <f t="shared" si="70"/>
        <v>Admis</v>
      </c>
      <c r="N961" t="str">
        <f t="shared" si="71"/>
        <v>Non Eligible</v>
      </c>
      <c r="O961" t="str">
        <f t="shared" si="72"/>
        <v>A surveiller</v>
      </c>
      <c r="P961" t="str">
        <f t="shared" si="73"/>
        <v>Hors Data</v>
      </c>
      <c r="Q961">
        <f t="shared" si="74"/>
        <v>12.51</v>
      </c>
      <c r="R961" t="str" cm="1">
        <f t="array" ref="R961">_xlfn.IFS(Q961&gt;=16, "Excellent",Q961&gt;=14, "Très bien", Q961&gt;=12, "Bien", Q961&gt;=10, "Passable", Q961&lt;10, "Insuffisant")</f>
        <v>Bien</v>
      </c>
    </row>
    <row r="962" spans="1:18">
      <c r="A962" t="s">
        <v>1295</v>
      </c>
      <c r="B962" t="s">
        <v>264</v>
      </c>
      <c r="C962" t="s">
        <v>20</v>
      </c>
      <c r="D962" t="s">
        <v>41</v>
      </c>
      <c r="E962" t="s">
        <v>48</v>
      </c>
      <c r="F962">
        <v>9.4600000000000009</v>
      </c>
      <c r="G962">
        <v>13.54</v>
      </c>
      <c r="H962">
        <v>7.1</v>
      </c>
      <c r="I962">
        <v>9.2799999999999994</v>
      </c>
      <c r="J962" s="4">
        <v>0.94099999999999995</v>
      </c>
      <c r="K962">
        <v>130000</v>
      </c>
      <c r="L962" s="2">
        <v>45670</v>
      </c>
      <c r="M962" t="str">
        <f t="shared" si="70"/>
        <v>Non admis</v>
      </c>
      <c r="N962" t="str">
        <f t="shared" si="71"/>
        <v>Non Eligible</v>
      </c>
      <c r="O962" t="str">
        <f t="shared" si="72"/>
        <v>A surveiller</v>
      </c>
      <c r="P962" t="str">
        <f t="shared" si="73"/>
        <v>Hors Data</v>
      </c>
      <c r="Q962">
        <f t="shared" si="74"/>
        <v>9.8450000000000006</v>
      </c>
      <c r="R962" t="str" cm="1">
        <f t="array" ref="R962">_xlfn.IFS(Q962&gt;=16, "Excellent",Q962&gt;=14, "Très bien", Q962&gt;=12, "Bien", Q962&gt;=10, "Passable", Q962&lt;10, "Insuffisant")</f>
        <v>Insuffisant</v>
      </c>
    </row>
    <row r="963" spans="1:18">
      <c r="A963" t="s">
        <v>1296</v>
      </c>
      <c r="B963" t="s">
        <v>378</v>
      </c>
      <c r="C963" t="s">
        <v>20</v>
      </c>
      <c r="D963" t="s">
        <v>41</v>
      </c>
      <c r="E963" t="s">
        <v>22</v>
      </c>
      <c r="F963">
        <v>16.52</v>
      </c>
      <c r="G963">
        <v>15.53</v>
      </c>
      <c r="H963">
        <v>15.62</v>
      </c>
      <c r="I963">
        <v>17.7</v>
      </c>
      <c r="J963" s="4">
        <v>0.93889999999999996</v>
      </c>
      <c r="K963">
        <v>50000</v>
      </c>
      <c r="L963" s="2">
        <v>45571</v>
      </c>
      <c r="M963" t="str">
        <f t="shared" ref="M963:M1001" si="75">IF(H963&gt;=10,"Admis","Non admis")</f>
        <v>Admis</v>
      </c>
      <c r="N963" t="str">
        <f t="shared" ref="N963:N1001" si="76">IF(AND(F963&gt;=12,H963&gt;=12,J963&gt;80%), "Eligible", "Non Eligible")</f>
        <v>Eligible</v>
      </c>
      <c r="O963" t="str">
        <f t="shared" ref="O963:O1001" si="77">IF(OR(F963&lt;10,H963&lt;10), "A surveiller", "RAS")</f>
        <v>RAS</v>
      </c>
      <c r="P963" t="str">
        <f t="shared" ref="P963:P1001" si="78">IF(NOT(E963="Data"), "Hors Data", "Data")</f>
        <v>Data</v>
      </c>
      <c r="Q963">
        <f t="shared" ref="Q963:Q1001" si="79">AVERAGE(F963:I963)</f>
        <v>16.342499999999998</v>
      </c>
      <c r="R963" t="str" cm="1">
        <f t="array" ref="R963">_xlfn.IFS(Q963&gt;=16, "Excellent",Q963&gt;=14, "Très bien", Q963&gt;=12, "Bien", Q963&gt;=10, "Passable", Q963&lt;10, "Insuffisant")</f>
        <v>Excellent</v>
      </c>
    </row>
    <row r="964" spans="1:18">
      <c r="A964" t="s">
        <v>1297</v>
      </c>
      <c r="B964" t="s">
        <v>777</v>
      </c>
      <c r="C964" t="s">
        <v>25</v>
      </c>
      <c r="D964" t="s">
        <v>34</v>
      </c>
      <c r="E964" t="s">
        <v>27</v>
      </c>
      <c r="F964">
        <v>14.17</v>
      </c>
      <c r="G964">
        <v>15.84</v>
      </c>
      <c r="H964">
        <v>17.5</v>
      </c>
      <c r="I964">
        <v>15.58</v>
      </c>
      <c r="J964" s="4">
        <v>0.87539999999999996</v>
      </c>
      <c r="K964">
        <v>130000</v>
      </c>
      <c r="L964" s="2">
        <v>46212</v>
      </c>
      <c r="M964" t="str">
        <f t="shared" si="75"/>
        <v>Admis</v>
      </c>
      <c r="N964" t="str">
        <f t="shared" si="76"/>
        <v>Eligible</v>
      </c>
      <c r="O964" t="str">
        <f t="shared" si="77"/>
        <v>RAS</v>
      </c>
      <c r="P964" t="str">
        <f t="shared" si="78"/>
        <v>Hors Data</v>
      </c>
      <c r="Q964">
        <f t="shared" si="79"/>
        <v>15.772499999999999</v>
      </c>
      <c r="R964" t="str" cm="1">
        <f t="array" ref="R964">_xlfn.IFS(Q964&gt;=16, "Excellent",Q964&gt;=14, "Très bien", Q964&gt;=12, "Bien", Q964&gt;=10, "Passable", Q964&lt;10, "Insuffisant")</f>
        <v>Très bien</v>
      </c>
    </row>
    <row r="965" spans="1:18">
      <c r="A965" t="s">
        <v>1298</v>
      </c>
      <c r="B965" t="s">
        <v>194</v>
      </c>
      <c r="C965" t="s">
        <v>20</v>
      </c>
      <c r="D965" t="s">
        <v>34</v>
      </c>
      <c r="E965" t="s">
        <v>35</v>
      </c>
      <c r="F965">
        <v>8.07</v>
      </c>
      <c r="G965">
        <v>8.9499999999999993</v>
      </c>
      <c r="H965">
        <v>8.0500000000000007</v>
      </c>
      <c r="I965">
        <v>11.93</v>
      </c>
      <c r="J965" s="4">
        <v>0.92620000000000002</v>
      </c>
      <c r="K965">
        <v>60000</v>
      </c>
      <c r="L965" s="2">
        <v>46182</v>
      </c>
      <c r="M965" t="str">
        <f t="shared" si="75"/>
        <v>Non admis</v>
      </c>
      <c r="N965" t="str">
        <f t="shared" si="76"/>
        <v>Non Eligible</v>
      </c>
      <c r="O965" t="str">
        <f t="shared" si="77"/>
        <v>A surveiller</v>
      </c>
      <c r="P965" t="str">
        <f t="shared" si="78"/>
        <v>Hors Data</v>
      </c>
      <c r="Q965">
        <f t="shared" si="79"/>
        <v>9.25</v>
      </c>
      <c r="R965" t="str" cm="1">
        <f t="array" ref="R965">_xlfn.IFS(Q965&gt;=16, "Excellent",Q965&gt;=14, "Très bien", Q965&gt;=12, "Bien", Q965&gt;=10, "Passable", Q965&lt;10, "Insuffisant")</f>
        <v>Insuffisant</v>
      </c>
    </row>
    <row r="966" spans="1:18">
      <c r="A966" t="s">
        <v>1299</v>
      </c>
      <c r="B966" t="s">
        <v>469</v>
      </c>
      <c r="C966" t="s">
        <v>25</v>
      </c>
      <c r="D966" t="s">
        <v>21</v>
      </c>
      <c r="E966" t="s">
        <v>22</v>
      </c>
      <c r="F966">
        <v>13.34</v>
      </c>
      <c r="G966">
        <v>14.49</v>
      </c>
      <c r="H966">
        <v>12.08</v>
      </c>
      <c r="I966">
        <v>9.73</v>
      </c>
      <c r="J966" s="4">
        <v>0.79010000000000002</v>
      </c>
      <c r="K966">
        <v>60000</v>
      </c>
      <c r="L966" s="2">
        <v>46188</v>
      </c>
      <c r="M966" t="str">
        <f t="shared" si="75"/>
        <v>Admis</v>
      </c>
      <c r="N966" t="str">
        <f t="shared" si="76"/>
        <v>Non Eligible</v>
      </c>
      <c r="O966" t="str">
        <f t="shared" si="77"/>
        <v>RAS</v>
      </c>
      <c r="P966" t="str">
        <f t="shared" si="78"/>
        <v>Data</v>
      </c>
      <c r="Q966">
        <f t="shared" si="79"/>
        <v>12.41</v>
      </c>
      <c r="R966" t="str" cm="1">
        <f t="array" ref="R966">_xlfn.IFS(Q966&gt;=16, "Excellent",Q966&gt;=14, "Très bien", Q966&gt;=12, "Bien", Q966&gt;=10, "Passable", Q966&lt;10, "Insuffisant")</f>
        <v>Bien</v>
      </c>
    </row>
    <row r="967" spans="1:18">
      <c r="A967" t="s">
        <v>1300</v>
      </c>
      <c r="B967" t="s">
        <v>213</v>
      </c>
      <c r="C967" t="s">
        <v>25</v>
      </c>
      <c r="D967" t="s">
        <v>53</v>
      </c>
      <c r="E967" t="s">
        <v>22</v>
      </c>
      <c r="F967">
        <v>10.32</v>
      </c>
      <c r="G967">
        <v>14.9</v>
      </c>
      <c r="H967">
        <v>11.64</v>
      </c>
      <c r="I967">
        <v>7.74</v>
      </c>
      <c r="J967" s="4">
        <v>0.98</v>
      </c>
      <c r="K967">
        <v>60000</v>
      </c>
      <c r="L967" s="2">
        <v>46154</v>
      </c>
      <c r="M967" t="str">
        <f t="shared" si="75"/>
        <v>Admis</v>
      </c>
      <c r="N967" t="str">
        <f t="shared" si="76"/>
        <v>Non Eligible</v>
      </c>
      <c r="O967" t="str">
        <f t="shared" si="77"/>
        <v>RAS</v>
      </c>
      <c r="P967" t="str">
        <f t="shared" si="78"/>
        <v>Data</v>
      </c>
      <c r="Q967">
        <f t="shared" si="79"/>
        <v>11.15</v>
      </c>
      <c r="R967" t="str" cm="1">
        <f t="array" ref="R967">_xlfn.IFS(Q967&gt;=16, "Excellent",Q967&gt;=14, "Très bien", Q967&gt;=12, "Bien", Q967&gt;=10, "Passable", Q967&lt;10, "Insuffisant")</f>
        <v>Passable</v>
      </c>
    </row>
    <row r="968" spans="1:18">
      <c r="A968" t="s">
        <v>1301</v>
      </c>
      <c r="B968" t="s">
        <v>618</v>
      </c>
      <c r="C968" t="s">
        <v>25</v>
      </c>
      <c r="D968" t="s">
        <v>34</v>
      </c>
      <c r="E968" t="s">
        <v>22</v>
      </c>
      <c r="F968">
        <v>17.62</v>
      </c>
      <c r="G968">
        <v>18.329999999999998</v>
      </c>
      <c r="H968">
        <v>17.04</v>
      </c>
      <c r="I968">
        <v>15.67</v>
      </c>
      <c r="J968" s="4">
        <v>0.81389999999999996</v>
      </c>
      <c r="K968">
        <v>60000</v>
      </c>
      <c r="L968" s="2">
        <v>45990</v>
      </c>
      <c r="M968" t="str">
        <f t="shared" si="75"/>
        <v>Admis</v>
      </c>
      <c r="N968" t="str">
        <f t="shared" si="76"/>
        <v>Eligible</v>
      </c>
      <c r="O968" t="str">
        <f t="shared" si="77"/>
        <v>RAS</v>
      </c>
      <c r="P968" t="str">
        <f t="shared" si="78"/>
        <v>Data</v>
      </c>
      <c r="Q968">
        <f t="shared" si="79"/>
        <v>17.164999999999999</v>
      </c>
      <c r="R968" t="str" cm="1">
        <f t="array" ref="R968">_xlfn.IFS(Q968&gt;=16, "Excellent",Q968&gt;=14, "Très bien", Q968&gt;=12, "Bien", Q968&gt;=10, "Passable", Q968&lt;10, "Insuffisant")</f>
        <v>Excellent</v>
      </c>
    </row>
    <row r="969" spans="1:18">
      <c r="A969" t="s">
        <v>1302</v>
      </c>
      <c r="B969" t="s">
        <v>351</v>
      </c>
      <c r="C969" t="s">
        <v>20</v>
      </c>
      <c r="D969" t="s">
        <v>26</v>
      </c>
      <c r="E969" t="s">
        <v>22</v>
      </c>
      <c r="F969">
        <v>13.22</v>
      </c>
      <c r="G969">
        <v>14.46</v>
      </c>
      <c r="H969">
        <v>7.65</v>
      </c>
      <c r="I969">
        <v>6.57</v>
      </c>
      <c r="J969" s="4">
        <v>0.9506</v>
      </c>
      <c r="K969">
        <v>85000</v>
      </c>
      <c r="L969" s="2">
        <v>45901</v>
      </c>
      <c r="M969" t="str">
        <f t="shared" si="75"/>
        <v>Non admis</v>
      </c>
      <c r="N969" t="str">
        <f t="shared" si="76"/>
        <v>Non Eligible</v>
      </c>
      <c r="O969" t="str">
        <f t="shared" si="77"/>
        <v>A surveiller</v>
      </c>
      <c r="P969" t="str">
        <f t="shared" si="78"/>
        <v>Data</v>
      </c>
      <c r="Q969">
        <f t="shared" si="79"/>
        <v>10.475</v>
      </c>
      <c r="R969" t="str" cm="1">
        <f t="array" ref="R969">_xlfn.IFS(Q969&gt;=16, "Excellent",Q969&gt;=14, "Très bien", Q969&gt;=12, "Bien", Q969&gt;=10, "Passable", Q969&lt;10, "Insuffisant")</f>
        <v>Passable</v>
      </c>
    </row>
    <row r="970" spans="1:18">
      <c r="A970" t="s">
        <v>1303</v>
      </c>
      <c r="B970" t="s">
        <v>469</v>
      </c>
      <c r="C970" t="s">
        <v>25</v>
      </c>
      <c r="D970" t="s">
        <v>38</v>
      </c>
      <c r="E970" t="s">
        <v>48</v>
      </c>
      <c r="F970">
        <v>17.61</v>
      </c>
      <c r="G970">
        <v>20</v>
      </c>
      <c r="H970">
        <v>18.11</v>
      </c>
      <c r="I970">
        <v>14.85</v>
      </c>
      <c r="J970" s="4">
        <v>0.80110000000000003</v>
      </c>
      <c r="K970">
        <v>100000</v>
      </c>
      <c r="L970" s="2">
        <v>46230</v>
      </c>
      <c r="M970" t="str">
        <f t="shared" si="75"/>
        <v>Admis</v>
      </c>
      <c r="N970" t="str">
        <f t="shared" si="76"/>
        <v>Eligible</v>
      </c>
      <c r="O970" t="str">
        <f t="shared" si="77"/>
        <v>RAS</v>
      </c>
      <c r="P970" t="str">
        <f t="shared" si="78"/>
        <v>Hors Data</v>
      </c>
      <c r="Q970">
        <f t="shared" si="79"/>
        <v>17.642499999999998</v>
      </c>
      <c r="R970" t="str" cm="1">
        <f t="array" ref="R970">_xlfn.IFS(Q970&gt;=16, "Excellent",Q970&gt;=14, "Très bien", Q970&gt;=12, "Bien", Q970&gt;=10, "Passable", Q970&lt;10, "Insuffisant")</f>
        <v>Excellent</v>
      </c>
    </row>
    <row r="971" spans="1:18">
      <c r="A971" t="s">
        <v>1304</v>
      </c>
      <c r="B971" t="s">
        <v>930</v>
      </c>
      <c r="C971" t="s">
        <v>20</v>
      </c>
      <c r="D971" t="s">
        <v>26</v>
      </c>
      <c r="E971" t="s">
        <v>22</v>
      </c>
      <c r="F971">
        <v>16</v>
      </c>
      <c r="G971">
        <v>13.29</v>
      </c>
      <c r="H971">
        <v>15.79</v>
      </c>
      <c r="I971">
        <v>14.67</v>
      </c>
      <c r="J971" s="4">
        <v>0.87490000000000001</v>
      </c>
      <c r="K971">
        <v>110000</v>
      </c>
      <c r="L971" s="2">
        <v>45922</v>
      </c>
      <c r="M971" t="str">
        <f t="shared" si="75"/>
        <v>Admis</v>
      </c>
      <c r="N971" t="str">
        <f t="shared" si="76"/>
        <v>Eligible</v>
      </c>
      <c r="O971" t="str">
        <f t="shared" si="77"/>
        <v>RAS</v>
      </c>
      <c r="P971" t="str">
        <f t="shared" si="78"/>
        <v>Data</v>
      </c>
      <c r="Q971">
        <f t="shared" si="79"/>
        <v>14.9375</v>
      </c>
      <c r="R971" t="str" cm="1">
        <f t="array" ref="R971">_xlfn.IFS(Q971&gt;=16, "Excellent",Q971&gt;=14, "Très bien", Q971&gt;=12, "Bien", Q971&gt;=10, "Passable", Q971&lt;10, "Insuffisant")</f>
        <v>Très bien</v>
      </c>
    </row>
    <row r="972" spans="1:18">
      <c r="A972" t="s">
        <v>1305</v>
      </c>
      <c r="B972" t="s">
        <v>264</v>
      </c>
      <c r="C972" t="s">
        <v>20</v>
      </c>
      <c r="D972" t="s">
        <v>26</v>
      </c>
      <c r="E972" t="s">
        <v>27</v>
      </c>
      <c r="F972">
        <v>11.48</v>
      </c>
      <c r="G972">
        <v>12.47</v>
      </c>
      <c r="H972">
        <v>8.1300000000000008</v>
      </c>
      <c r="I972">
        <v>10.14</v>
      </c>
      <c r="J972" s="4">
        <v>0.94620000000000004</v>
      </c>
      <c r="K972">
        <v>50000</v>
      </c>
      <c r="L972" s="2">
        <v>45985</v>
      </c>
      <c r="M972" t="str">
        <f t="shared" si="75"/>
        <v>Non admis</v>
      </c>
      <c r="N972" t="str">
        <f t="shared" si="76"/>
        <v>Non Eligible</v>
      </c>
      <c r="O972" t="str">
        <f t="shared" si="77"/>
        <v>A surveiller</v>
      </c>
      <c r="P972" t="str">
        <f t="shared" si="78"/>
        <v>Hors Data</v>
      </c>
      <c r="Q972">
        <f t="shared" si="79"/>
        <v>10.555000000000001</v>
      </c>
      <c r="R972" t="str" cm="1">
        <f t="array" ref="R972">_xlfn.IFS(Q972&gt;=16, "Excellent",Q972&gt;=14, "Très bien", Q972&gt;=12, "Bien", Q972&gt;=10, "Passable", Q972&lt;10, "Insuffisant")</f>
        <v>Passable</v>
      </c>
    </row>
    <row r="973" spans="1:18">
      <c r="A973" t="s">
        <v>1306</v>
      </c>
      <c r="B973" t="s">
        <v>1282</v>
      </c>
      <c r="C973" t="s">
        <v>20</v>
      </c>
      <c r="D973" t="s">
        <v>26</v>
      </c>
      <c r="E973" t="s">
        <v>35</v>
      </c>
      <c r="F973">
        <v>8.3800000000000008</v>
      </c>
      <c r="G973">
        <v>15.76</v>
      </c>
      <c r="H973">
        <v>10.98</v>
      </c>
      <c r="I973">
        <v>10.45</v>
      </c>
      <c r="J973" s="4">
        <v>0.82310000000000005</v>
      </c>
      <c r="K973">
        <v>75000</v>
      </c>
      <c r="L973" s="2">
        <v>45684</v>
      </c>
      <c r="M973" t="str">
        <f t="shared" si="75"/>
        <v>Admis</v>
      </c>
      <c r="N973" t="str">
        <f t="shared" si="76"/>
        <v>Non Eligible</v>
      </c>
      <c r="O973" t="str">
        <f t="shared" si="77"/>
        <v>A surveiller</v>
      </c>
      <c r="P973" t="str">
        <f t="shared" si="78"/>
        <v>Hors Data</v>
      </c>
      <c r="Q973">
        <f t="shared" si="79"/>
        <v>11.392500000000002</v>
      </c>
      <c r="R973" t="str" cm="1">
        <f t="array" ref="R973">_xlfn.IFS(Q973&gt;=16, "Excellent",Q973&gt;=14, "Très bien", Q973&gt;=12, "Bien", Q973&gt;=10, "Passable", Q973&lt;10, "Insuffisant")</f>
        <v>Passable</v>
      </c>
    </row>
    <row r="974" spans="1:18">
      <c r="A974" t="s">
        <v>1307</v>
      </c>
      <c r="B974" t="s">
        <v>521</v>
      </c>
      <c r="C974" t="s">
        <v>20</v>
      </c>
      <c r="D974" t="s">
        <v>21</v>
      </c>
      <c r="E974" t="s">
        <v>48</v>
      </c>
      <c r="F974">
        <v>8.83</v>
      </c>
      <c r="G974">
        <v>16.05</v>
      </c>
      <c r="H974">
        <v>8.42</v>
      </c>
      <c r="I974">
        <v>10.3</v>
      </c>
      <c r="J974" s="4">
        <v>0.73939999999999995</v>
      </c>
      <c r="K974">
        <v>60000</v>
      </c>
      <c r="L974" s="2">
        <v>46058</v>
      </c>
      <c r="M974" t="str">
        <f t="shared" si="75"/>
        <v>Non admis</v>
      </c>
      <c r="N974" t="str">
        <f t="shared" si="76"/>
        <v>Non Eligible</v>
      </c>
      <c r="O974" t="str">
        <f t="shared" si="77"/>
        <v>A surveiller</v>
      </c>
      <c r="P974" t="str">
        <f t="shared" si="78"/>
        <v>Hors Data</v>
      </c>
      <c r="Q974">
        <f t="shared" si="79"/>
        <v>10.900000000000002</v>
      </c>
      <c r="R974" t="str" cm="1">
        <f t="array" ref="R974">_xlfn.IFS(Q974&gt;=16, "Excellent",Q974&gt;=14, "Très bien", Q974&gt;=12, "Bien", Q974&gt;=10, "Passable", Q974&lt;10, "Insuffisant")</f>
        <v>Passable</v>
      </c>
    </row>
    <row r="975" spans="1:18">
      <c r="A975" t="s">
        <v>1308</v>
      </c>
      <c r="B975" t="s">
        <v>337</v>
      </c>
      <c r="C975" t="s">
        <v>20</v>
      </c>
      <c r="D975" t="s">
        <v>21</v>
      </c>
      <c r="E975" t="s">
        <v>35</v>
      </c>
      <c r="F975">
        <v>8.1</v>
      </c>
      <c r="G975">
        <v>12.94</v>
      </c>
      <c r="H975">
        <v>12.2</v>
      </c>
      <c r="I975">
        <v>8.52</v>
      </c>
      <c r="J975" s="4">
        <v>0.55000000000000004</v>
      </c>
      <c r="K975">
        <v>60000</v>
      </c>
      <c r="L975" s="2">
        <v>46109</v>
      </c>
      <c r="M975" t="str">
        <f t="shared" si="75"/>
        <v>Admis</v>
      </c>
      <c r="N975" t="str">
        <f t="shared" si="76"/>
        <v>Non Eligible</v>
      </c>
      <c r="O975" t="str">
        <f t="shared" si="77"/>
        <v>A surveiller</v>
      </c>
      <c r="P975" t="str">
        <f t="shared" si="78"/>
        <v>Hors Data</v>
      </c>
      <c r="Q975">
        <f t="shared" si="79"/>
        <v>10.439999999999998</v>
      </c>
      <c r="R975" t="str" cm="1">
        <f t="array" ref="R975">_xlfn.IFS(Q975&gt;=16, "Excellent",Q975&gt;=14, "Très bien", Q975&gt;=12, "Bien", Q975&gt;=10, "Passable", Q975&lt;10, "Insuffisant")</f>
        <v>Passable</v>
      </c>
    </row>
    <row r="976" spans="1:18">
      <c r="A976" t="s">
        <v>1309</v>
      </c>
      <c r="B976" t="s">
        <v>1310</v>
      </c>
      <c r="C976" t="s">
        <v>20</v>
      </c>
      <c r="D976" t="s">
        <v>21</v>
      </c>
      <c r="E976" t="s">
        <v>22</v>
      </c>
      <c r="F976">
        <v>11.88</v>
      </c>
      <c r="G976">
        <v>14.22</v>
      </c>
      <c r="H976">
        <v>13.76</v>
      </c>
      <c r="I976">
        <v>17.3</v>
      </c>
      <c r="J976" s="4">
        <v>0.64019999999999999</v>
      </c>
      <c r="K976">
        <v>110000</v>
      </c>
      <c r="L976" s="2">
        <v>46010</v>
      </c>
      <c r="M976" t="str">
        <f t="shared" si="75"/>
        <v>Admis</v>
      </c>
      <c r="N976" t="str">
        <f t="shared" si="76"/>
        <v>Non Eligible</v>
      </c>
      <c r="O976" t="str">
        <f t="shared" si="77"/>
        <v>RAS</v>
      </c>
      <c r="P976" t="str">
        <f t="shared" si="78"/>
        <v>Data</v>
      </c>
      <c r="Q976">
        <f t="shared" si="79"/>
        <v>14.29</v>
      </c>
      <c r="R976" t="str" cm="1">
        <f t="array" ref="R976">_xlfn.IFS(Q976&gt;=16, "Excellent",Q976&gt;=14, "Très bien", Q976&gt;=12, "Bien", Q976&gt;=10, "Passable", Q976&lt;10, "Insuffisant")</f>
        <v>Très bien</v>
      </c>
    </row>
    <row r="977" spans="1:18">
      <c r="A977" t="s">
        <v>1311</v>
      </c>
      <c r="B977" t="s">
        <v>514</v>
      </c>
      <c r="C977" t="s">
        <v>20</v>
      </c>
      <c r="D977" t="s">
        <v>41</v>
      </c>
      <c r="E977" t="s">
        <v>22</v>
      </c>
      <c r="F977">
        <v>9.86</v>
      </c>
      <c r="G977">
        <v>9.99</v>
      </c>
      <c r="H977">
        <v>8.39</v>
      </c>
      <c r="I977">
        <v>8.34</v>
      </c>
      <c r="J977" s="4">
        <v>0.87709999999999999</v>
      </c>
      <c r="K977">
        <v>100000</v>
      </c>
      <c r="L977" s="2">
        <v>45885</v>
      </c>
      <c r="M977" t="str">
        <f t="shared" si="75"/>
        <v>Non admis</v>
      </c>
      <c r="N977" t="str">
        <f t="shared" si="76"/>
        <v>Non Eligible</v>
      </c>
      <c r="O977" t="str">
        <f t="shared" si="77"/>
        <v>A surveiller</v>
      </c>
      <c r="P977" t="str">
        <f t="shared" si="78"/>
        <v>Data</v>
      </c>
      <c r="Q977">
        <f t="shared" si="79"/>
        <v>9.1449999999999996</v>
      </c>
      <c r="R977" t="str" cm="1">
        <f t="array" ref="R977">_xlfn.IFS(Q977&gt;=16, "Excellent",Q977&gt;=14, "Très bien", Q977&gt;=12, "Bien", Q977&gt;=10, "Passable", Q977&lt;10, "Insuffisant")</f>
        <v>Insuffisant</v>
      </c>
    </row>
    <row r="978" spans="1:18">
      <c r="A978" t="s">
        <v>1312</v>
      </c>
      <c r="B978" t="s">
        <v>410</v>
      </c>
      <c r="C978" t="s">
        <v>20</v>
      </c>
      <c r="D978" t="s">
        <v>41</v>
      </c>
      <c r="E978" t="s">
        <v>48</v>
      </c>
      <c r="F978">
        <v>8.75</v>
      </c>
      <c r="G978">
        <v>9.06</v>
      </c>
      <c r="H978">
        <v>7.8</v>
      </c>
      <c r="I978">
        <v>4.3899999999999997</v>
      </c>
      <c r="J978" s="4">
        <v>0.96530000000000005</v>
      </c>
      <c r="K978">
        <v>70000</v>
      </c>
      <c r="L978" s="2">
        <v>45674</v>
      </c>
      <c r="M978" t="str">
        <f t="shared" si="75"/>
        <v>Non admis</v>
      </c>
      <c r="N978" t="str">
        <f t="shared" si="76"/>
        <v>Non Eligible</v>
      </c>
      <c r="O978" t="str">
        <f t="shared" si="77"/>
        <v>A surveiller</v>
      </c>
      <c r="P978" t="str">
        <f t="shared" si="78"/>
        <v>Hors Data</v>
      </c>
      <c r="Q978">
        <f t="shared" si="79"/>
        <v>7.5000000000000009</v>
      </c>
      <c r="R978" t="str" cm="1">
        <f t="array" ref="R978">_xlfn.IFS(Q978&gt;=16, "Excellent",Q978&gt;=14, "Très bien", Q978&gt;=12, "Bien", Q978&gt;=10, "Passable", Q978&lt;10, "Insuffisant")</f>
        <v>Insuffisant</v>
      </c>
    </row>
    <row r="979" spans="1:18">
      <c r="A979" t="s">
        <v>1313</v>
      </c>
      <c r="B979" t="s">
        <v>96</v>
      </c>
      <c r="C979" t="s">
        <v>25</v>
      </c>
      <c r="D979" t="s">
        <v>21</v>
      </c>
      <c r="E979" t="s">
        <v>48</v>
      </c>
      <c r="F979">
        <v>15.2</v>
      </c>
      <c r="G979">
        <v>16.52</v>
      </c>
      <c r="H979">
        <v>9.99</v>
      </c>
      <c r="I979">
        <v>14.09</v>
      </c>
      <c r="J979" s="4">
        <v>0.69869999999999999</v>
      </c>
      <c r="K979">
        <v>75000</v>
      </c>
      <c r="L979" s="2">
        <v>45559</v>
      </c>
      <c r="M979" t="str">
        <f t="shared" si="75"/>
        <v>Non admis</v>
      </c>
      <c r="N979" t="str">
        <f t="shared" si="76"/>
        <v>Non Eligible</v>
      </c>
      <c r="O979" t="str">
        <f t="shared" si="77"/>
        <v>A surveiller</v>
      </c>
      <c r="P979" t="str">
        <f t="shared" si="78"/>
        <v>Hors Data</v>
      </c>
      <c r="Q979">
        <f t="shared" si="79"/>
        <v>13.95</v>
      </c>
      <c r="R979" t="str" cm="1">
        <f t="array" ref="R979">_xlfn.IFS(Q979&gt;=16, "Excellent",Q979&gt;=14, "Très bien", Q979&gt;=12, "Bien", Q979&gt;=10, "Passable", Q979&lt;10, "Insuffisant")</f>
        <v>Bien</v>
      </c>
    </row>
    <row r="980" spans="1:18">
      <c r="A980" t="s">
        <v>1314</v>
      </c>
      <c r="B980" t="s">
        <v>253</v>
      </c>
      <c r="C980" t="s">
        <v>20</v>
      </c>
      <c r="D980" t="s">
        <v>41</v>
      </c>
      <c r="E980" t="s">
        <v>35</v>
      </c>
      <c r="F980">
        <v>9.1300000000000008</v>
      </c>
      <c r="G980">
        <v>9.81</v>
      </c>
      <c r="H980">
        <v>6.38</v>
      </c>
      <c r="I980">
        <v>7.88</v>
      </c>
      <c r="J980" s="4">
        <v>0.69350000000000001</v>
      </c>
      <c r="K980">
        <v>130000</v>
      </c>
      <c r="L980" s="2">
        <v>45975</v>
      </c>
      <c r="M980" t="str">
        <f t="shared" si="75"/>
        <v>Non admis</v>
      </c>
      <c r="N980" t="str">
        <f t="shared" si="76"/>
        <v>Non Eligible</v>
      </c>
      <c r="O980" t="str">
        <f t="shared" si="77"/>
        <v>A surveiller</v>
      </c>
      <c r="P980" t="str">
        <f t="shared" si="78"/>
        <v>Hors Data</v>
      </c>
      <c r="Q980">
        <f t="shared" si="79"/>
        <v>8.3000000000000007</v>
      </c>
      <c r="R980" t="str" cm="1">
        <f t="array" ref="R980">_xlfn.IFS(Q980&gt;=16, "Excellent",Q980&gt;=14, "Très bien", Q980&gt;=12, "Bien", Q980&gt;=10, "Passable", Q980&lt;10, "Insuffisant")</f>
        <v>Insuffisant</v>
      </c>
    </row>
    <row r="981" spans="1:18">
      <c r="A981" t="s">
        <v>1315</v>
      </c>
      <c r="B981" t="s">
        <v>213</v>
      </c>
      <c r="C981" t="s">
        <v>25</v>
      </c>
      <c r="D981" t="s">
        <v>34</v>
      </c>
      <c r="E981" t="s">
        <v>35</v>
      </c>
      <c r="F981">
        <v>10.41</v>
      </c>
      <c r="G981">
        <v>12.79</v>
      </c>
      <c r="H981">
        <v>8.3800000000000008</v>
      </c>
      <c r="I981">
        <v>15.78</v>
      </c>
      <c r="J981" s="4">
        <v>0.8115</v>
      </c>
      <c r="K981">
        <v>90000</v>
      </c>
      <c r="L981" s="2">
        <v>46014</v>
      </c>
      <c r="M981" t="str">
        <f t="shared" si="75"/>
        <v>Non admis</v>
      </c>
      <c r="N981" t="str">
        <f t="shared" si="76"/>
        <v>Non Eligible</v>
      </c>
      <c r="O981" t="str">
        <f t="shared" si="77"/>
        <v>A surveiller</v>
      </c>
      <c r="P981" t="str">
        <f t="shared" si="78"/>
        <v>Hors Data</v>
      </c>
      <c r="Q981">
        <f t="shared" si="79"/>
        <v>11.84</v>
      </c>
      <c r="R981" t="str" cm="1">
        <f t="array" ref="R981">_xlfn.IFS(Q981&gt;=16, "Excellent",Q981&gt;=14, "Très bien", Q981&gt;=12, "Bien", Q981&gt;=10, "Passable", Q981&lt;10, "Insuffisant")</f>
        <v>Passable</v>
      </c>
    </row>
    <row r="982" spans="1:18">
      <c r="A982" t="s">
        <v>1316</v>
      </c>
      <c r="B982" t="s">
        <v>166</v>
      </c>
      <c r="C982" t="s">
        <v>25</v>
      </c>
      <c r="D982" t="s">
        <v>21</v>
      </c>
      <c r="E982" t="s">
        <v>27</v>
      </c>
      <c r="F982">
        <v>6.37</v>
      </c>
      <c r="G982">
        <v>11.47</v>
      </c>
      <c r="H982">
        <v>8.81</v>
      </c>
      <c r="I982">
        <v>9.6999999999999993</v>
      </c>
      <c r="J982" s="4">
        <v>0.72199999999999998</v>
      </c>
      <c r="K982">
        <v>70000</v>
      </c>
      <c r="L982" s="2">
        <v>46076</v>
      </c>
      <c r="M982" t="str">
        <f t="shared" si="75"/>
        <v>Non admis</v>
      </c>
      <c r="N982" t="str">
        <f t="shared" si="76"/>
        <v>Non Eligible</v>
      </c>
      <c r="O982" t="str">
        <f t="shared" si="77"/>
        <v>A surveiller</v>
      </c>
      <c r="P982" t="str">
        <f t="shared" si="78"/>
        <v>Hors Data</v>
      </c>
      <c r="Q982">
        <f t="shared" si="79"/>
        <v>9.0874999999999986</v>
      </c>
      <c r="R982" t="str" cm="1">
        <f t="array" ref="R982">_xlfn.IFS(Q982&gt;=16, "Excellent",Q982&gt;=14, "Très bien", Q982&gt;=12, "Bien", Q982&gt;=10, "Passable", Q982&lt;10, "Insuffisant")</f>
        <v>Insuffisant</v>
      </c>
    </row>
    <row r="983" spans="1:18">
      <c r="A983" t="s">
        <v>1317</v>
      </c>
      <c r="B983" t="s">
        <v>1009</v>
      </c>
      <c r="C983" t="s">
        <v>25</v>
      </c>
      <c r="D983" t="s">
        <v>53</v>
      </c>
      <c r="E983" t="s">
        <v>27</v>
      </c>
      <c r="F983">
        <v>11.22</v>
      </c>
      <c r="G983">
        <v>10.74</v>
      </c>
      <c r="H983">
        <v>14.25</v>
      </c>
      <c r="I983">
        <v>12.82</v>
      </c>
      <c r="J983" s="4">
        <v>0.65639999999999998</v>
      </c>
      <c r="K983">
        <v>130000</v>
      </c>
      <c r="L983" s="2">
        <v>46201</v>
      </c>
      <c r="M983" t="str">
        <f t="shared" si="75"/>
        <v>Admis</v>
      </c>
      <c r="N983" t="str">
        <f t="shared" si="76"/>
        <v>Non Eligible</v>
      </c>
      <c r="O983" t="str">
        <f t="shared" si="77"/>
        <v>RAS</v>
      </c>
      <c r="P983" t="str">
        <f t="shared" si="78"/>
        <v>Hors Data</v>
      </c>
      <c r="Q983">
        <f t="shared" si="79"/>
        <v>12.2575</v>
      </c>
      <c r="R983" t="str" cm="1">
        <f t="array" ref="R983">_xlfn.IFS(Q983&gt;=16, "Excellent",Q983&gt;=14, "Très bien", Q983&gt;=12, "Bien", Q983&gt;=10, "Passable", Q983&lt;10, "Insuffisant")</f>
        <v>Bien</v>
      </c>
    </row>
    <row r="984" spans="1:18">
      <c r="A984" t="s">
        <v>1318</v>
      </c>
      <c r="B984" t="s">
        <v>98</v>
      </c>
      <c r="C984" t="s">
        <v>25</v>
      </c>
      <c r="D984" t="s">
        <v>34</v>
      </c>
      <c r="E984" t="s">
        <v>35</v>
      </c>
      <c r="F984">
        <v>19.16</v>
      </c>
      <c r="G984">
        <v>19.149999999999999</v>
      </c>
      <c r="H984">
        <v>17.690000000000001</v>
      </c>
      <c r="I984">
        <v>20</v>
      </c>
      <c r="J984" s="4">
        <v>0.73260000000000003</v>
      </c>
      <c r="K984">
        <v>70000</v>
      </c>
      <c r="L984" s="2">
        <v>45884</v>
      </c>
      <c r="M984" t="str">
        <f t="shared" si="75"/>
        <v>Admis</v>
      </c>
      <c r="N984" t="str">
        <f t="shared" si="76"/>
        <v>Non Eligible</v>
      </c>
      <c r="O984" t="str">
        <f t="shared" si="77"/>
        <v>RAS</v>
      </c>
      <c r="P984" t="str">
        <f t="shared" si="78"/>
        <v>Hors Data</v>
      </c>
      <c r="Q984">
        <f t="shared" si="79"/>
        <v>19</v>
      </c>
      <c r="R984" t="str" cm="1">
        <f t="array" ref="R984">_xlfn.IFS(Q984&gt;=16, "Excellent",Q984&gt;=14, "Très bien", Q984&gt;=12, "Bien", Q984&gt;=10, "Passable", Q984&lt;10, "Insuffisant")</f>
        <v>Excellent</v>
      </c>
    </row>
    <row r="985" spans="1:18">
      <c r="A985" t="s">
        <v>1319</v>
      </c>
      <c r="B985" t="s">
        <v>589</v>
      </c>
      <c r="C985" t="s">
        <v>25</v>
      </c>
      <c r="D985" t="s">
        <v>34</v>
      </c>
      <c r="E985" t="s">
        <v>22</v>
      </c>
      <c r="F985">
        <v>14.06</v>
      </c>
      <c r="G985">
        <v>14.36</v>
      </c>
      <c r="H985">
        <v>14.88</v>
      </c>
      <c r="I985">
        <v>12.41</v>
      </c>
      <c r="J985" s="4">
        <v>0.94850000000000001</v>
      </c>
      <c r="K985">
        <v>75000</v>
      </c>
      <c r="L985" s="2">
        <v>46116</v>
      </c>
      <c r="M985" t="str">
        <f t="shared" si="75"/>
        <v>Admis</v>
      </c>
      <c r="N985" t="str">
        <f t="shared" si="76"/>
        <v>Eligible</v>
      </c>
      <c r="O985" t="str">
        <f t="shared" si="77"/>
        <v>RAS</v>
      </c>
      <c r="P985" t="str">
        <f t="shared" si="78"/>
        <v>Data</v>
      </c>
      <c r="Q985">
        <f t="shared" si="79"/>
        <v>13.927500000000002</v>
      </c>
      <c r="R985" t="str" cm="1">
        <f t="array" ref="R985">_xlfn.IFS(Q985&gt;=16, "Excellent",Q985&gt;=14, "Très bien", Q985&gt;=12, "Bien", Q985&gt;=10, "Passable", Q985&lt;10, "Insuffisant")</f>
        <v>Bien</v>
      </c>
    </row>
    <row r="986" spans="1:18">
      <c r="A986" t="s">
        <v>1320</v>
      </c>
      <c r="B986" t="s">
        <v>1321</v>
      </c>
      <c r="C986" t="s">
        <v>25</v>
      </c>
      <c r="D986" t="s">
        <v>41</v>
      </c>
      <c r="E986" t="s">
        <v>35</v>
      </c>
      <c r="F986">
        <v>18.82</v>
      </c>
      <c r="G986">
        <v>18.37</v>
      </c>
      <c r="H986">
        <v>12.55</v>
      </c>
      <c r="I986">
        <v>12.45</v>
      </c>
      <c r="J986" s="4">
        <v>0.66259999999999997</v>
      </c>
      <c r="K986">
        <v>100000</v>
      </c>
      <c r="L986" s="2">
        <v>46037</v>
      </c>
      <c r="M986" t="str">
        <f t="shared" si="75"/>
        <v>Admis</v>
      </c>
      <c r="N986" t="str">
        <f t="shared" si="76"/>
        <v>Non Eligible</v>
      </c>
      <c r="O986" t="str">
        <f t="shared" si="77"/>
        <v>RAS</v>
      </c>
      <c r="P986" t="str">
        <f t="shared" si="78"/>
        <v>Hors Data</v>
      </c>
      <c r="Q986">
        <f t="shared" si="79"/>
        <v>15.547499999999999</v>
      </c>
      <c r="R986" t="str" cm="1">
        <f t="array" ref="R986">_xlfn.IFS(Q986&gt;=16, "Excellent",Q986&gt;=14, "Très bien", Q986&gt;=12, "Bien", Q986&gt;=10, "Passable", Q986&lt;10, "Insuffisant")</f>
        <v>Très bien</v>
      </c>
    </row>
    <row r="987" spans="1:18">
      <c r="A987" t="s">
        <v>1322</v>
      </c>
      <c r="B987" t="s">
        <v>24</v>
      </c>
      <c r="C987" t="s">
        <v>25</v>
      </c>
      <c r="D987" t="s">
        <v>26</v>
      </c>
      <c r="E987" t="s">
        <v>48</v>
      </c>
      <c r="F987">
        <v>11.26</v>
      </c>
      <c r="G987">
        <v>8.4</v>
      </c>
      <c r="H987">
        <v>10.4</v>
      </c>
      <c r="I987">
        <v>10.06</v>
      </c>
      <c r="J987" s="4">
        <v>0.97289999999999999</v>
      </c>
      <c r="K987">
        <v>85000</v>
      </c>
      <c r="L987" s="2">
        <v>45730</v>
      </c>
      <c r="M987" t="str">
        <f t="shared" si="75"/>
        <v>Admis</v>
      </c>
      <c r="N987" t="str">
        <f t="shared" si="76"/>
        <v>Non Eligible</v>
      </c>
      <c r="O987" t="str">
        <f t="shared" si="77"/>
        <v>RAS</v>
      </c>
      <c r="P987" t="str">
        <f t="shared" si="78"/>
        <v>Hors Data</v>
      </c>
      <c r="Q987">
        <f t="shared" si="79"/>
        <v>10.030000000000001</v>
      </c>
      <c r="R987" t="str" cm="1">
        <f t="array" ref="R987">_xlfn.IFS(Q987&gt;=16, "Excellent",Q987&gt;=14, "Très bien", Q987&gt;=12, "Bien", Q987&gt;=10, "Passable", Q987&lt;10, "Insuffisant")</f>
        <v>Passable</v>
      </c>
    </row>
    <row r="988" spans="1:18">
      <c r="A988" t="s">
        <v>1323</v>
      </c>
      <c r="B988" t="s">
        <v>908</v>
      </c>
      <c r="C988" t="s">
        <v>25</v>
      </c>
      <c r="D988" t="s">
        <v>53</v>
      </c>
      <c r="E988" t="s">
        <v>48</v>
      </c>
      <c r="F988">
        <v>13.4</v>
      </c>
      <c r="G988">
        <v>12.18</v>
      </c>
      <c r="H988">
        <v>9.61</v>
      </c>
      <c r="I988">
        <v>12.83</v>
      </c>
      <c r="J988" s="4">
        <v>0.77700000000000002</v>
      </c>
      <c r="K988">
        <v>50000</v>
      </c>
      <c r="L988" s="2">
        <v>46127</v>
      </c>
      <c r="M988" t="str">
        <f t="shared" si="75"/>
        <v>Non admis</v>
      </c>
      <c r="N988" t="str">
        <f t="shared" si="76"/>
        <v>Non Eligible</v>
      </c>
      <c r="O988" t="str">
        <f t="shared" si="77"/>
        <v>A surveiller</v>
      </c>
      <c r="P988" t="str">
        <f t="shared" si="78"/>
        <v>Hors Data</v>
      </c>
      <c r="Q988">
        <f t="shared" si="79"/>
        <v>12.004999999999999</v>
      </c>
      <c r="R988" t="str" cm="1">
        <f t="array" ref="R988">_xlfn.IFS(Q988&gt;=16, "Excellent",Q988&gt;=14, "Très bien", Q988&gt;=12, "Bien", Q988&gt;=10, "Passable", Q988&lt;10, "Insuffisant")</f>
        <v>Bien</v>
      </c>
    </row>
    <row r="989" spans="1:18">
      <c r="A989" t="s">
        <v>1324</v>
      </c>
      <c r="B989" t="s">
        <v>575</v>
      </c>
      <c r="C989" t="s">
        <v>20</v>
      </c>
      <c r="D989" t="s">
        <v>34</v>
      </c>
      <c r="E989" t="s">
        <v>22</v>
      </c>
      <c r="F989">
        <v>11.99</v>
      </c>
      <c r="G989">
        <v>12.6</v>
      </c>
      <c r="H989">
        <v>14.39</v>
      </c>
      <c r="I989">
        <v>10.9</v>
      </c>
      <c r="J989" s="4">
        <v>0.85909999999999997</v>
      </c>
      <c r="K989">
        <v>110000</v>
      </c>
      <c r="L989" s="2">
        <v>45573</v>
      </c>
      <c r="M989" t="str">
        <f t="shared" si="75"/>
        <v>Admis</v>
      </c>
      <c r="N989" t="str">
        <f t="shared" si="76"/>
        <v>Non Eligible</v>
      </c>
      <c r="O989" t="str">
        <f t="shared" si="77"/>
        <v>RAS</v>
      </c>
      <c r="P989" t="str">
        <f t="shared" si="78"/>
        <v>Data</v>
      </c>
      <c r="Q989">
        <f t="shared" si="79"/>
        <v>12.47</v>
      </c>
      <c r="R989" t="str" cm="1">
        <f t="array" ref="R989">_xlfn.IFS(Q989&gt;=16, "Excellent",Q989&gt;=14, "Très bien", Q989&gt;=12, "Bien", Q989&gt;=10, "Passable", Q989&lt;10, "Insuffisant")</f>
        <v>Bien</v>
      </c>
    </row>
    <row r="990" spans="1:18">
      <c r="A990" t="s">
        <v>1325</v>
      </c>
      <c r="B990" t="s">
        <v>241</v>
      </c>
      <c r="C990" t="s">
        <v>20</v>
      </c>
      <c r="D990" t="s">
        <v>26</v>
      </c>
      <c r="E990" t="s">
        <v>22</v>
      </c>
      <c r="F990">
        <v>9.5</v>
      </c>
      <c r="G990">
        <v>12.61</v>
      </c>
      <c r="H990">
        <v>10.95</v>
      </c>
      <c r="I990">
        <v>8.0500000000000007</v>
      </c>
      <c r="J990" s="4">
        <v>0.66690000000000005</v>
      </c>
      <c r="K990">
        <v>70000</v>
      </c>
      <c r="L990" s="2">
        <v>45955</v>
      </c>
      <c r="M990" t="str">
        <f t="shared" si="75"/>
        <v>Admis</v>
      </c>
      <c r="N990" t="str">
        <f t="shared" si="76"/>
        <v>Non Eligible</v>
      </c>
      <c r="O990" t="str">
        <f t="shared" si="77"/>
        <v>A surveiller</v>
      </c>
      <c r="P990" t="str">
        <f t="shared" si="78"/>
        <v>Data</v>
      </c>
      <c r="Q990">
        <f t="shared" si="79"/>
        <v>10.2775</v>
      </c>
      <c r="R990" t="str" cm="1">
        <f t="array" ref="R990">_xlfn.IFS(Q990&gt;=16, "Excellent",Q990&gt;=14, "Très bien", Q990&gt;=12, "Bien", Q990&gt;=10, "Passable", Q990&lt;10, "Insuffisant")</f>
        <v>Passable</v>
      </c>
    </row>
    <row r="991" spans="1:18">
      <c r="A991" t="s">
        <v>1326</v>
      </c>
      <c r="B991" t="s">
        <v>404</v>
      </c>
      <c r="C991" t="s">
        <v>25</v>
      </c>
      <c r="D991" t="s">
        <v>21</v>
      </c>
      <c r="E991" t="s">
        <v>35</v>
      </c>
      <c r="F991">
        <v>15.83</v>
      </c>
      <c r="G991">
        <v>19.45</v>
      </c>
      <c r="H991">
        <v>20</v>
      </c>
      <c r="I991">
        <v>10.36</v>
      </c>
      <c r="J991" s="4">
        <v>0.90310000000000001</v>
      </c>
      <c r="K991">
        <v>100000</v>
      </c>
      <c r="L991" s="2">
        <v>46194</v>
      </c>
      <c r="M991" t="str">
        <f t="shared" si="75"/>
        <v>Admis</v>
      </c>
      <c r="N991" t="str">
        <f t="shared" si="76"/>
        <v>Eligible</v>
      </c>
      <c r="O991" t="str">
        <f t="shared" si="77"/>
        <v>RAS</v>
      </c>
      <c r="P991" t="str">
        <f t="shared" si="78"/>
        <v>Hors Data</v>
      </c>
      <c r="Q991">
        <f t="shared" si="79"/>
        <v>16.41</v>
      </c>
      <c r="R991" t="str" cm="1">
        <f t="array" ref="R991">_xlfn.IFS(Q991&gt;=16, "Excellent",Q991&gt;=14, "Très bien", Q991&gt;=12, "Bien", Q991&gt;=10, "Passable", Q991&lt;10, "Insuffisant")</f>
        <v>Excellent</v>
      </c>
    </row>
    <row r="992" spans="1:18">
      <c r="A992" t="s">
        <v>1327</v>
      </c>
      <c r="B992" t="s">
        <v>632</v>
      </c>
      <c r="C992" t="s">
        <v>20</v>
      </c>
      <c r="D992" t="s">
        <v>21</v>
      </c>
      <c r="E992" t="s">
        <v>27</v>
      </c>
      <c r="F992">
        <v>8.43</v>
      </c>
      <c r="G992">
        <v>14.11</v>
      </c>
      <c r="H992">
        <v>11.72</v>
      </c>
      <c r="I992">
        <v>11.34</v>
      </c>
      <c r="J992" s="4">
        <v>0.6804</v>
      </c>
      <c r="K992">
        <v>75000</v>
      </c>
      <c r="L992" s="2">
        <v>45997</v>
      </c>
      <c r="M992" t="str">
        <f t="shared" si="75"/>
        <v>Admis</v>
      </c>
      <c r="N992" t="str">
        <f t="shared" si="76"/>
        <v>Non Eligible</v>
      </c>
      <c r="O992" t="str">
        <f t="shared" si="77"/>
        <v>A surveiller</v>
      </c>
      <c r="P992" t="str">
        <f t="shared" si="78"/>
        <v>Hors Data</v>
      </c>
      <c r="Q992">
        <f t="shared" si="79"/>
        <v>11.399999999999999</v>
      </c>
      <c r="R992" t="str" cm="1">
        <f t="array" ref="R992">_xlfn.IFS(Q992&gt;=16, "Excellent",Q992&gt;=14, "Très bien", Q992&gt;=12, "Bien", Q992&gt;=10, "Passable", Q992&lt;10, "Insuffisant")</f>
        <v>Passable</v>
      </c>
    </row>
    <row r="993" spans="1:18">
      <c r="A993" t="s">
        <v>1328</v>
      </c>
      <c r="B993" t="s">
        <v>218</v>
      </c>
      <c r="C993" t="s">
        <v>25</v>
      </c>
      <c r="D993" t="s">
        <v>26</v>
      </c>
      <c r="E993" t="s">
        <v>22</v>
      </c>
      <c r="F993">
        <v>13.8</v>
      </c>
      <c r="G993">
        <v>13.55</v>
      </c>
      <c r="H993">
        <v>11.59</v>
      </c>
      <c r="I993">
        <v>12.02</v>
      </c>
      <c r="J993" s="4">
        <v>0.87019999999999997</v>
      </c>
      <c r="K993">
        <v>110000</v>
      </c>
      <c r="L993" s="2">
        <v>46191</v>
      </c>
      <c r="M993" t="str">
        <f t="shared" si="75"/>
        <v>Admis</v>
      </c>
      <c r="N993" t="str">
        <f t="shared" si="76"/>
        <v>Non Eligible</v>
      </c>
      <c r="O993" t="str">
        <f t="shared" si="77"/>
        <v>RAS</v>
      </c>
      <c r="P993" t="str">
        <f t="shared" si="78"/>
        <v>Data</v>
      </c>
      <c r="Q993">
        <f t="shared" si="79"/>
        <v>12.739999999999998</v>
      </c>
      <c r="R993" t="str" cm="1">
        <f t="array" ref="R993">_xlfn.IFS(Q993&gt;=16, "Excellent",Q993&gt;=14, "Très bien", Q993&gt;=12, "Bien", Q993&gt;=10, "Passable", Q993&lt;10, "Insuffisant")</f>
        <v>Bien</v>
      </c>
    </row>
    <row r="994" spans="1:18">
      <c r="A994" t="s">
        <v>1329</v>
      </c>
      <c r="B994" t="s">
        <v>1330</v>
      </c>
      <c r="C994" t="s">
        <v>20</v>
      </c>
      <c r="D994" t="s">
        <v>34</v>
      </c>
      <c r="E994" t="s">
        <v>35</v>
      </c>
      <c r="F994">
        <v>12.64</v>
      </c>
      <c r="G994">
        <v>13.52</v>
      </c>
      <c r="H994">
        <v>13.57</v>
      </c>
      <c r="I994">
        <v>11.4</v>
      </c>
      <c r="J994" s="4">
        <v>0.87929999999999997</v>
      </c>
      <c r="K994">
        <v>120000</v>
      </c>
      <c r="L994" s="2">
        <v>45575</v>
      </c>
      <c r="M994" t="str">
        <f t="shared" si="75"/>
        <v>Admis</v>
      </c>
      <c r="N994" t="str">
        <f t="shared" si="76"/>
        <v>Eligible</v>
      </c>
      <c r="O994" t="str">
        <f t="shared" si="77"/>
        <v>RAS</v>
      </c>
      <c r="P994" t="str">
        <f t="shared" si="78"/>
        <v>Hors Data</v>
      </c>
      <c r="Q994">
        <f t="shared" si="79"/>
        <v>12.782500000000001</v>
      </c>
      <c r="R994" t="str" cm="1">
        <f t="array" ref="R994">_xlfn.IFS(Q994&gt;=16, "Excellent",Q994&gt;=14, "Très bien", Q994&gt;=12, "Bien", Q994&gt;=10, "Passable", Q994&lt;10, "Insuffisant")</f>
        <v>Bien</v>
      </c>
    </row>
    <row r="995" spans="1:18">
      <c r="A995" t="s">
        <v>1331</v>
      </c>
      <c r="B995" t="s">
        <v>382</v>
      </c>
      <c r="C995" t="s">
        <v>20</v>
      </c>
      <c r="D995" t="s">
        <v>26</v>
      </c>
      <c r="E995" t="s">
        <v>22</v>
      </c>
      <c r="F995">
        <v>11.57</v>
      </c>
      <c r="G995">
        <v>14.02</v>
      </c>
      <c r="H995">
        <v>18.86</v>
      </c>
      <c r="I995">
        <v>10.14</v>
      </c>
      <c r="J995" s="4">
        <v>0.94410000000000005</v>
      </c>
      <c r="K995">
        <v>110000</v>
      </c>
      <c r="L995" s="2">
        <v>45908</v>
      </c>
      <c r="M995" t="str">
        <f t="shared" si="75"/>
        <v>Admis</v>
      </c>
      <c r="N995" t="str">
        <f t="shared" si="76"/>
        <v>Non Eligible</v>
      </c>
      <c r="O995" t="str">
        <f t="shared" si="77"/>
        <v>RAS</v>
      </c>
      <c r="P995" t="str">
        <f t="shared" si="78"/>
        <v>Data</v>
      </c>
      <c r="Q995">
        <f t="shared" si="79"/>
        <v>13.647500000000001</v>
      </c>
      <c r="R995" t="str" cm="1">
        <f t="array" ref="R995">_xlfn.IFS(Q995&gt;=16, "Excellent",Q995&gt;=14, "Très bien", Q995&gt;=12, "Bien", Q995&gt;=10, "Passable", Q995&lt;10, "Insuffisant")</f>
        <v>Bien</v>
      </c>
    </row>
    <row r="996" spans="1:18">
      <c r="A996" t="s">
        <v>1332</v>
      </c>
      <c r="B996" t="s">
        <v>380</v>
      </c>
      <c r="C996" t="s">
        <v>25</v>
      </c>
      <c r="D996" t="s">
        <v>21</v>
      </c>
      <c r="E996" t="s">
        <v>22</v>
      </c>
      <c r="F996">
        <v>14.34</v>
      </c>
      <c r="G996">
        <v>13.27</v>
      </c>
      <c r="H996">
        <v>8.32</v>
      </c>
      <c r="I996">
        <v>9.19</v>
      </c>
      <c r="J996" s="4">
        <v>0.66180000000000005</v>
      </c>
      <c r="K996">
        <v>130000</v>
      </c>
      <c r="L996" s="2">
        <v>46082</v>
      </c>
      <c r="M996" t="str">
        <f t="shared" si="75"/>
        <v>Non admis</v>
      </c>
      <c r="N996" t="str">
        <f t="shared" si="76"/>
        <v>Non Eligible</v>
      </c>
      <c r="O996" t="str">
        <f t="shared" si="77"/>
        <v>A surveiller</v>
      </c>
      <c r="P996" t="str">
        <f t="shared" si="78"/>
        <v>Data</v>
      </c>
      <c r="Q996">
        <f t="shared" si="79"/>
        <v>11.28</v>
      </c>
      <c r="R996" t="str" cm="1">
        <f t="array" ref="R996">_xlfn.IFS(Q996&gt;=16, "Excellent",Q996&gt;=14, "Très bien", Q996&gt;=12, "Bien", Q996&gt;=10, "Passable", Q996&lt;10, "Insuffisant")</f>
        <v>Passable</v>
      </c>
    </row>
    <row r="997" spans="1:18">
      <c r="A997" t="s">
        <v>1333</v>
      </c>
      <c r="B997" t="s">
        <v>71</v>
      </c>
      <c r="C997" t="s">
        <v>25</v>
      </c>
      <c r="D997" t="s">
        <v>38</v>
      </c>
      <c r="E997" t="s">
        <v>48</v>
      </c>
      <c r="F997">
        <v>12.97</v>
      </c>
      <c r="G997">
        <v>13.83</v>
      </c>
      <c r="H997">
        <v>11.09</v>
      </c>
      <c r="I997">
        <v>11.59</v>
      </c>
      <c r="J997" s="4">
        <v>0.63160000000000005</v>
      </c>
      <c r="K997">
        <v>85000</v>
      </c>
      <c r="L997" s="2">
        <v>45985</v>
      </c>
      <c r="M997" t="str">
        <f t="shared" si="75"/>
        <v>Admis</v>
      </c>
      <c r="N997" t="str">
        <f t="shared" si="76"/>
        <v>Non Eligible</v>
      </c>
      <c r="O997" t="str">
        <f t="shared" si="77"/>
        <v>RAS</v>
      </c>
      <c r="P997" t="str">
        <f t="shared" si="78"/>
        <v>Hors Data</v>
      </c>
      <c r="Q997">
        <f t="shared" si="79"/>
        <v>12.370000000000001</v>
      </c>
      <c r="R997" t="str" cm="1">
        <f t="array" ref="R997">_xlfn.IFS(Q997&gt;=16, "Excellent",Q997&gt;=14, "Très bien", Q997&gt;=12, "Bien", Q997&gt;=10, "Passable", Q997&lt;10, "Insuffisant")</f>
        <v>Bien</v>
      </c>
    </row>
    <row r="998" spans="1:18">
      <c r="A998" t="s">
        <v>1334</v>
      </c>
      <c r="B998" t="s">
        <v>29</v>
      </c>
      <c r="C998" t="s">
        <v>25</v>
      </c>
      <c r="D998" t="s">
        <v>34</v>
      </c>
      <c r="E998" t="s">
        <v>35</v>
      </c>
      <c r="F998">
        <v>9.0299999999999994</v>
      </c>
      <c r="G998">
        <v>13.37</v>
      </c>
      <c r="H998">
        <v>12.52</v>
      </c>
      <c r="I998">
        <v>11.26</v>
      </c>
      <c r="J998" s="4">
        <v>0.87109999999999999</v>
      </c>
      <c r="K998">
        <v>50000</v>
      </c>
      <c r="L998" s="2">
        <v>46152</v>
      </c>
      <c r="M998" t="str">
        <f t="shared" si="75"/>
        <v>Admis</v>
      </c>
      <c r="N998" t="str">
        <f t="shared" si="76"/>
        <v>Non Eligible</v>
      </c>
      <c r="O998" t="str">
        <f t="shared" si="77"/>
        <v>A surveiller</v>
      </c>
      <c r="P998" t="str">
        <f t="shared" si="78"/>
        <v>Hors Data</v>
      </c>
      <c r="Q998">
        <f t="shared" si="79"/>
        <v>11.545</v>
      </c>
      <c r="R998" t="str" cm="1">
        <f t="array" ref="R998">_xlfn.IFS(Q998&gt;=16, "Excellent",Q998&gt;=14, "Très bien", Q998&gt;=12, "Bien", Q998&gt;=10, "Passable", Q998&lt;10, "Insuffisant")</f>
        <v>Passable</v>
      </c>
    </row>
    <row r="999" spans="1:18">
      <c r="A999" t="s">
        <v>1335</v>
      </c>
      <c r="B999" t="s">
        <v>378</v>
      </c>
      <c r="C999" t="s">
        <v>20</v>
      </c>
      <c r="D999" t="s">
        <v>41</v>
      </c>
      <c r="E999" t="s">
        <v>35</v>
      </c>
      <c r="F999">
        <v>11.33</v>
      </c>
      <c r="G999">
        <v>12.15</v>
      </c>
      <c r="H999">
        <v>10.73</v>
      </c>
      <c r="I999">
        <v>11.6</v>
      </c>
      <c r="J999" s="4">
        <v>0.96430000000000005</v>
      </c>
      <c r="K999">
        <v>85000</v>
      </c>
      <c r="L999" s="2">
        <v>45859</v>
      </c>
      <c r="M999" t="str">
        <f t="shared" si="75"/>
        <v>Admis</v>
      </c>
      <c r="N999" t="str">
        <f t="shared" si="76"/>
        <v>Non Eligible</v>
      </c>
      <c r="O999" t="str">
        <f t="shared" si="77"/>
        <v>RAS</v>
      </c>
      <c r="P999" t="str">
        <f t="shared" si="78"/>
        <v>Hors Data</v>
      </c>
      <c r="Q999">
        <f t="shared" si="79"/>
        <v>11.452500000000001</v>
      </c>
      <c r="R999" t="str" cm="1">
        <f t="array" ref="R999">_xlfn.IFS(Q999&gt;=16, "Excellent",Q999&gt;=14, "Très bien", Q999&gt;=12, "Bien", Q999&gt;=10, "Passable", Q999&lt;10, "Insuffisant")</f>
        <v>Passable</v>
      </c>
    </row>
    <row r="1000" spans="1:18">
      <c r="A1000" t="s">
        <v>1336</v>
      </c>
      <c r="B1000" t="s">
        <v>191</v>
      </c>
      <c r="C1000" t="s">
        <v>25</v>
      </c>
      <c r="D1000" t="s">
        <v>34</v>
      </c>
      <c r="E1000" t="s">
        <v>27</v>
      </c>
      <c r="F1000">
        <v>15.48</v>
      </c>
      <c r="G1000">
        <v>16.25</v>
      </c>
      <c r="H1000">
        <v>14.33</v>
      </c>
      <c r="I1000">
        <v>16.04</v>
      </c>
      <c r="J1000" s="4">
        <v>0.64580000000000004</v>
      </c>
      <c r="K1000">
        <v>85000</v>
      </c>
      <c r="L1000" s="2">
        <v>46013</v>
      </c>
      <c r="M1000" t="str">
        <f t="shared" si="75"/>
        <v>Admis</v>
      </c>
      <c r="N1000" t="str">
        <f t="shared" si="76"/>
        <v>Non Eligible</v>
      </c>
      <c r="O1000" t="str">
        <f t="shared" si="77"/>
        <v>RAS</v>
      </c>
      <c r="P1000" t="str">
        <f t="shared" si="78"/>
        <v>Hors Data</v>
      </c>
      <c r="Q1000">
        <f t="shared" si="79"/>
        <v>15.525</v>
      </c>
      <c r="R1000" t="str" cm="1">
        <f t="array" ref="R1000">_xlfn.IFS(Q1000&gt;=16, "Excellent",Q1000&gt;=14, "Très bien", Q1000&gt;=12, "Bien", Q1000&gt;=10, "Passable", Q1000&lt;10, "Insuffisant")</f>
        <v>Très bien</v>
      </c>
    </row>
    <row r="1001" spans="1:18">
      <c r="A1001" t="s">
        <v>1337</v>
      </c>
      <c r="B1001" t="s">
        <v>55</v>
      </c>
      <c r="C1001" t="s">
        <v>25</v>
      </c>
      <c r="D1001" t="s">
        <v>26</v>
      </c>
      <c r="E1001" t="s">
        <v>22</v>
      </c>
      <c r="F1001">
        <v>16.309999999999999</v>
      </c>
      <c r="G1001">
        <v>13.92</v>
      </c>
      <c r="H1001">
        <v>11.5</v>
      </c>
      <c r="I1001">
        <v>19.059999999999999</v>
      </c>
      <c r="J1001" s="4">
        <v>0.90300000000000002</v>
      </c>
      <c r="K1001">
        <v>100000</v>
      </c>
      <c r="L1001" s="2">
        <v>45829</v>
      </c>
      <c r="M1001" t="str">
        <f t="shared" si="75"/>
        <v>Admis</v>
      </c>
      <c r="N1001" t="str">
        <f t="shared" si="76"/>
        <v>Non Eligible</v>
      </c>
      <c r="O1001" t="str">
        <f t="shared" si="77"/>
        <v>RAS</v>
      </c>
      <c r="P1001" t="str">
        <f t="shared" si="78"/>
        <v>Data</v>
      </c>
      <c r="Q1001">
        <f t="shared" si="79"/>
        <v>15.197499999999998</v>
      </c>
      <c r="R1001" t="str" cm="1">
        <f t="array" ref="R1001">_xlfn.IFS(Q1001&gt;=16, "Excellent",Q1001&gt;=14, "Très bien", Q1001&gt;=12, "Bien", Q1001&gt;=10, "Passable", Q1001&lt;10, "Insuffisant")</f>
        <v>Très bien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199B-0477-4ECD-9B85-500716346C60}">
  <dimension ref="A1:C5"/>
  <sheetViews>
    <sheetView workbookViewId="0">
      <selection activeCell="C2" sqref="A1:C5"/>
    </sheetView>
  </sheetViews>
  <sheetFormatPr defaultRowHeight="15"/>
  <cols>
    <col min="1" max="1" width="5.5703125" bestFit="1" customWidth="1"/>
    <col min="2" max="2" width="8.28515625" bestFit="1" customWidth="1"/>
    <col min="3" max="3" width="14.42578125" bestFit="1" customWidth="1"/>
  </cols>
  <sheetData>
    <row r="1" spans="1:3">
      <c r="A1" s="8" t="s">
        <v>1338</v>
      </c>
      <c r="B1" s="8" t="s">
        <v>1339</v>
      </c>
      <c r="C1" s="8" t="s">
        <v>1340</v>
      </c>
    </row>
    <row r="2" spans="1:3">
      <c r="A2" s="8">
        <v>100</v>
      </c>
      <c r="B2" s="8">
        <v>10</v>
      </c>
      <c r="C2" s="8">
        <f>IFERROR(A2/B2,"Non disponible")</f>
        <v>10</v>
      </c>
    </row>
    <row r="3" spans="1:3">
      <c r="A3" s="8">
        <v>200</v>
      </c>
      <c r="B3" s="8">
        <v>20</v>
      </c>
      <c r="C3" s="8">
        <f t="shared" ref="C3:C5" si="0">IFERROR(A3/B3,"Non disponible")</f>
        <v>10</v>
      </c>
    </row>
    <row r="4" spans="1:3">
      <c r="A4" s="8">
        <v>150</v>
      </c>
      <c r="B4" s="8">
        <v>0</v>
      </c>
      <c r="C4" s="8" t="str">
        <f t="shared" si="0"/>
        <v>Non disponible</v>
      </c>
    </row>
    <row r="5" spans="1:3">
      <c r="A5" s="8">
        <v>300</v>
      </c>
      <c r="B5" s="8">
        <v>15</v>
      </c>
      <c r="C5" s="8">
        <f t="shared" si="0"/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FB1B-6C94-485A-80FA-353367B8497C}">
  <dimension ref="A1:L1001"/>
  <sheetViews>
    <sheetView tabSelected="1" workbookViewId="0">
      <selection activeCell="J1001" sqref="A1:J1001"/>
    </sheetView>
  </sheetViews>
  <sheetFormatPr defaultRowHeight="15"/>
  <cols>
    <col min="1" max="1" width="7.5703125" bestFit="1" customWidth="1"/>
    <col min="2" max="2" width="18.5703125" bestFit="1" customWidth="1"/>
    <col min="3" max="3" width="15.28515625" bestFit="1" customWidth="1"/>
    <col min="4" max="4" width="6.140625" bestFit="1" customWidth="1"/>
    <col min="5" max="5" width="7.42578125" bestFit="1" customWidth="1"/>
    <col min="7" max="7" width="20" bestFit="1" customWidth="1"/>
    <col min="8" max="8" width="10.28515625" bestFit="1" customWidth="1"/>
    <col min="9" max="9" width="10.85546875" style="14" bestFit="1" customWidth="1"/>
    <col min="10" max="10" width="12.85546875" style="14" bestFit="1" customWidth="1"/>
    <col min="11" max="11" width="12" style="14" bestFit="1" customWidth="1"/>
    <col min="12" max="12" width="19.5703125" style="14" bestFit="1" customWidth="1"/>
  </cols>
  <sheetData>
    <row r="1" spans="1:12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0" t="s">
        <v>9</v>
      </c>
      <c r="G1" s="1" t="s">
        <v>1341</v>
      </c>
      <c r="H1" s="5" t="s">
        <v>1342</v>
      </c>
      <c r="I1" s="18" t="s">
        <v>14</v>
      </c>
      <c r="J1" s="17" t="s">
        <v>1343</v>
      </c>
      <c r="K1" s="13"/>
      <c r="L1" s="12"/>
    </row>
    <row r="2" spans="1:12">
      <c r="A2" t="s">
        <v>1130</v>
      </c>
      <c r="B2" t="s">
        <v>1131</v>
      </c>
      <c r="C2" t="s">
        <v>35</v>
      </c>
      <c r="D2">
        <v>20</v>
      </c>
      <c r="E2">
        <v>20</v>
      </c>
      <c r="F2" s="11">
        <v>0.87329999999999997</v>
      </c>
      <c r="G2" t="str">
        <f>IF(AND(D2&gt;=12,E2&gt;=12,F2&gt;=80%),"Admis",IF(AND(D2&gt;=10,E2&gt;=10),"Admis sous condition","Refusé"))</f>
        <v>Admis</v>
      </c>
      <c r="H2" t="str" cm="1">
        <f t="array" ref="H2">_xlfn.IFS(E2&gt;=16, "Excellent",E2&gt;=14, "Très bien", E2&gt;=12, "Bien", E2&gt;=10, "Passable", E2&lt;10, "Insuffisant")</f>
        <v>Excellent</v>
      </c>
      <c r="I2" s="14" t="str">
        <f>IF(OR(D2&lt;10,E2&lt;10,F2&lt;70%), "A surveiller", "RAS")</f>
        <v>RAS</v>
      </c>
      <c r="J2" s="14" t="str">
        <f>IF(NOT(C2="Data"), "Autre filière", "Data")</f>
        <v>Autre filière</v>
      </c>
      <c r="K2" s="15"/>
      <c r="L2" s="16"/>
    </row>
    <row r="3" spans="1:12">
      <c r="A3" t="s">
        <v>726</v>
      </c>
      <c r="B3" t="s">
        <v>581</v>
      </c>
      <c r="C3" t="s">
        <v>35</v>
      </c>
      <c r="D3">
        <v>20</v>
      </c>
      <c r="E3">
        <v>20</v>
      </c>
      <c r="F3" s="11">
        <v>0.55000000000000004</v>
      </c>
      <c r="G3" t="str">
        <f>IF(AND(D3&gt;=12,E3&gt;=12,F3&gt;=80%),"Admis",IF(AND(D3&gt;=10,E3&gt;=10),"Admis sous condition","Refusé"))</f>
        <v>Admis sous condition</v>
      </c>
      <c r="H3" t="str" cm="1">
        <f t="array" ref="H3">_xlfn.IFS(E3&gt;=16, "Excellent",E3&gt;=14, "Très bien", E3&gt;=12, "Bien", E3&gt;=10, "Passable", E3&lt;10, "Insuffisant")</f>
        <v>Excellent</v>
      </c>
      <c r="I3" s="14" t="str">
        <f t="shared" ref="I3:I66" si="0">IF(OR(D3&lt;10,E3&lt;10,F3&lt;70%), "A surveiller", "RAS")</f>
        <v>A surveiller</v>
      </c>
      <c r="J3" s="14" t="str">
        <f t="shared" ref="J3:J66" si="1">IF(NOT(C3="Data"), "Autre filière", "Data")</f>
        <v>Autre filière</v>
      </c>
      <c r="L3" s="16"/>
    </row>
    <row r="4" spans="1:12">
      <c r="A4" t="s">
        <v>234</v>
      </c>
      <c r="B4" t="s">
        <v>235</v>
      </c>
      <c r="C4" t="s">
        <v>22</v>
      </c>
      <c r="D4">
        <v>18.670000000000002</v>
      </c>
      <c r="E4">
        <v>20</v>
      </c>
      <c r="F4" s="11">
        <v>0.88100000000000001</v>
      </c>
      <c r="G4" t="str">
        <f>IF(AND(D4&gt;=12,E4&gt;=12,F4&gt;=80%),"Admis",IF(AND(D4&gt;=10,E4&gt;=10),"Admis sous condition","Refusé"))</f>
        <v>Admis</v>
      </c>
      <c r="H4" t="str" cm="1">
        <f t="array" ref="H4">_xlfn.IFS(E4&gt;=16, "Excellent",E4&gt;=14, "Très bien", E4&gt;=12, "Bien", E4&gt;=10, "Passable", E4&lt;10, "Insuffisant")</f>
        <v>Excellent</v>
      </c>
      <c r="I4" s="14" t="str">
        <f t="shared" si="0"/>
        <v>RAS</v>
      </c>
      <c r="J4" s="14" t="str">
        <f t="shared" si="1"/>
        <v>Data</v>
      </c>
      <c r="K4" s="15"/>
      <c r="L4" s="16"/>
    </row>
    <row r="5" spans="1:12">
      <c r="A5" t="s">
        <v>454</v>
      </c>
      <c r="B5" t="s">
        <v>455</v>
      </c>
      <c r="C5" t="s">
        <v>48</v>
      </c>
      <c r="D5">
        <v>14.76</v>
      </c>
      <c r="E5">
        <v>20</v>
      </c>
      <c r="F5" s="11">
        <v>0.96360000000000001</v>
      </c>
      <c r="G5" t="str">
        <f>IF(AND(D5&gt;=12,E5&gt;=12,F5&gt;=80%),"Admis",IF(AND(D5&gt;=10,E5&gt;=10),"Admis sous condition","Refusé"))</f>
        <v>Admis</v>
      </c>
      <c r="H5" t="str" cm="1">
        <f t="array" ref="H5">_xlfn.IFS(E5&gt;=16, "Excellent",E5&gt;=14, "Très bien", E5&gt;=12, "Bien", E5&gt;=10, "Passable", E5&lt;10, "Insuffisant")</f>
        <v>Excellent</v>
      </c>
      <c r="I5" s="14" t="str">
        <f t="shared" si="0"/>
        <v>RAS</v>
      </c>
      <c r="J5" s="14" t="str">
        <f t="shared" si="1"/>
        <v>Autre filière</v>
      </c>
      <c r="L5" s="16"/>
    </row>
    <row r="6" spans="1:12">
      <c r="A6" t="s">
        <v>921</v>
      </c>
      <c r="B6" t="s">
        <v>161</v>
      </c>
      <c r="C6" t="s">
        <v>48</v>
      </c>
      <c r="D6">
        <v>13.53</v>
      </c>
      <c r="E6">
        <v>20</v>
      </c>
      <c r="F6" s="11">
        <v>0.96399999999999997</v>
      </c>
      <c r="G6" t="str">
        <f>IF(AND(D6&gt;=12,E6&gt;=12,F6&gt;=80%),"Admis",IF(AND(D6&gt;=10,E6&gt;=10),"Admis sous condition","Refusé"))</f>
        <v>Admis</v>
      </c>
      <c r="H6" t="str" cm="1">
        <f t="array" ref="H6">_xlfn.IFS(E6&gt;=16, "Excellent",E6&gt;=14, "Très bien", E6&gt;=12, "Bien", E6&gt;=10, "Passable", E6&lt;10, "Insuffisant")</f>
        <v>Excellent</v>
      </c>
      <c r="I6" s="14" t="str">
        <f t="shared" si="0"/>
        <v>RAS</v>
      </c>
      <c r="J6" s="14" t="str">
        <f t="shared" si="1"/>
        <v>Autre filière</v>
      </c>
      <c r="L6" s="16"/>
    </row>
    <row r="7" spans="1:12">
      <c r="A7" t="s">
        <v>116</v>
      </c>
      <c r="B7" t="s">
        <v>117</v>
      </c>
      <c r="C7" t="s">
        <v>48</v>
      </c>
      <c r="D7">
        <v>17.010000000000002</v>
      </c>
      <c r="E7">
        <v>20</v>
      </c>
      <c r="F7" s="11">
        <v>0.91449999999999998</v>
      </c>
      <c r="G7" t="str">
        <f>IF(AND(D7&gt;=12,E7&gt;=12,F7&gt;=80%),"Admis",IF(AND(D7&gt;=10,E7&gt;=10),"Admis sous condition","Refusé"))</f>
        <v>Admis</v>
      </c>
      <c r="H7" t="str" cm="1">
        <f t="array" ref="H7">_xlfn.IFS(E7&gt;=16, "Excellent",E7&gt;=14, "Très bien", E7&gt;=12, "Bien", E7&gt;=10, "Passable", E7&lt;10, "Insuffisant")</f>
        <v>Excellent</v>
      </c>
      <c r="I7" s="14" t="str">
        <f t="shared" si="0"/>
        <v>RAS</v>
      </c>
      <c r="J7" s="14" t="str">
        <f t="shared" si="1"/>
        <v>Autre filière</v>
      </c>
      <c r="L7" s="16"/>
    </row>
    <row r="8" spans="1:12">
      <c r="A8" t="s">
        <v>275</v>
      </c>
      <c r="B8" t="s">
        <v>24</v>
      </c>
      <c r="C8" t="s">
        <v>48</v>
      </c>
      <c r="D8">
        <v>15.47</v>
      </c>
      <c r="E8">
        <v>20</v>
      </c>
      <c r="F8" s="11">
        <v>0.81699999999999995</v>
      </c>
      <c r="G8" t="str">
        <f>IF(AND(D8&gt;=12,E8&gt;=12,F8&gt;=80%),"Admis",IF(AND(D8&gt;=10,E8&gt;=10),"Admis sous condition","Refusé"))</f>
        <v>Admis</v>
      </c>
      <c r="H8" t="str" cm="1">
        <f t="array" ref="H8">_xlfn.IFS(E8&gt;=16, "Excellent",E8&gt;=14, "Très bien", E8&gt;=12, "Bien", E8&gt;=10, "Passable", E8&lt;10, "Insuffisant")</f>
        <v>Excellent</v>
      </c>
      <c r="I8" s="14" t="str">
        <f t="shared" si="0"/>
        <v>RAS</v>
      </c>
      <c r="J8" s="14" t="str">
        <f t="shared" si="1"/>
        <v>Autre filière</v>
      </c>
      <c r="K8" s="15"/>
      <c r="L8" s="16"/>
    </row>
    <row r="9" spans="1:12">
      <c r="A9" t="s">
        <v>867</v>
      </c>
      <c r="B9" t="s">
        <v>528</v>
      </c>
      <c r="C9" t="s">
        <v>48</v>
      </c>
      <c r="D9">
        <v>16.809999999999999</v>
      </c>
      <c r="E9">
        <v>19.260000000000002</v>
      </c>
      <c r="F9" s="11">
        <v>0.6361</v>
      </c>
      <c r="G9" t="str">
        <f>IF(AND(D9&gt;=12,E9&gt;=12,F9&gt;=80%),"Admis",IF(AND(D9&gt;=10,E9&gt;=10),"Admis sous condition","Refusé"))</f>
        <v>Admis sous condition</v>
      </c>
      <c r="H9" t="str" cm="1">
        <f t="array" ref="H9">_xlfn.IFS(E9&gt;=16, "Excellent",E9&gt;=14, "Très bien", E9&gt;=12, "Bien", E9&gt;=10, "Passable", E9&lt;10, "Insuffisant")</f>
        <v>Excellent</v>
      </c>
      <c r="I9" s="14" t="str">
        <f t="shared" si="0"/>
        <v>A surveiller</v>
      </c>
      <c r="J9" s="14" t="str">
        <f t="shared" si="1"/>
        <v>Autre filière</v>
      </c>
      <c r="L9" s="16"/>
    </row>
    <row r="10" spans="1:12">
      <c r="A10" t="s">
        <v>82</v>
      </c>
      <c r="B10" t="s">
        <v>83</v>
      </c>
      <c r="C10" t="s">
        <v>27</v>
      </c>
      <c r="D10">
        <v>20</v>
      </c>
      <c r="E10">
        <v>19.239999999999998</v>
      </c>
      <c r="F10" s="11">
        <v>0.76739999999999997</v>
      </c>
      <c r="G10" t="str">
        <f>IF(AND(D10&gt;=12,E10&gt;=12,F10&gt;=80%),"Admis",IF(AND(D10&gt;=10,E10&gt;=10),"Admis sous condition","Refusé"))</f>
        <v>Admis sous condition</v>
      </c>
      <c r="H10" t="str" cm="1">
        <f t="array" ref="H10">_xlfn.IFS(E10&gt;=16, "Excellent",E10&gt;=14, "Très bien", E10&gt;=12, "Bien", E10&gt;=10, "Passable", E10&lt;10, "Insuffisant")</f>
        <v>Excellent</v>
      </c>
      <c r="I10" s="14" t="str">
        <f t="shared" si="0"/>
        <v>RAS</v>
      </c>
      <c r="J10" s="14" t="str">
        <f t="shared" si="1"/>
        <v>Autre filière</v>
      </c>
      <c r="L10" s="16"/>
    </row>
    <row r="11" spans="1:12">
      <c r="A11" t="s">
        <v>963</v>
      </c>
      <c r="B11" t="s">
        <v>77</v>
      </c>
      <c r="C11" t="s">
        <v>48</v>
      </c>
      <c r="D11">
        <v>20</v>
      </c>
      <c r="E11">
        <v>19.13</v>
      </c>
      <c r="F11" s="11">
        <v>0.89190000000000003</v>
      </c>
      <c r="G11" t="str">
        <f>IF(AND(D11&gt;=12,E11&gt;=12,F11&gt;=80%),"Admis",IF(AND(D11&gt;=10,E11&gt;=10),"Admis sous condition","Refusé"))</f>
        <v>Admis</v>
      </c>
      <c r="H11" t="str" cm="1">
        <f t="array" ref="H11">_xlfn.IFS(E11&gt;=16, "Excellent",E11&gt;=14, "Très bien", E11&gt;=12, "Bien", E11&gt;=10, "Passable", E11&lt;10, "Insuffisant")</f>
        <v>Excellent</v>
      </c>
      <c r="I11" s="14" t="str">
        <f t="shared" si="0"/>
        <v>RAS</v>
      </c>
      <c r="J11" s="14" t="str">
        <f t="shared" si="1"/>
        <v>Autre filière</v>
      </c>
      <c r="K11" s="15"/>
      <c r="L11" s="16"/>
    </row>
    <row r="12" spans="1:12">
      <c r="A12" t="s">
        <v>800</v>
      </c>
      <c r="B12" t="s">
        <v>532</v>
      </c>
      <c r="C12" t="s">
        <v>48</v>
      </c>
      <c r="D12">
        <v>16.079999999999998</v>
      </c>
      <c r="E12">
        <v>18.989999999999998</v>
      </c>
      <c r="F12" s="11">
        <v>0.90200000000000002</v>
      </c>
      <c r="G12" t="str">
        <f>IF(AND(D12&gt;=12,E12&gt;=12,F12&gt;=80%),"Admis",IF(AND(D12&gt;=10,E12&gt;=10),"Admis sous condition","Refusé"))</f>
        <v>Admis</v>
      </c>
      <c r="H12" t="str" cm="1">
        <f t="array" ref="H12">_xlfn.IFS(E12&gt;=16, "Excellent",E12&gt;=14, "Très bien", E12&gt;=12, "Bien", E12&gt;=10, "Passable", E12&lt;10, "Insuffisant")</f>
        <v>Excellent</v>
      </c>
      <c r="I12" s="14" t="str">
        <f t="shared" si="0"/>
        <v>RAS</v>
      </c>
      <c r="J12" s="14" t="str">
        <f t="shared" si="1"/>
        <v>Autre filière</v>
      </c>
      <c r="L12" s="16"/>
    </row>
    <row r="13" spans="1:12">
      <c r="A13" t="s">
        <v>1013</v>
      </c>
      <c r="B13" t="s">
        <v>173</v>
      </c>
      <c r="C13" t="s">
        <v>22</v>
      </c>
      <c r="D13">
        <v>12.35</v>
      </c>
      <c r="E13">
        <v>18.91</v>
      </c>
      <c r="F13" s="11">
        <v>0.82499999999999996</v>
      </c>
      <c r="G13" t="str">
        <f t="shared" ref="G13:G76" si="2">IF(AND(D13&gt;=12,E13&gt;=12,F13&gt;=80%),"Admis",IF(AND(D13&gt;=10,E13&gt;=10),"Admis sous condition","Refusé"))</f>
        <v>Admis</v>
      </c>
      <c r="H13" t="str" cm="1">
        <f t="array" ref="H13">_xlfn.IFS(E13&gt;=16, "Excellent",E13&gt;=14, "Très bien", E13&gt;=12, "Bien", E13&gt;=10, "Passable", E13&lt;10, "Insuffisant")</f>
        <v>Excellent</v>
      </c>
      <c r="I13" s="14" t="str">
        <f t="shared" si="0"/>
        <v>RAS</v>
      </c>
      <c r="J13" s="14" t="str">
        <f t="shared" si="1"/>
        <v>Data</v>
      </c>
      <c r="K13" s="15"/>
      <c r="L13" s="16"/>
    </row>
    <row r="14" spans="1:12">
      <c r="A14" t="s">
        <v>778</v>
      </c>
      <c r="B14" t="s">
        <v>43</v>
      </c>
      <c r="C14" t="s">
        <v>35</v>
      </c>
      <c r="D14">
        <v>16.2</v>
      </c>
      <c r="E14">
        <v>18.71</v>
      </c>
      <c r="F14" s="11">
        <v>0.75860000000000005</v>
      </c>
      <c r="G14" t="str">
        <f t="shared" si="2"/>
        <v>Admis sous condition</v>
      </c>
      <c r="H14" t="str" cm="1">
        <f t="array" ref="H14">_xlfn.IFS(E14&gt;=16, "Excellent",E14&gt;=14, "Très bien", E14&gt;=12, "Bien", E14&gt;=10, "Passable", E14&lt;10, "Insuffisant")</f>
        <v>Excellent</v>
      </c>
      <c r="I14" s="14" t="str">
        <f t="shared" si="0"/>
        <v>RAS</v>
      </c>
      <c r="J14" s="14" t="str">
        <f t="shared" si="1"/>
        <v>Autre filière</v>
      </c>
      <c r="L14" s="16"/>
    </row>
    <row r="15" spans="1:12">
      <c r="A15" t="s">
        <v>435</v>
      </c>
      <c r="B15" t="s">
        <v>436</v>
      </c>
      <c r="C15" t="s">
        <v>48</v>
      </c>
      <c r="D15">
        <v>16.97</v>
      </c>
      <c r="E15">
        <v>18.690000000000001</v>
      </c>
      <c r="F15" s="11">
        <v>0.72509999999999997</v>
      </c>
      <c r="G15" t="str">
        <f t="shared" si="2"/>
        <v>Admis sous condition</v>
      </c>
      <c r="H15" t="str" cm="1">
        <f t="array" ref="H15">_xlfn.IFS(E15&gt;=16, "Excellent",E15&gt;=14, "Très bien", E15&gt;=12, "Bien", E15&gt;=10, "Passable", E15&lt;10, "Insuffisant")</f>
        <v>Excellent</v>
      </c>
      <c r="I15" s="14" t="str">
        <f t="shared" si="0"/>
        <v>RAS</v>
      </c>
      <c r="J15" s="14" t="str">
        <f t="shared" si="1"/>
        <v>Autre filière</v>
      </c>
      <c r="L15" s="16"/>
    </row>
    <row r="16" spans="1:12">
      <c r="A16" t="s">
        <v>590</v>
      </c>
      <c r="B16" t="s">
        <v>45</v>
      </c>
      <c r="C16" t="s">
        <v>48</v>
      </c>
      <c r="D16">
        <v>20</v>
      </c>
      <c r="E16">
        <v>18.670000000000002</v>
      </c>
      <c r="F16" s="11">
        <v>0.9738</v>
      </c>
      <c r="G16" t="str">
        <f t="shared" si="2"/>
        <v>Admis</v>
      </c>
      <c r="H16" t="str" cm="1">
        <f t="array" ref="H16">_xlfn.IFS(E16&gt;=16, "Excellent",E16&gt;=14, "Très bien", E16&gt;=12, "Bien", E16&gt;=10, "Passable", E16&lt;10, "Insuffisant")</f>
        <v>Excellent</v>
      </c>
      <c r="I16" s="14" t="str">
        <f t="shared" si="0"/>
        <v>RAS</v>
      </c>
      <c r="J16" s="14" t="str">
        <f t="shared" si="1"/>
        <v>Autre filière</v>
      </c>
      <c r="L16" s="16"/>
    </row>
    <row r="17" spans="1:12">
      <c r="A17" t="s">
        <v>1248</v>
      </c>
      <c r="B17" t="s">
        <v>1232</v>
      </c>
      <c r="C17" t="s">
        <v>22</v>
      </c>
      <c r="D17">
        <v>13.93</v>
      </c>
      <c r="E17">
        <v>18.559999999999999</v>
      </c>
      <c r="F17" s="11">
        <v>0.81840000000000002</v>
      </c>
      <c r="G17" t="str">
        <f t="shared" si="2"/>
        <v>Admis</v>
      </c>
      <c r="H17" t="str" cm="1">
        <f t="array" ref="H17">_xlfn.IFS(E17&gt;=16, "Excellent",E17&gt;=14, "Très bien", E17&gt;=12, "Bien", E17&gt;=10, "Passable", E17&lt;10, "Insuffisant")</f>
        <v>Excellent</v>
      </c>
      <c r="I17" s="14" t="str">
        <f t="shared" si="0"/>
        <v>RAS</v>
      </c>
      <c r="J17" s="14" t="str">
        <f t="shared" si="1"/>
        <v>Data</v>
      </c>
      <c r="K17" s="15"/>
      <c r="L17" s="16"/>
    </row>
    <row r="18" spans="1:12">
      <c r="A18" t="s">
        <v>1243</v>
      </c>
      <c r="B18" t="s">
        <v>611</v>
      </c>
      <c r="C18" t="s">
        <v>48</v>
      </c>
      <c r="D18">
        <v>15.67</v>
      </c>
      <c r="E18">
        <v>18.239999999999998</v>
      </c>
      <c r="F18" s="11">
        <v>0.95789999999999997</v>
      </c>
      <c r="G18" t="str">
        <f t="shared" si="2"/>
        <v>Admis</v>
      </c>
      <c r="H18" t="str" cm="1">
        <f t="array" ref="H18">_xlfn.IFS(E18&gt;=16, "Excellent",E18&gt;=14, "Très bien", E18&gt;=12, "Bien", E18&gt;=10, "Passable", E18&lt;10, "Insuffisant")</f>
        <v>Excellent</v>
      </c>
      <c r="I18" s="14" t="str">
        <f t="shared" si="0"/>
        <v>RAS</v>
      </c>
      <c r="J18" s="14" t="str">
        <f t="shared" si="1"/>
        <v>Autre filière</v>
      </c>
      <c r="L18" s="16"/>
    </row>
    <row r="19" spans="1:12">
      <c r="A19" t="s">
        <v>1244</v>
      </c>
      <c r="B19" t="s">
        <v>1245</v>
      </c>
      <c r="C19" t="s">
        <v>22</v>
      </c>
      <c r="D19">
        <v>13.21</v>
      </c>
      <c r="E19">
        <v>18.14</v>
      </c>
      <c r="F19" s="11">
        <v>0.85370000000000001</v>
      </c>
      <c r="G19" t="str">
        <f t="shared" si="2"/>
        <v>Admis</v>
      </c>
      <c r="H19" t="str" cm="1">
        <f t="array" ref="H19">_xlfn.IFS(E19&gt;=16, "Excellent",E19&gt;=14, "Très bien", E19&gt;=12, "Bien", E19&gt;=10, "Passable", E19&lt;10, "Insuffisant")</f>
        <v>Excellent</v>
      </c>
      <c r="I19" s="14" t="str">
        <f t="shared" si="0"/>
        <v>RAS</v>
      </c>
      <c r="J19" s="14" t="str">
        <f t="shared" si="1"/>
        <v>Data</v>
      </c>
      <c r="K19" s="15"/>
      <c r="L19" s="16"/>
    </row>
    <row r="20" spans="1:12">
      <c r="A20" t="s">
        <v>487</v>
      </c>
      <c r="B20" t="s">
        <v>453</v>
      </c>
      <c r="C20" t="s">
        <v>27</v>
      </c>
      <c r="D20">
        <v>16.36</v>
      </c>
      <c r="E20">
        <v>18.11</v>
      </c>
      <c r="F20" s="11">
        <v>0.60209999999999997</v>
      </c>
      <c r="G20" t="str">
        <f t="shared" si="2"/>
        <v>Admis sous condition</v>
      </c>
      <c r="H20" t="str" cm="1">
        <f t="array" ref="H20">_xlfn.IFS(E20&gt;=16, "Excellent",E20&gt;=14, "Très bien", E20&gt;=12, "Bien", E20&gt;=10, "Passable", E20&lt;10, "Insuffisant")</f>
        <v>Excellent</v>
      </c>
      <c r="I20" s="14" t="str">
        <f t="shared" si="0"/>
        <v>A surveiller</v>
      </c>
      <c r="J20" s="14" t="str">
        <f t="shared" si="1"/>
        <v>Autre filière</v>
      </c>
      <c r="L20" s="16"/>
    </row>
    <row r="21" spans="1:12">
      <c r="A21" t="s">
        <v>804</v>
      </c>
      <c r="B21" t="s">
        <v>805</v>
      </c>
      <c r="C21" t="s">
        <v>22</v>
      </c>
      <c r="D21">
        <v>19.440000000000001</v>
      </c>
      <c r="E21">
        <v>18.03</v>
      </c>
      <c r="F21" s="11">
        <v>0.64149999999999996</v>
      </c>
      <c r="G21" t="str">
        <f t="shared" si="2"/>
        <v>Admis sous condition</v>
      </c>
      <c r="H21" t="str" cm="1">
        <f t="array" ref="H21">_xlfn.IFS(E21&gt;=16, "Excellent",E21&gt;=14, "Très bien", E21&gt;=12, "Bien", E21&gt;=10, "Passable", E21&lt;10, "Insuffisant")</f>
        <v>Excellent</v>
      </c>
      <c r="I21" s="14" t="str">
        <f t="shared" si="0"/>
        <v>A surveiller</v>
      </c>
      <c r="J21" s="14" t="str">
        <f t="shared" si="1"/>
        <v>Data</v>
      </c>
      <c r="L21" s="16"/>
    </row>
    <row r="22" spans="1:12">
      <c r="A22" t="s">
        <v>267</v>
      </c>
      <c r="B22" t="s">
        <v>268</v>
      </c>
      <c r="C22" t="s">
        <v>27</v>
      </c>
      <c r="D22">
        <v>18.059999999999999</v>
      </c>
      <c r="E22">
        <v>17.77</v>
      </c>
      <c r="F22" s="11">
        <v>0.76829999999999998</v>
      </c>
      <c r="G22" t="str">
        <f t="shared" si="2"/>
        <v>Admis sous condition</v>
      </c>
      <c r="H22" t="str" cm="1">
        <f t="array" ref="H22">_xlfn.IFS(E22&gt;=16, "Excellent",E22&gt;=14, "Très bien", E22&gt;=12, "Bien", E22&gt;=10, "Passable", E22&lt;10, "Insuffisant")</f>
        <v>Excellent</v>
      </c>
      <c r="I22" s="14" t="str">
        <f t="shared" si="0"/>
        <v>RAS</v>
      </c>
      <c r="J22" s="14" t="str">
        <f t="shared" si="1"/>
        <v>Autre filière</v>
      </c>
      <c r="L22" s="16"/>
    </row>
    <row r="23" spans="1:12">
      <c r="A23" t="s">
        <v>1318</v>
      </c>
      <c r="B23" t="s">
        <v>98</v>
      </c>
      <c r="C23" t="s">
        <v>35</v>
      </c>
      <c r="D23">
        <v>19.16</v>
      </c>
      <c r="E23">
        <v>17.690000000000001</v>
      </c>
      <c r="F23" s="11">
        <v>0.73260000000000003</v>
      </c>
      <c r="G23" t="str">
        <f t="shared" si="2"/>
        <v>Admis sous condition</v>
      </c>
      <c r="H23" t="str" cm="1">
        <f t="array" ref="H23">_xlfn.IFS(E23&gt;=16, "Excellent",E23&gt;=14, "Très bien", E23&gt;=12, "Bien", E23&gt;=10, "Passable", E23&lt;10, "Insuffisant")</f>
        <v>Excellent</v>
      </c>
      <c r="I23" s="14" t="str">
        <f t="shared" si="0"/>
        <v>RAS</v>
      </c>
      <c r="J23" s="14" t="str">
        <f t="shared" si="1"/>
        <v>Autre filière</v>
      </c>
      <c r="L23" s="16"/>
    </row>
    <row r="24" spans="1:12">
      <c r="A24" t="s">
        <v>413</v>
      </c>
      <c r="B24" t="s">
        <v>229</v>
      </c>
      <c r="C24" t="s">
        <v>48</v>
      </c>
      <c r="D24">
        <v>20</v>
      </c>
      <c r="E24">
        <v>17.62</v>
      </c>
      <c r="F24" s="11">
        <v>0.79869999999999997</v>
      </c>
      <c r="G24" t="str">
        <f t="shared" si="2"/>
        <v>Admis sous condition</v>
      </c>
      <c r="H24" t="str" cm="1">
        <f t="array" ref="H24">_xlfn.IFS(E24&gt;=16, "Excellent",E24&gt;=14, "Très bien", E24&gt;=12, "Bien", E24&gt;=10, "Passable", E24&lt;10, "Insuffisant")</f>
        <v>Excellent</v>
      </c>
      <c r="I24" s="14" t="str">
        <f t="shared" si="0"/>
        <v>RAS</v>
      </c>
      <c r="J24" s="14" t="str">
        <f t="shared" si="1"/>
        <v>Autre filière</v>
      </c>
      <c r="L24" s="16"/>
    </row>
    <row r="25" spans="1:12">
      <c r="A25" t="s">
        <v>1033</v>
      </c>
      <c r="B25" t="s">
        <v>1034</v>
      </c>
      <c r="C25" t="s">
        <v>22</v>
      </c>
      <c r="D25">
        <v>10.02</v>
      </c>
      <c r="E25">
        <v>16.43</v>
      </c>
      <c r="F25" s="11">
        <v>0.88649999999999995</v>
      </c>
      <c r="G25" t="str">
        <f t="shared" si="2"/>
        <v>Admis sous condition</v>
      </c>
      <c r="H25" t="str" cm="1">
        <f t="array" ref="H25">_xlfn.IFS(E25&gt;=16, "Excellent",E25&gt;=14, "Très bien", E25&gt;=12, "Bien", E25&gt;=10, "Passable", E25&lt;10, "Insuffisant")</f>
        <v>Excellent</v>
      </c>
      <c r="I25" s="14" t="str">
        <f t="shared" si="0"/>
        <v>RAS</v>
      </c>
      <c r="J25" s="14" t="str">
        <f t="shared" si="1"/>
        <v>Data</v>
      </c>
      <c r="K25" s="15"/>
      <c r="L25" s="16"/>
    </row>
    <row r="26" spans="1:12">
      <c r="A26" t="s">
        <v>271</v>
      </c>
      <c r="B26" t="s">
        <v>272</v>
      </c>
      <c r="C26" t="s">
        <v>35</v>
      </c>
      <c r="D26">
        <v>16.010000000000002</v>
      </c>
      <c r="E26">
        <v>15.54</v>
      </c>
      <c r="F26" s="11">
        <v>0.71589999999999998</v>
      </c>
      <c r="G26" t="str">
        <f t="shared" si="2"/>
        <v>Admis sous condition</v>
      </c>
      <c r="H26" t="str" cm="1">
        <f t="array" ref="H26">_xlfn.IFS(E26&gt;=16, "Excellent",E26&gt;=14, "Très bien", E26&gt;=12, "Bien", E26&gt;=10, "Passable", E26&lt;10, "Insuffisant")</f>
        <v>Très bien</v>
      </c>
      <c r="I26" s="14" t="str">
        <f t="shared" si="0"/>
        <v>RAS</v>
      </c>
      <c r="J26" s="14" t="str">
        <f t="shared" si="1"/>
        <v>Autre filière</v>
      </c>
      <c r="L26" s="16"/>
    </row>
    <row r="27" spans="1:12">
      <c r="A27" t="s">
        <v>772</v>
      </c>
      <c r="B27" t="s">
        <v>106</v>
      </c>
      <c r="C27" t="s">
        <v>48</v>
      </c>
      <c r="D27">
        <v>14.75</v>
      </c>
      <c r="E27">
        <v>14.73</v>
      </c>
      <c r="F27" s="11">
        <v>0.73089999999999999</v>
      </c>
      <c r="G27" t="str">
        <f t="shared" si="2"/>
        <v>Admis sous condition</v>
      </c>
      <c r="H27" t="str" cm="1">
        <f t="array" ref="H27">_xlfn.IFS(E27&gt;=16, "Excellent",E27&gt;=14, "Très bien", E27&gt;=12, "Bien", E27&gt;=10, "Passable", E27&lt;10, "Insuffisant")</f>
        <v>Très bien</v>
      </c>
      <c r="I27" s="14" t="str">
        <f t="shared" si="0"/>
        <v>RAS</v>
      </c>
      <c r="J27" s="14" t="str">
        <f t="shared" si="1"/>
        <v>Autre filière</v>
      </c>
      <c r="L27" s="16"/>
    </row>
    <row r="28" spans="1:12">
      <c r="A28" t="s">
        <v>80</v>
      </c>
      <c r="B28" t="s">
        <v>81</v>
      </c>
      <c r="C28" t="s">
        <v>48</v>
      </c>
      <c r="D28">
        <v>18.41</v>
      </c>
      <c r="E28">
        <v>14.71</v>
      </c>
      <c r="F28" s="11">
        <v>0.81899999999999995</v>
      </c>
      <c r="G28" t="str">
        <f t="shared" si="2"/>
        <v>Admis</v>
      </c>
      <c r="H28" t="str" cm="1">
        <f t="array" ref="H28">_xlfn.IFS(E28&gt;=16, "Excellent",E28&gt;=14, "Très bien", E28&gt;=12, "Bien", E28&gt;=10, "Passable", E28&lt;10, "Insuffisant")</f>
        <v>Très bien</v>
      </c>
      <c r="I28" s="14" t="str">
        <f t="shared" si="0"/>
        <v>RAS</v>
      </c>
      <c r="J28" s="14" t="str">
        <f t="shared" si="1"/>
        <v>Autre filière</v>
      </c>
      <c r="K28" s="15"/>
      <c r="L28" s="16"/>
    </row>
    <row r="29" spans="1:12">
      <c r="A29" t="s">
        <v>414</v>
      </c>
      <c r="B29" t="s">
        <v>415</v>
      </c>
      <c r="C29" t="s">
        <v>27</v>
      </c>
      <c r="D29">
        <v>18.73</v>
      </c>
      <c r="E29">
        <v>14.66</v>
      </c>
      <c r="F29" s="11">
        <v>0.64900000000000002</v>
      </c>
      <c r="G29" t="str">
        <f t="shared" si="2"/>
        <v>Admis sous condition</v>
      </c>
      <c r="H29" t="str" cm="1">
        <f t="array" ref="H29">_xlfn.IFS(E29&gt;=16, "Excellent",E29&gt;=14, "Très bien", E29&gt;=12, "Bien", E29&gt;=10, "Passable", E29&lt;10, "Insuffisant")</f>
        <v>Très bien</v>
      </c>
      <c r="I29" s="14" t="str">
        <f t="shared" si="0"/>
        <v>A surveiller</v>
      </c>
      <c r="J29" s="14" t="str">
        <f t="shared" si="1"/>
        <v>Autre filière</v>
      </c>
      <c r="L29" s="16"/>
    </row>
    <row r="30" spans="1:12">
      <c r="A30" t="s">
        <v>219</v>
      </c>
      <c r="B30" t="s">
        <v>220</v>
      </c>
      <c r="C30" t="s">
        <v>27</v>
      </c>
      <c r="D30">
        <v>18.34</v>
      </c>
      <c r="E30">
        <v>13.99</v>
      </c>
      <c r="F30" s="11">
        <v>0.79849999999999999</v>
      </c>
      <c r="G30" t="str">
        <f t="shared" si="2"/>
        <v>Admis sous condition</v>
      </c>
      <c r="H30" t="str" cm="1">
        <f t="array" ref="H30">_xlfn.IFS(E30&gt;=16, "Excellent",E30&gt;=14, "Très bien", E30&gt;=12, "Bien", E30&gt;=10, "Passable", E30&lt;10, "Insuffisant")</f>
        <v>Bien</v>
      </c>
      <c r="I30" s="14" t="str">
        <f t="shared" si="0"/>
        <v>RAS</v>
      </c>
      <c r="J30" s="14" t="str">
        <f t="shared" si="1"/>
        <v>Autre filière</v>
      </c>
      <c r="L30" s="16"/>
    </row>
    <row r="31" spans="1:12">
      <c r="A31" t="s">
        <v>279</v>
      </c>
      <c r="B31" t="s">
        <v>280</v>
      </c>
      <c r="C31" t="s">
        <v>22</v>
      </c>
      <c r="D31">
        <v>16.86</v>
      </c>
      <c r="E31">
        <v>13.97</v>
      </c>
      <c r="F31" s="11">
        <v>0.93310000000000004</v>
      </c>
      <c r="G31" t="str">
        <f t="shared" si="2"/>
        <v>Admis</v>
      </c>
      <c r="H31" t="str" cm="1">
        <f t="array" ref="H31">_xlfn.IFS(E31&gt;=16, "Excellent",E31&gt;=14, "Très bien", E31&gt;=12, "Bien", E31&gt;=10, "Passable", E31&lt;10, "Insuffisant")</f>
        <v>Bien</v>
      </c>
      <c r="I31" s="14" t="str">
        <f t="shared" si="0"/>
        <v>RAS</v>
      </c>
      <c r="J31" s="14" t="str">
        <f t="shared" si="1"/>
        <v>Data</v>
      </c>
      <c r="L31" s="16"/>
    </row>
    <row r="32" spans="1:12">
      <c r="A32" t="s">
        <v>974</v>
      </c>
      <c r="B32" t="s">
        <v>975</v>
      </c>
      <c r="C32" t="s">
        <v>48</v>
      </c>
      <c r="D32">
        <v>17.18</v>
      </c>
      <c r="E32">
        <v>13.87</v>
      </c>
      <c r="F32" s="11">
        <v>0.95640000000000003</v>
      </c>
      <c r="G32" t="str">
        <f t="shared" si="2"/>
        <v>Admis</v>
      </c>
      <c r="H32" t="str" cm="1">
        <f t="array" ref="H32">_xlfn.IFS(E32&gt;=16, "Excellent",E32&gt;=14, "Très bien", E32&gt;=12, "Bien", E32&gt;=10, "Passable", E32&lt;10, "Insuffisant")</f>
        <v>Bien</v>
      </c>
      <c r="I32" s="14" t="str">
        <f t="shared" si="0"/>
        <v>RAS</v>
      </c>
      <c r="J32" s="14" t="str">
        <f t="shared" si="1"/>
        <v>Autre filière</v>
      </c>
      <c r="L32" s="16"/>
    </row>
    <row r="33" spans="1:12">
      <c r="A33" t="s">
        <v>1187</v>
      </c>
      <c r="B33" t="s">
        <v>600</v>
      </c>
      <c r="C33" t="s">
        <v>35</v>
      </c>
      <c r="D33">
        <v>13.43</v>
      </c>
      <c r="E33">
        <v>13.81</v>
      </c>
      <c r="F33" s="11">
        <v>0.57750000000000001</v>
      </c>
      <c r="G33" t="str">
        <f t="shared" si="2"/>
        <v>Admis sous condition</v>
      </c>
      <c r="H33" t="str" cm="1">
        <f t="array" ref="H33">_xlfn.IFS(E33&gt;=16, "Excellent",E33&gt;=14, "Très bien", E33&gt;=12, "Bien", E33&gt;=10, "Passable", E33&lt;10, "Insuffisant")</f>
        <v>Bien</v>
      </c>
      <c r="I33" s="14" t="str">
        <f t="shared" si="0"/>
        <v>A surveiller</v>
      </c>
      <c r="J33" s="14" t="str">
        <f t="shared" si="1"/>
        <v>Autre filière</v>
      </c>
      <c r="L33" s="16"/>
    </row>
    <row r="34" spans="1:12">
      <c r="A34" t="s">
        <v>681</v>
      </c>
      <c r="B34" t="s">
        <v>117</v>
      </c>
      <c r="C34" t="s">
        <v>27</v>
      </c>
      <c r="D34">
        <v>19.18</v>
      </c>
      <c r="E34">
        <v>13.21</v>
      </c>
      <c r="F34" s="11">
        <v>0.72550000000000003</v>
      </c>
      <c r="G34" t="str">
        <f t="shared" si="2"/>
        <v>Admis sous condition</v>
      </c>
      <c r="H34" t="str" cm="1">
        <f t="array" ref="H34">_xlfn.IFS(E34&gt;=16, "Excellent",E34&gt;=14, "Très bien", E34&gt;=12, "Bien", E34&gt;=10, "Passable", E34&lt;10, "Insuffisant")</f>
        <v>Bien</v>
      </c>
      <c r="I34" s="14" t="str">
        <f t="shared" si="0"/>
        <v>RAS</v>
      </c>
      <c r="J34" s="14" t="str">
        <f t="shared" si="1"/>
        <v>Autre filière</v>
      </c>
      <c r="L34" s="16"/>
    </row>
    <row r="35" spans="1:12">
      <c r="A35" t="s">
        <v>629</v>
      </c>
      <c r="B35" t="s">
        <v>630</v>
      </c>
      <c r="C35" t="s">
        <v>22</v>
      </c>
      <c r="D35">
        <v>20</v>
      </c>
      <c r="E35">
        <v>20</v>
      </c>
      <c r="F35" s="11">
        <v>0.96209999999999996</v>
      </c>
      <c r="G35" t="str">
        <f t="shared" si="2"/>
        <v>Admis</v>
      </c>
      <c r="H35" t="str" cm="1">
        <f t="array" ref="H35">_xlfn.IFS(E35&gt;=16, "Excellent",E35&gt;=14, "Très bien", E35&gt;=12, "Bien", E35&gt;=10, "Passable", E35&lt;10, "Insuffisant")</f>
        <v>Excellent</v>
      </c>
      <c r="I35" s="14" t="str">
        <f t="shared" si="0"/>
        <v>RAS</v>
      </c>
      <c r="J35" s="14" t="str">
        <f t="shared" si="1"/>
        <v>Data</v>
      </c>
      <c r="L35" s="16"/>
    </row>
    <row r="36" spans="1:12">
      <c r="A36" t="s">
        <v>483</v>
      </c>
      <c r="B36" t="s">
        <v>135</v>
      </c>
      <c r="C36" t="s">
        <v>35</v>
      </c>
      <c r="D36">
        <v>19.11</v>
      </c>
      <c r="E36">
        <v>15.13</v>
      </c>
      <c r="F36" s="11">
        <v>0.55000000000000004</v>
      </c>
      <c r="G36" t="str">
        <f t="shared" si="2"/>
        <v>Admis sous condition</v>
      </c>
      <c r="H36" t="str" cm="1">
        <f t="array" ref="H36">_xlfn.IFS(E36&gt;=16, "Excellent",E36&gt;=14, "Très bien", E36&gt;=12, "Bien", E36&gt;=10, "Passable", E36&lt;10, "Insuffisant")</f>
        <v>Très bien</v>
      </c>
      <c r="I36" s="14" t="str">
        <f t="shared" si="0"/>
        <v>A surveiller</v>
      </c>
      <c r="J36" s="14" t="str">
        <f t="shared" si="1"/>
        <v>Autre filière</v>
      </c>
      <c r="L36" s="16"/>
    </row>
    <row r="37" spans="1:12">
      <c r="A37" t="s">
        <v>766</v>
      </c>
      <c r="B37" t="s">
        <v>220</v>
      </c>
      <c r="C37" t="s">
        <v>48</v>
      </c>
      <c r="D37">
        <v>17.23</v>
      </c>
      <c r="E37">
        <v>20</v>
      </c>
      <c r="F37" s="11">
        <v>0.87219999999999998</v>
      </c>
      <c r="G37" t="str">
        <f t="shared" si="2"/>
        <v>Admis</v>
      </c>
      <c r="H37" t="str" cm="1">
        <f t="array" ref="H37">_xlfn.IFS(E37&gt;=16, "Excellent",E37&gt;=14, "Très bien", E37&gt;=12, "Bien", E37&gt;=10, "Passable", E37&lt;10, "Insuffisant")</f>
        <v>Excellent</v>
      </c>
      <c r="I37" s="14" t="str">
        <f t="shared" si="0"/>
        <v>RAS</v>
      </c>
      <c r="J37" s="14" t="str">
        <f t="shared" si="1"/>
        <v>Autre filière</v>
      </c>
      <c r="K37" s="15"/>
      <c r="L37" s="16"/>
    </row>
    <row r="38" spans="1:12">
      <c r="A38" t="s">
        <v>211</v>
      </c>
      <c r="B38" t="s">
        <v>19</v>
      </c>
      <c r="C38" t="s">
        <v>48</v>
      </c>
      <c r="D38">
        <v>19.989999999999998</v>
      </c>
      <c r="E38">
        <v>19.13</v>
      </c>
      <c r="F38" s="11">
        <v>0.92949999999999999</v>
      </c>
      <c r="G38" t="str">
        <f t="shared" si="2"/>
        <v>Admis</v>
      </c>
      <c r="H38" t="str" cm="1">
        <f t="array" ref="H38">_xlfn.IFS(E38&gt;=16, "Excellent",E38&gt;=14, "Très bien", E38&gt;=12, "Bien", E38&gt;=10, "Passable", E38&lt;10, "Insuffisant")</f>
        <v>Excellent</v>
      </c>
      <c r="I38" s="14" t="str">
        <f t="shared" si="0"/>
        <v>RAS</v>
      </c>
      <c r="J38" s="14" t="str">
        <f t="shared" si="1"/>
        <v>Autre filière</v>
      </c>
      <c r="L38" s="16"/>
    </row>
    <row r="39" spans="1:12">
      <c r="A39" t="s">
        <v>1136</v>
      </c>
      <c r="B39" t="s">
        <v>65</v>
      </c>
      <c r="C39" t="s">
        <v>35</v>
      </c>
      <c r="D39">
        <v>14.31</v>
      </c>
      <c r="E39">
        <v>16.36</v>
      </c>
      <c r="F39" s="11">
        <v>0.92200000000000004</v>
      </c>
      <c r="G39" t="str">
        <f t="shared" si="2"/>
        <v>Admis</v>
      </c>
      <c r="H39" t="str" cm="1">
        <f t="array" ref="H39">_xlfn.IFS(E39&gt;=16, "Excellent",E39&gt;=14, "Très bien", E39&gt;=12, "Bien", E39&gt;=10, "Passable", E39&lt;10, "Insuffisant")</f>
        <v>Excellent</v>
      </c>
      <c r="I39" s="14" t="str">
        <f t="shared" si="0"/>
        <v>RAS</v>
      </c>
      <c r="J39" s="14" t="str">
        <f t="shared" si="1"/>
        <v>Autre filière</v>
      </c>
      <c r="L39" s="16"/>
    </row>
    <row r="40" spans="1:12">
      <c r="A40" t="s">
        <v>700</v>
      </c>
      <c r="B40" t="s">
        <v>258</v>
      </c>
      <c r="C40" t="s">
        <v>27</v>
      </c>
      <c r="D40">
        <v>19.61</v>
      </c>
      <c r="E40">
        <v>20</v>
      </c>
      <c r="F40" s="11">
        <v>0.74160000000000004</v>
      </c>
      <c r="G40" t="str">
        <f t="shared" si="2"/>
        <v>Admis sous condition</v>
      </c>
      <c r="H40" t="str" cm="1">
        <f t="array" ref="H40">_xlfn.IFS(E40&gt;=16, "Excellent",E40&gt;=14, "Très bien", E40&gt;=12, "Bien", E40&gt;=10, "Passable", E40&lt;10, "Insuffisant")</f>
        <v>Excellent</v>
      </c>
      <c r="I40" s="14" t="str">
        <f t="shared" si="0"/>
        <v>RAS</v>
      </c>
      <c r="J40" s="14" t="str">
        <f t="shared" si="1"/>
        <v>Autre filière</v>
      </c>
      <c r="L40" s="16"/>
    </row>
    <row r="41" spans="1:12">
      <c r="A41" t="s">
        <v>374</v>
      </c>
      <c r="B41" t="s">
        <v>194</v>
      </c>
      <c r="C41" t="s">
        <v>48</v>
      </c>
      <c r="D41">
        <v>17.12</v>
      </c>
      <c r="E41">
        <v>20</v>
      </c>
      <c r="F41" s="11">
        <v>0.67989999999999995</v>
      </c>
      <c r="G41" t="str">
        <f t="shared" si="2"/>
        <v>Admis sous condition</v>
      </c>
      <c r="H41" t="str" cm="1">
        <f t="array" ref="H41">_xlfn.IFS(E41&gt;=16, "Excellent",E41&gt;=14, "Très bien", E41&gt;=12, "Bien", E41&gt;=10, "Passable", E41&lt;10, "Insuffisant")</f>
        <v>Excellent</v>
      </c>
      <c r="I41" s="14" t="str">
        <f t="shared" si="0"/>
        <v>A surveiller</v>
      </c>
      <c r="J41" s="14" t="str">
        <f t="shared" si="1"/>
        <v>Autre filière</v>
      </c>
      <c r="L41" s="16"/>
    </row>
    <row r="42" spans="1:12">
      <c r="A42" t="s">
        <v>678</v>
      </c>
      <c r="B42" t="s">
        <v>679</v>
      </c>
      <c r="C42" t="s">
        <v>27</v>
      </c>
      <c r="D42">
        <v>11.69</v>
      </c>
      <c r="E42">
        <v>14.88</v>
      </c>
      <c r="F42" s="11">
        <v>0.6956</v>
      </c>
      <c r="G42" t="str">
        <f t="shared" si="2"/>
        <v>Admis sous condition</v>
      </c>
      <c r="H42" t="str" cm="1">
        <f t="array" ref="H42">_xlfn.IFS(E42&gt;=16, "Excellent",E42&gt;=14, "Très bien", E42&gt;=12, "Bien", E42&gt;=10, "Passable", E42&lt;10, "Insuffisant")</f>
        <v>Très bien</v>
      </c>
      <c r="I42" s="14" t="str">
        <f t="shared" si="0"/>
        <v>A surveiller</v>
      </c>
      <c r="J42" s="14" t="str">
        <f t="shared" si="1"/>
        <v>Autre filière</v>
      </c>
      <c r="L42" s="16"/>
    </row>
    <row r="43" spans="1:12">
      <c r="A43" t="s">
        <v>405</v>
      </c>
      <c r="B43" t="s">
        <v>406</v>
      </c>
      <c r="C43" t="s">
        <v>27</v>
      </c>
      <c r="D43">
        <v>16.95</v>
      </c>
      <c r="E43">
        <v>17.89</v>
      </c>
      <c r="F43" s="11">
        <v>0.86499999999999999</v>
      </c>
      <c r="G43" t="str">
        <f t="shared" si="2"/>
        <v>Admis</v>
      </c>
      <c r="H43" t="str" cm="1">
        <f t="array" ref="H43">_xlfn.IFS(E43&gt;=16, "Excellent",E43&gt;=14, "Très bien", E43&gt;=12, "Bien", E43&gt;=10, "Passable", E43&lt;10, "Insuffisant")</f>
        <v>Excellent</v>
      </c>
      <c r="I43" s="14" t="str">
        <f t="shared" si="0"/>
        <v>RAS</v>
      </c>
      <c r="J43" s="14" t="str">
        <f t="shared" si="1"/>
        <v>Autre filière</v>
      </c>
      <c r="K43" s="15"/>
      <c r="L43" s="16"/>
    </row>
    <row r="44" spans="1:12">
      <c r="A44" t="s">
        <v>719</v>
      </c>
      <c r="B44" t="s">
        <v>720</v>
      </c>
      <c r="C44" t="s">
        <v>27</v>
      </c>
      <c r="D44">
        <v>14.93</v>
      </c>
      <c r="E44">
        <v>18.79</v>
      </c>
      <c r="F44" s="11">
        <v>0.87239999999999995</v>
      </c>
      <c r="G44" t="str">
        <f t="shared" si="2"/>
        <v>Admis</v>
      </c>
      <c r="H44" t="str" cm="1">
        <f t="array" ref="H44">_xlfn.IFS(E44&gt;=16, "Excellent",E44&gt;=14, "Très bien", E44&gt;=12, "Bien", E44&gt;=10, "Passable", E44&lt;10, "Insuffisant")</f>
        <v>Excellent</v>
      </c>
      <c r="I44" s="14" t="str">
        <f t="shared" si="0"/>
        <v>RAS</v>
      </c>
      <c r="J44" s="14" t="str">
        <f t="shared" si="1"/>
        <v>Autre filière</v>
      </c>
      <c r="K44" s="15"/>
      <c r="L44" s="16"/>
    </row>
    <row r="45" spans="1:12">
      <c r="A45" t="s">
        <v>972</v>
      </c>
      <c r="B45" t="s">
        <v>494</v>
      </c>
      <c r="C45" t="s">
        <v>27</v>
      </c>
      <c r="D45">
        <v>15.62</v>
      </c>
      <c r="E45">
        <v>13.34</v>
      </c>
      <c r="F45" s="11">
        <v>0.69230000000000003</v>
      </c>
      <c r="G45" t="str">
        <f t="shared" si="2"/>
        <v>Admis sous condition</v>
      </c>
      <c r="H45" t="str" cm="1">
        <f t="array" ref="H45">_xlfn.IFS(E45&gt;=16, "Excellent",E45&gt;=14, "Très bien", E45&gt;=12, "Bien", E45&gt;=10, "Passable", E45&lt;10, "Insuffisant")</f>
        <v>Bien</v>
      </c>
      <c r="I45" s="14" t="str">
        <f t="shared" si="0"/>
        <v>A surveiller</v>
      </c>
      <c r="J45" s="14" t="str">
        <f t="shared" si="1"/>
        <v>Autre filière</v>
      </c>
      <c r="L45" s="16"/>
    </row>
    <row r="46" spans="1:12">
      <c r="A46" t="s">
        <v>1100</v>
      </c>
      <c r="B46" t="s">
        <v>213</v>
      </c>
      <c r="C46" t="s">
        <v>48</v>
      </c>
      <c r="D46">
        <v>17.37</v>
      </c>
      <c r="E46">
        <v>16.739999999999998</v>
      </c>
      <c r="F46" s="11">
        <v>0.87680000000000002</v>
      </c>
      <c r="G46" t="str">
        <f t="shared" si="2"/>
        <v>Admis</v>
      </c>
      <c r="H46" t="str" cm="1">
        <f t="array" ref="H46">_xlfn.IFS(E46&gt;=16, "Excellent",E46&gt;=14, "Très bien", E46&gt;=12, "Bien", E46&gt;=10, "Passable", E46&lt;10, "Insuffisant")</f>
        <v>Excellent</v>
      </c>
      <c r="I46" s="14" t="str">
        <f t="shared" si="0"/>
        <v>RAS</v>
      </c>
      <c r="J46" s="14" t="str">
        <f t="shared" si="1"/>
        <v>Autre filière</v>
      </c>
      <c r="K46" s="15"/>
      <c r="L46" s="16"/>
    </row>
    <row r="47" spans="1:12">
      <c r="A47" t="s">
        <v>1236</v>
      </c>
      <c r="B47" t="s">
        <v>793</v>
      </c>
      <c r="C47" t="s">
        <v>35</v>
      </c>
      <c r="D47">
        <v>14.65</v>
      </c>
      <c r="E47">
        <v>18.47</v>
      </c>
      <c r="F47" s="11">
        <v>0.77449999999999997</v>
      </c>
      <c r="G47" t="str">
        <f t="shared" si="2"/>
        <v>Admis sous condition</v>
      </c>
      <c r="H47" t="str" cm="1">
        <f t="array" ref="H47">_xlfn.IFS(E47&gt;=16, "Excellent",E47&gt;=14, "Très bien", E47&gt;=12, "Bien", E47&gt;=10, "Passable", E47&lt;10, "Insuffisant")</f>
        <v>Excellent</v>
      </c>
      <c r="I47" s="14" t="str">
        <f t="shared" si="0"/>
        <v>RAS</v>
      </c>
      <c r="J47" s="14" t="str">
        <f t="shared" si="1"/>
        <v>Autre filière</v>
      </c>
      <c r="L47" s="16"/>
    </row>
    <row r="48" spans="1:12">
      <c r="A48" t="s">
        <v>944</v>
      </c>
      <c r="B48" t="s">
        <v>291</v>
      </c>
      <c r="C48" t="s">
        <v>35</v>
      </c>
      <c r="D48">
        <v>16.43</v>
      </c>
      <c r="E48">
        <v>15.73</v>
      </c>
      <c r="F48" s="11">
        <v>0.83879999999999999</v>
      </c>
      <c r="G48" t="str">
        <f t="shared" si="2"/>
        <v>Admis</v>
      </c>
      <c r="H48" t="str" cm="1">
        <f t="array" ref="H48">_xlfn.IFS(E48&gt;=16, "Excellent",E48&gt;=14, "Très bien", E48&gt;=12, "Bien", E48&gt;=10, "Passable", E48&lt;10, "Insuffisant")</f>
        <v>Très bien</v>
      </c>
      <c r="I48" s="14" t="str">
        <f t="shared" si="0"/>
        <v>RAS</v>
      </c>
      <c r="J48" s="14" t="str">
        <f t="shared" si="1"/>
        <v>Autre filière</v>
      </c>
      <c r="K48" s="15"/>
      <c r="L48" s="16"/>
    </row>
    <row r="49" spans="1:12">
      <c r="A49" t="s">
        <v>665</v>
      </c>
      <c r="B49" t="s">
        <v>258</v>
      </c>
      <c r="C49" t="s">
        <v>48</v>
      </c>
      <c r="D49">
        <v>12.9</v>
      </c>
      <c r="E49">
        <v>16.61</v>
      </c>
      <c r="F49" s="11">
        <v>0.91410000000000002</v>
      </c>
      <c r="G49" t="str">
        <f t="shared" si="2"/>
        <v>Admis</v>
      </c>
      <c r="H49" t="str" cm="1">
        <f t="array" ref="H49">_xlfn.IFS(E49&gt;=16, "Excellent",E49&gt;=14, "Très bien", E49&gt;=12, "Bien", E49&gt;=10, "Passable", E49&lt;10, "Insuffisant")</f>
        <v>Excellent</v>
      </c>
      <c r="I49" s="14" t="str">
        <f t="shared" si="0"/>
        <v>RAS</v>
      </c>
      <c r="J49" s="14" t="str">
        <f t="shared" si="1"/>
        <v>Autre filière</v>
      </c>
      <c r="L49" s="16"/>
    </row>
    <row r="50" spans="1:12">
      <c r="A50" t="s">
        <v>110</v>
      </c>
      <c r="B50" t="s">
        <v>111</v>
      </c>
      <c r="C50" t="s">
        <v>35</v>
      </c>
      <c r="D50">
        <v>18.57</v>
      </c>
      <c r="E50">
        <v>12.73</v>
      </c>
      <c r="F50" s="11">
        <v>0.90200000000000002</v>
      </c>
      <c r="G50" t="str">
        <f t="shared" si="2"/>
        <v>Admis</v>
      </c>
      <c r="H50" t="str" cm="1">
        <f t="array" ref="H50">_xlfn.IFS(E50&gt;=16, "Excellent",E50&gt;=14, "Très bien", E50&gt;=12, "Bien", E50&gt;=10, "Passable", E50&lt;10, "Insuffisant")</f>
        <v>Bien</v>
      </c>
      <c r="I50" s="14" t="str">
        <f t="shared" si="0"/>
        <v>RAS</v>
      </c>
      <c r="J50" s="14" t="str">
        <f t="shared" si="1"/>
        <v>Autre filière</v>
      </c>
      <c r="L50" s="16"/>
    </row>
    <row r="51" spans="1:12">
      <c r="A51" t="s">
        <v>547</v>
      </c>
      <c r="B51" t="s">
        <v>423</v>
      </c>
      <c r="C51" t="s">
        <v>27</v>
      </c>
      <c r="D51">
        <v>16.18</v>
      </c>
      <c r="E51">
        <v>15.55</v>
      </c>
      <c r="F51" s="11">
        <v>0.86739999999999995</v>
      </c>
      <c r="G51" t="str">
        <f t="shared" si="2"/>
        <v>Admis</v>
      </c>
      <c r="H51" t="str" cm="1">
        <f t="array" ref="H51">_xlfn.IFS(E51&gt;=16, "Excellent",E51&gt;=14, "Très bien", E51&gt;=12, "Bien", E51&gt;=10, "Passable", E51&lt;10, "Insuffisant")</f>
        <v>Très bien</v>
      </c>
      <c r="I51" s="14" t="str">
        <f t="shared" si="0"/>
        <v>RAS</v>
      </c>
      <c r="J51" s="14" t="str">
        <f t="shared" si="1"/>
        <v>Autre filière</v>
      </c>
      <c r="K51" s="15"/>
      <c r="L51" s="16"/>
    </row>
    <row r="52" spans="1:12">
      <c r="A52" t="s">
        <v>573</v>
      </c>
      <c r="B52" t="s">
        <v>485</v>
      </c>
      <c r="C52" t="s">
        <v>22</v>
      </c>
      <c r="D52">
        <v>11.79</v>
      </c>
      <c r="E52">
        <v>13.26</v>
      </c>
      <c r="F52" s="11">
        <v>0.8589</v>
      </c>
      <c r="G52" t="str">
        <f t="shared" si="2"/>
        <v>Admis sous condition</v>
      </c>
      <c r="H52" t="str" cm="1">
        <f t="array" ref="H52">_xlfn.IFS(E52&gt;=16, "Excellent",E52&gt;=14, "Très bien", E52&gt;=12, "Bien", E52&gt;=10, "Passable", E52&lt;10, "Insuffisant")</f>
        <v>Bien</v>
      </c>
      <c r="I52" s="14" t="str">
        <f t="shared" si="0"/>
        <v>RAS</v>
      </c>
      <c r="J52" s="14" t="str">
        <f t="shared" si="1"/>
        <v>Data</v>
      </c>
      <c r="K52" s="15"/>
      <c r="L52" s="16"/>
    </row>
    <row r="53" spans="1:12">
      <c r="A53" t="s">
        <v>616</v>
      </c>
      <c r="B53" t="s">
        <v>194</v>
      </c>
      <c r="C53" t="s">
        <v>48</v>
      </c>
      <c r="D53">
        <v>14.37</v>
      </c>
      <c r="E53">
        <v>14.34</v>
      </c>
      <c r="F53" s="11">
        <v>0.66879999999999995</v>
      </c>
      <c r="G53" t="str">
        <f t="shared" si="2"/>
        <v>Admis sous condition</v>
      </c>
      <c r="H53" t="str" cm="1">
        <f t="array" ref="H53">_xlfn.IFS(E53&gt;=16, "Excellent",E53&gt;=14, "Très bien", E53&gt;=12, "Bien", E53&gt;=10, "Passable", E53&lt;10, "Insuffisant")</f>
        <v>Très bien</v>
      </c>
      <c r="I53" s="14" t="str">
        <f t="shared" si="0"/>
        <v>A surveiller</v>
      </c>
      <c r="J53" s="14" t="str">
        <f t="shared" si="1"/>
        <v>Autre filière</v>
      </c>
      <c r="L53" s="16"/>
    </row>
    <row r="54" spans="1:12">
      <c r="A54" t="s">
        <v>617</v>
      </c>
      <c r="B54" t="s">
        <v>618</v>
      </c>
      <c r="C54" t="s">
        <v>22</v>
      </c>
      <c r="D54">
        <v>17.63</v>
      </c>
      <c r="E54">
        <v>20</v>
      </c>
      <c r="F54" s="11">
        <v>0.88249999999999995</v>
      </c>
      <c r="G54" t="str">
        <f t="shared" si="2"/>
        <v>Admis</v>
      </c>
      <c r="H54" t="str" cm="1">
        <f t="array" ref="H54">_xlfn.IFS(E54&gt;=16, "Excellent",E54&gt;=14, "Très bien", E54&gt;=12, "Bien", E54&gt;=10, "Passable", E54&lt;10, "Insuffisant")</f>
        <v>Excellent</v>
      </c>
      <c r="I54" s="14" t="str">
        <f t="shared" si="0"/>
        <v>RAS</v>
      </c>
      <c r="J54" s="14" t="str">
        <f t="shared" si="1"/>
        <v>Data</v>
      </c>
      <c r="K54" s="15"/>
      <c r="L54" s="16"/>
    </row>
    <row r="55" spans="1:12">
      <c r="A55" t="s">
        <v>312</v>
      </c>
      <c r="B55" t="s">
        <v>313</v>
      </c>
      <c r="C55" t="s">
        <v>35</v>
      </c>
      <c r="D55">
        <v>17.34</v>
      </c>
      <c r="E55">
        <v>15.47</v>
      </c>
      <c r="F55" s="11">
        <v>0.83650000000000002</v>
      </c>
      <c r="G55" t="str">
        <f t="shared" si="2"/>
        <v>Admis</v>
      </c>
      <c r="H55" t="str" cm="1">
        <f t="array" ref="H55">_xlfn.IFS(E55&gt;=16, "Excellent",E55&gt;=14, "Très bien", E55&gt;=12, "Bien", E55&gt;=10, "Passable", E55&lt;10, "Insuffisant")</f>
        <v>Très bien</v>
      </c>
      <c r="I55" s="14" t="str">
        <f t="shared" si="0"/>
        <v>RAS</v>
      </c>
      <c r="J55" s="14" t="str">
        <f t="shared" si="1"/>
        <v>Autre filière</v>
      </c>
      <c r="K55" s="15"/>
      <c r="L55" s="16"/>
    </row>
    <row r="56" spans="1:12">
      <c r="A56" t="s">
        <v>1337</v>
      </c>
      <c r="B56" t="s">
        <v>55</v>
      </c>
      <c r="C56" t="s">
        <v>22</v>
      </c>
      <c r="D56">
        <v>16.309999999999999</v>
      </c>
      <c r="E56">
        <v>11.5</v>
      </c>
      <c r="F56" s="11">
        <v>0.90300000000000002</v>
      </c>
      <c r="G56" t="str">
        <f t="shared" si="2"/>
        <v>Admis sous condition</v>
      </c>
      <c r="H56" t="str" cm="1">
        <f t="array" ref="H56">_xlfn.IFS(E56&gt;=16, "Excellent",E56&gt;=14, "Très bien", E56&gt;=12, "Bien", E56&gt;=10, "Passable", E56&lt;10, "Insuffisant")</f>
        <v>Passable</v>
      </c>
      <c r="I56" s="14" t="str">
        <f t="shared" si="0"/>
        <v>RAS</v>
      </c>
      <c r="J56" s="14" t="str">
        <f t="shared" si="1"/>
        <v>Data</v>
      </c>
      <c r="L56" s="16"/>
    </row>
    <row r="57" spans="1:12">
      <c r="A57" t="s">
        <v>411</v>
      </c>
      <c r="B57" t="s">
        <v>412</v>
      </c>
      <c r="C57" t="s">
        <v>35</v>
      </c>
      <c r="D57">
        <v>15.81</v>
      </c>
      <c r="E57">
        <v>14.67</v>
      </c>
      <c r="F57" s="11">
        <v>0.9395</v>
      </c>
      <c r="G57" t="str">
        <f t="shared" si="2"/>
        <v>Admis</v>
      </c>
      <c r="H57" t="str" cm="1">
        <f t="array" ref="H57">_xlfn.IFS(E57&gt;=16, "Excellent",E57&gt;=14, "Très bien", E57&gt;=12, "Bien", E57&gt;=10, "Passable", E57&lt;10, "Insuffisant")</f>
        <v>Très bien</v>
      </c>
      <c r="I57" s="14" t="str">
        <f t="shared" si="0"/>
        <v>RAS</v>
      </c>
      <c r="J57" s="14" t="str">
        <f t="shared" si="1"/>
        <v>Autre filière</v>
      </c>
      <c r="L57" s="16"/>
    </row>
    <row r="58" spans="1:12">
      <c r="A58" t="s">
        <v>1010</v>
      </c>
      <c r="B58" t="s">
        <v>636</v>
      </c>
      <c r="C58" t="s">
        <v>48</v>
      </c>
      <c r="D58">
        <v>18.72</v>
      </c>
      <c r="E58">
        <v>20</v>
      </c>
      <c r="F58" s="11">
        <v>0.91690000000000005</v>
      </c>
      <c r="G58" t="str">
        <f t="shared" si="2"/>
        <v>Admis</v>
      </c>
      <c r="H58" t="str" cm="1">
        <f t="array" ref="H58">_xlfn.IFS(E58&gt;=16, "Excellent",E58&gt;=14, "Très bien", E58&gt;=12, "Bien", E58&gt;=10, "Passable", E58&lt;10, "Insuffisant")</f>
        <v>Excellent</v>
      </c>
      <c r="I58" s="14" t="str">
        <f t="shared" si="0"/>
        <v>RAS</v>
      </c>
      <c r="J58" s="14" t="str">
        <f t="shared" si="1"/>
        <v>Autre filière</v>
      </c>
      <c r="L58" s="16"/>
    </row>
    <row r="59" spans="1:12">
      <c r="A59" t="s">
        <v>419</v>
      </c>
      <c r="B59" t="s">
        <v>420</v>
      </c>
      <c r="C59" t="s">
        <v>48</v>
      </c>
      <c r="D59">
        <v>20</v>
      </c>
      <c r="E59">
        <v>16.09</v>
      </c>
      <c r="F59" s="11">
        <v>0.75680000000000003</v>
      </c>
      <c r="G59" t="str">
        <f t="shared" si="2"/>
        <v>Admis sous condition</v>
      </c>
      <c r="H59" t="str" cm="1">
        <f t="array" ref="H59">_xlfn.IFS(E59&gt;=16, "Excellent",E59&gt;=14, "Très bien", E59&gt;=12, "Bien", E59&gt;=10, "Passable", E59&lt;10, "Insuffisant")</f>
        <v>Excellent</v>
      </c>
      <c r="I59" s="14" t="str">
        <f t="shared" si="0"/>
        <v>RAS</v>
      </c>
      <c r="J59" s="14" t="str">
        <f t="shared" si="1"/>
        <v>Autre filière</v>
      </c>
      <c r="L59" s="16"/>
    </row>
    <row r="60" spans="1:12">
      <c r="A60" t="s">
        <v>327</v>
      </c>
      <c r="B60" t="s">
        <v>231</v>
      </c>
      <c r="C60" t="s">
        <v>48</v>
      </c>
      <c r="D60">
        <v>16.14</v>
      </c>
      <c r="E60">
        <v>20</v>
      </c>
      <c r="F60" s="11">
        <v>0.85829999999999995</v>
      </c>
      <c r="G60" t="str">
        <f t="shared" si="2"/>
        <v>Admis</v>
      </c>
      <c r="H60" t="str" cm="1">
        <f t="array" ref="H60">_xlfn.IFS(E60&gt;=16, "Excellent",E60&gt;=14, "Très bien", E60&gt;=12, "Bien", E60&gt;=10, "Passable", E60&lt;10, "Insuffisant")</f>
        <v>Excellent</v>
      </c>
      <c r="I60" s="14" t="str">
        <f t="shared" si="0"/>
        <v>RAS</v>
      </c>
      <c r="J60" s="14" t="str">
        <f t="shared" si="1"/>
        <v>Autre filière</v>
      </c>
      <c r="K60" s="15"/>
      <c r="L60" s="16"/>
    </row>
    <row r="61" spans="1:12">
      <c r="A61" t="s">
        <v>1060</v>
      </c>
      <c r="B61" t="s">
        <v>744</v>
      </c>
      <c r="C61" t="s">
        <v>48</v>
      </c>
      <c r="D61">
        <v>17.46</v>
      </c>
      <c r="E61">
        <v>20</v>
      </c>
      <c r="F61" s="11">
        <v>0.95450000000000002</v>
      </c>
      <c r="G61" t="str">
        <f t="shared" si="2"/>
        <v>Admis</v>
      </c>
      <c r="H61" t="str" cm="1">
        <f t="array" ref="H61">_xlfn.IFS(E61&gt;=16, "Excellent",E61&gt;=14, "Très bien", E61&gt;=12, "Bien", E61&gt;=10, "Passable", E61&lt;10, "Insuffisant")</f>
        <v>Excellent</v>
      </c>
      <c r="I61" s="14" t="str">
        <f t="shared" si="0"/>
        <v>RAS</v>
      </c>
      <c r="J61" s="14" t="str">
        <f t="shared" si="1"/>
        <v>Autre filière</v>
      </c>
      <c r="L61" s="16"/>
    </row>
    <row r="62" spans="1:12">
      <c r="A62" t="s">
        <v>694</v>
      </c>
      <c r="B62" t="s">
        <v>555</v>
      </c>
      <c r="C62" t="s">
        <v>48</v>
      </c>
      <c r="D62">
        <v>16.399999999999999</v>
      </c>
      <c r="E62">
        <v>15.67</v>
      </c>
      <c r="F62" s="11">
        <v>0.61680000000000001</v>
      </c>
      <c r="G62" t="str">
        <f t="shared" si="2"/>
        <v>Admis sous condition</v>
      </c>
      <c r="H62" t="str" cm="1">
        <f t="array" ref="H62">_xlfn.IFS(E62&gt;=16, "Excellent",E62&gt;=14, "Très bien", E62&gt;=12, "Bien", E62&gt;=10, "Passable", E62&lt;10, "Insuffisant")</f>
        <v>Très bien</v>
      </c>
      <c r="I62" s="14" t="str">
        <f t="shared" si="0"/>
        <v>A surveiller</v>
      </c>
      <c r="J62" s="14" t="str">
        <f t="shared" si="1"/>
        <v>Autre filière</v>
      </c>
      <c r="L62" s="16"/>
    </row>
    <row r="63" spans="1:12">
      <c r="A63" t="s">
        <v>1180</v>
      </c>
      <c r="B63" t="s">
        <v>479</v>
      </c>
      <c r="C63" t="s">
        <v>35</v>
      </c>
      <c r="D63">
        <v>16.55</v>
      </c>
      <c r="E63">
        <v>17.45</v>
      </c>
      <c r="F63" s="11">
        <v>0.91310000000000002</v>
      </c>
      <c r="G63" t="str">
        <f t="shared" si="2"/>
        <v>Admis</v>
      </c>
      <c r="H63" t="str" cm="1">
        <f t="array" ref="H63">_xlfn.IFS(E63&gt;=16, "Excellent",E63&gt;=14, "Très bien", E63&gt;=12, "Bien", E63&gt;=10, "Passable", E63&lt;10, "Insuffisant")</f>
        <v>Excellent</v>
      </c>
      <c r="I63" s="14" t="str">
        <f t="shared" si="0"/>
        <v>RAS</v>
      </c>
      <c r="J63" s="14" t="str">
        <f t="shared" si="1"/>
        <v>Autre filière</v>
      </c>
      <c r="L63" s="16"/>
    </row>
    <row r="64" spans="1:12">
      <c r="A64" t="s">
        <v>763</v>
      </c>
      <c r="B64" t="s">
        <v>173</v>
      </c>
      <c r="C64" t="s">
        <v>27</v>
      </c>
      <c r="D64">
        <v>17.670000000000002</v>
      </c>
      <c r="E64">
        <v>20</v>
      </c>
      <c r="F64" s="11">
        <v>0.74709999999999999</v>
      </c>
      <c r="G64" t="str">
        <f t="shared" si="2"/>
        <v>Admis sous condition</v>
      </c>
      <c r="H64" t="str" cm="1">
        <f t="array" ref="H64">_xlfn.IFS(E64&gt;=16, "Excellent",E64&gt;=14, "Très bien", E64&gt;=12, "Bien", E64&gt;=10, "Passable", E64&lt;10, "Insuffisant")</f>
        <v>Excellent</v>
      </c>
      <c r="I64" s="14" t="str">
        <f t="shared" si="0"/>
        <v>RAS</v>
      </c>
      <c r="J64" s="14" t="str">
        <f t="shared" si="1"/>
        <v>Autre filière</v>
      </c>
      <c r="L64" s="16"/>
    </row>
    <row r="65" spans="1:12">
      <c r="A65" t="s">
        <v>838</v>
      </c>
      <c r="B65" t="s">
        <v>241</v>
      </c>
      <c r="C65" t="s">
        <v>27</v>
      </c>
      <c r="D65">
        <v>18.98</v>
      </c>
      <c r="E65">
        <v>20</v>
      </c>
      <c r="F65" s="11">
        <v>0.88</v>
      </c>
      <c r="G65" t="str">
        <f t="shared" si="2"/>
        <v>Admis</v>
      </c>
      <c r="H65" t="str" cm="1">
        <f t="array" ref="H65">_xlfn.IFS(E65&gt;=16, "Excellent",E65&gt;=14, "Très bien", E65&gt;=12, "Bien", E65&gt;=10, "Passable", E65&lt;10, "Insuffisant")</f>
        <v>Excellent</v>
      </c>
      <c r="I65" s="14" t="str">
        <f t="shared" si="0"/>
        <v>RAS</v>
      </c>
      <c r="J65" s="14" t="str">
        <f t="shared" si="1"/>
        <v>Autre filière</v>
      </c>
      <c r="K65" s="15"/>
      <c r="L65" s="16"/>
    </row>
    <row r="66" spans="1:12">
      <c r="A66" t="s">
        <v>282</v>
      </c>
      <c r="B66" t="s">
        <v>283</v>
      </c>
      <c r="C66" t="s">
        <v>48</v>
      </c>
      <c r="D66">
        <v>16.760000000000002</v>
      </c>
      <c r="E66">
        <v>15.15</v>
      </c>
      <c r="F66" s="11">
        <v>0.83130000000000004</v>
      </c>
      <c r="G66" t="str">
        <f t="shared" si="2"/>
        <v>Admis</v>
      </c>
      <c r="H66" t="str" cm="1">
        <f t="array" ref="H66">_xlfn.IFS(E66&gt;=16, "Excellent",E66&gt;=14, "Très bien", E66&gt;=12, "Bien", E66&gt;=10, "Passable", E66&lt;10, "Insuffisant")</f>
        <v>Très bien</v>
      </c>
      <c r="I66" s="14" t="str">
        <f t="shared" si="0"/>
        <v>RAS</v>
      </c>
      <c r="J66" s="14" t="str">
        <f t="shared" si="1"/>
        <v>Autre filière</v>
      </c>
      <c r="K66" s="15"/>
      <c r="L66" s="16"/>
    </row>
    <row r="67" spans="1:12">
      <c r="A67" t="s">
        <v>668</v>
      </c>
      <c r="B67" t="s">
        <v>669</v>
      </c>
      <c r="C67" t="s">
        <v>27</v>
      </c>
      <c r="D67">
        <v>13.77</v>
      </c>
      <c r="E67">
        <v>16.64</v>
      </c>
      <c r="F67" s="11">
        <v>0.80230000000000001</v>
      </c>
      <c r="G67" t="str">
        <f t="shared" si="2"/>
        <v>Admis</v>
      </c>
      <c r="H67" t="str" cm="1">
        <f t="array" ref="H67">_xlfn.IFS(E67&gt;=16, "Excellent",E67&gt;=14, "Très bien", E67&gt;=12, "Bien", E67&gt;=10, "Passable", E67&lt;10, "Insuffisant")</f>
        <v>Excellent</v>
      </c>
      <c r="I67" s="14" t="str">
        <f t="shared" ref="I67:I130" si="3">IF(OR(D67&lt;10,E67&lt;10,F67&lt;70%), "A surveiller", "RAS")</f>
        <v>RAS</v>
      </c>
      <c r="J67" s="14" t="str">
        <f t="shared" ref="J67:J130" si="4">IF(NOT(C67="Data"), "Autre filière", "Data")</f>
        <v>Autre filière</v>
      </c>
      <c r="K67" s="15"/>
      <c r="L67" s="16"/>
    </row>
    <row r="68" spans="1:12">
      <c r="A68" t="s">
        <v>1285</v>
      </c>
      <c r="B68" t="s">
        <v>737</v>
      </c>
      <c r="C68" t="s">
        <v>22</v>
      </c>
      <c r="D68">
        <v>13.76</v>
      </c>
      <c r="E68">
        <v>16.34</v>
      </c>
      <c r="F68" s="11">
        <v>0.55000000000000004</v>
      </c>
      <c r="G68" t="str">
        <f t="shared" si="2"/>
        <v>Admis sous condition</v>
      </c>
      <c r="H68" t="str" cm="1">
        <f t="array" ref="H68">_xlfn.IFS(E68&gt;=16, "Excellent",E68&gt;=14, "Très bien", E68&gt;=12, "Bien", E68&gt;=10, "Passable", E68&lt;10, "Insuffisant")</f>
        <v>Excellent</v>
      </c>
      <c r="I68" s="14" t="str">
        <f t="shared" si="3"/>
        <v>A surveiller</v>
      </c>
      <c r="J68" s="14" t="str">
        <f t="shared" si="4"/>
        <v>Data</v>
      </c>
      <c r="L68" s="16"/>
    </row>
    <row r="69" spans="1:12">
      <c r="A69" t="s">
        <v>1014</v>
      </c>
      <c r="B69" t="s">
        <v>853</v>
      </c>
      <c r="C69" t="s">
        <v>35</v>
      </c>
      <c r="D69">
        <v>14.63</v>
      </c>
      <c r="E69">
        <v>16.96</v>
      </c>
      <c r="F69" s="11">
        <v>0.93830000000000002</v>
      </c>
      <c r="G69" t="str">
        <f t="shared" si="2"/>
        <v>Admis</v>
      </c>
      <c r="H69" t="str" cm="1">
        <f t="array" ref="H69">_xlfn.IFS(E69&gt;=16, "Excellent",E69&gt;=14, "Très bien", E69&gt;=12, "Bien", E69&gt;=10, "Passable", E69&lt;10, "Insuffisant")</f>
        <v>Excellent</v>
      </c>
      <c r="I69" s="14" t="str">
        <f t="shared" si="3"/>
        <v>RAS</v>
      </c>
      <c r="J69" s="14" t="str">
        <f t="shared" si="4"/>
        <v>Autre filière</v>
      </c>
      <c r="L69" s="16"/>
    </row>
    <row r="70" spans="1:12">
      <c r="A70" t="s">
        <v>1117</v>
      </c>
      <c r="B70" t="s">
        <v>295</v>
      </c>
      <c r="C70" t="s">
        <v>35</v>
      </c>
      <c r="D70">
        <v>20</v>
      </c>
      <c r="E70">
        <v>20</v>
      </c>
      <c r="F70" s="11">
        <v>0.96150000000000002</v>
      </c>
      <c r="G70" t="str">
        <f t="shared" si="2"/>
        <v>Admis</v>
      </c>
      <c r="H70" t="str" cm="1">
        <f t="array" ref="H70">_xlfn.IFS(E70&gt;=16, "Excellent",E70&gt;=14, "Très bien", E70&gt;=12, "Bien", E70&gt;=10, "Passable", E70&lt;10, "Insuffisant")</f>
        <v>Excellent</v>
      </c>
      <c r="I70" s="14" t="str">
        <f t="shared" si="3"/>
        <v>RAS</v>
      </c>
      <c r="J70" s="14" t="str">
        <f t="shared" si="4"/>
        <v>Autre filière</v>
      </c>
      <c r="L70" s="16"/>
    </row>
    <row r="71" spans="1:12">
      <c r="A71" t="s">
        <v>812</v>
      </c>
      <c r="B71" t="s">
        <v>270</v>
      </c>
      <c r="C71" t="s">
        <v>27</v>
      </c>
      <c r="D71">
        <v>13.84</v>
      </c>
      <c r="E71">
        <v>19.28</v>
      </c>
      <c r="F71" s="11">
        <v>0.58179999999999998</v>
      </c>
      <c r="G71" t="str">
        <f t="shared" si="2"/>
        <v>Admis sous condition</v>
      </c>
      <c r="H71" t="str" cm="1">
        <f t="array" ref="H71">_xlfn.IFS(E71&gt;=16, "Excellent",E71&gt;=14, "Très bien", E71&gt;=12, "Bien", E71&gt;=10, "Passable", E71&lt;10, "Insuffisant")</f>
        <v>Excellent</v>
      </c>
      <c r="I71" s="14" t="str">
        <f t="shared" si="3"/>
        <v>A surveiller</v>
      </c>
      <c r="J71" s="14" t="str">
        <f t="shared" si="4"/>
        <v>Autre filière</v>
      </c>
      <c r="L71" s="16"/>
    </row>
    <row r="72" spans="1:12">
      <c r="A72" t="s">
        <v>1191</v>
      </c>
      <c r="B72" t="s">
        <v>651</v>
      </c>
      <c r="C72" t="s">
        <v>27</v>
      </c>
      <c r="D72">
        <v>17.100000000000001</v>
      </c>
      <c r="E72">
        <v>20</v>
      </c>
      <c r="F72" s="11">
        <v>0.83660000000000001</v>
      </c>
      <c r="G72" t="str">
        <f t="shared" si="2"/>
        <v>Admis</v>
      </c>
      <c r="H72" t="str" cm="1">
        <f t="array" ref="H72">_xlfn.IFS(E72&gt;=16, "Excellent",E72&gt;=14, "Très bien", E72&gt;=12, "Bien", E72&gt;=10, "Passable", E72&lt;10, "Insuffisant")</f>
        <v>Excellent</v>
      </c>
      <c r="I72" s="14" t="str">
        <f t="shared" si="3"/>
        <v>RAS</v>
      </c>
      <c r="J72" s="14" t="str">
        <f t="shared" si="4"/>
        <v>Autre filière</v>
      </c>
      <c r="K72" s="15"/>
      <c r="L72" s="16"/>
    </row>
    <row r="73" spans="1:12">
      <c r="A73" t="s">
        <v>1079</v>
      </c>
      <c r="B73" t="s">
        <v>301</v>
      </c>
      <c r="C73" t="s">
        <v>48</v>
      </c>
      <c r="D73">
        <v>19.72</v>
      </c>
      <c r="E73">
        <v>18.78</v>
      </c>
      <c r="F73" s="11">
        <v>0.72019999999999995</v>
      </c>
      <c r="G73" t="str">
        <f t="shared" si="2"/>
        <v>Admis sous condition</v>
      </c>
      <c r="H73" t="str" cm="1">
        <f t="array" ref="H73">_xlfn.IFS(E73&gt;=16, "Excellent",E73&gt;=14, "Très bien", E73&gt;=12, "Bien", E73&gt;=10, "Passable", E73&lt;10, "Insuffisant")</f>
        <v>Excellent</v>
      </c>
      <c r="I73" s="14" t="str">
        <f t="shared" si="3"/>
        <v>RAS</v>
      </c>
      <c r="J73" s="14" t="str">
        <f t="shared" si="4"/>
        <v>Autre filière</v>
      </c>
      <c r="L73" s="16"/>
    </row>
    <row r="74" spans="1:12">
      <c r="A74" t="s">
        <v>925</v>
      </c>
      <c r="B74" t="s">
        <v>926</v>
      </c>
      <c r="C74" t="s">
        <v>48</v>
      </c>
      <c r="D74">
        <v>9.52</v>
      </c>
      <c r="E74">
        <v>9.15</v>
      </c>
      <c r="F74" s="11">
        <v>0.85309999999999997</v>
      </c>
      <c r="G74" t="str">
        <f t="shared" si="2"/>
        <v>Refusé</v>
      </c>
      <c r="H74" t="str" cm="1">
        <f t="array" ref="H74">_xlfn.IFS(E74&gt;=16, "Excellent",E74&gt;=14, "Très bien", E74&gt;=12, "Bien", E74&gt;=10, "Passable", E74&lt;10, "Insuffisant")</f>
        <v>Insuffisant</v>
      </c>
      <c r="I74" s="14" t="str">
        <f t="shared" si="3"/>
        <v>A surveiller</v>
      </c>
      <c r="J74" s="14" t="str">
        <f t="shared" si="4"/>
        <v>Autre filière</v>
      </c>
      <c r="K74" s="15"/>
      <c r="L74" s="16"/>
    </row>
    <row r="75" spans="1:12">
      <c r="A75" t="s">
        <v>1063</v>
      </c>
      <c r="B75" t="s">
        <v>148</v>
      </c>
      <c r="C75" t="s">
        <v>48</v>
      </c>
      <c r="D75">
        <v>15.58</v>
      </c>
      <c r="E75">
        <v>20</v>
      </c>
      <c r="F75" s="11">
        <v>0.82840000000000003</v>
      </c>
      <c r="G75" t="str">
        <f t="shared" si="2"/>
        <v>Admis</v>
      </c>
      <c r="H75" t="str" cm="1">
        <f t="array" ref="H75">_xlfn.IFS(E75&gt;=16, "Excellent",E75&gt;=14, "Très bien", E75&gt;=12, "Bien", E75&gt;=10, "Passable", E75&lt;10, "Insuffisant")</f>
        <v>Excellent</v>
      </c>
      <c r="I75" s="14" t="str">
        <f t="shared" si="3"/>
        <v>RAS</v>
      </c>
      <c r="J75" s="14" t="str">
        <f t="shared" si="4"/>
        <v>Autre filière</v>
      </c>
      <c r="K75" s="15"/>
      <c r="L75" s="16"/>
    </row>
    <row r="76" spans="1:12">
      <c r="A76" t="s">
        <v>723</v>
      </c>
      <c r="B76" t="s">
        <v>724</v>
      </c>
      <c r="C76" t="s">
        <v>27</v>
      </c>
      <c r="D76">
        <v>16.940000000000001</v>
      </c>
      <c r="E76">
        <v>15.32</v>
      </c>
      <c r="F76" s="11">
        <v>0.82889999999999997</v>
      </c>
      <c r="G76" t="str">
        <f t="shared" si="2"/>
        <v>Admis</v>
      </c>
      <c r="H76" t="str" cm="1">
        <f t="array" ref="H76">_xlfn.IFS(E76&gt;=16, "Excellent",E76&gt;=14, "Très bien", E76&gt;=12, "Bien", E76&gt;=10, "Passable", E76&lt;10, "Insuffisant")</f>
        <v>Très bien</v>
      </c>
      <c r="I76" s="14" t="str">
        <f t="shared" si="3"/>
        <v>RAS</v>
      </c>
      <c r="J76" s="14" t="str">
        <f t="shared" si="4"/>
        <v>Autre filière</v>
      </c>
      <c r="K76" s="15"/>
      <c r="L76" s="16"/>
    </row>
    <row r="77" spans="1:12">
      <c r="A77" t="s">
        <v>606</v>
      </c>
      <c r="B77" t="s">
        <v>607</v>
      </c>
      <c r="C77" t="s">
        <v>27</v>
      </c>
      <c r="D77">
        <v>17.329999999999998</v>
      </c>
      <c r="E77">
        <v>17.149999999999999</v>
      </c>
      <c r="F77" s="11">
        <v>0.87450000000000006</v>
      </c>
      <c r="G77" t="str">
        <f t="shared" ref="G77:G140" si="5">IF(AND(D77&gt;=12,E77&gt;=12,F77&gt;=80%),"Admis",IF(AND(D77&gt;=10,E77&gt;=10),"Admis sous condition","Refusé"))</f>
        <v>Admis</v>
      </c>
      <c r="H77" t="str" cm="1">
        <f t="array" ref="H77">_xlfn.IFS(E77&gt;=16, "Excellent",E77&gt;=14, "Très bien", E77&gt;=12, "Bien", E77&gt;=10, "Passable", E77&lt;10, "Insuffisant")</f>
        <v>Excellent</v>
      </c>
      <c r="I77" s="14" t="str">
        <f t="shared" si="3"/>
        <v>RAS</v>
      </c>
      <c r="J77" s="14" t="str">
        <f t="shared" si="4"/>
        <v>Autre filière</v>
      </c>
      <c r="K77" s="15"/>
      <c r="L77" s="16"/>
    </row>
    <row r="78" spans="1:12">
      <c r="A78" t="s">
        <v>947</v>
      </c>
      <c r="B78" t="s">
        <v>251</v>
      </c>
      <c r="C78" t="s">
        <v>48</v>
      </c>
      <c r="D78">
        <v>20</v>
      </c>
      <c r="E78">
        <v>15.42</v>
      </c>
      <c r="F78" s="11">
        <v>0.71719999999999995</v>
      </c>
      <c r="G78" t="str">
        <f t="shared" si="5"/>
        <v>Admis sous condition</v>
      </c>
      <c r="H78" t="str" cm="1">
        <f t="array" ref="H78">_xlfn.IFS(E78&gt;=16, "Excellent",E78&gt;=14, "Très bien", E78&gt;=12, "Bien", E78&gt;=10, "Passable", E78&lt;10, "Insuffisant")</f>
        <v>Très bien</v>
      </c>
      <c r="I78" s="14" t="str">
        <f t="shared" si="3"/>
        <v>RAS</v>
      </c>
      <c r="J78" s="14" t="str">
        <f t="shared" si="4"/>
        <v>Autre filière</v>
      </c>
      <c r="L78" s="16"/>
    </row>
    <row r="79" spans="1:12">
      <c r="A79" t="s">
        <v>232</v>
      </c>
      <c r="B79" t="s">
        <v>233</v>
      </c>
      <c r="C79" t="s">
        <v>27</v>
      </c>
      <c r="D79">
        <v>17.63</v>
      </c>
      <c r="E79">
        <v>12.55</v>
      </c>
      <c r="F79" s="11">
        <v>0.8972</v>
      </c>
      <c r="G79" t="str">
        <f t="shared" si="5"/>
        <v>Admis</v>
      </c>
      <c r="H79" t="str" cm="1">
        <f t="array" ref="H79">_xlfn.IFS(E79&gt;=16, "Excellent",E79&gt;=14, "Très bien", E79&gt;=12, "Bien", E79&gt;=10, "Passable", E79&lt;10, "Insuffisant")</f>
        <v>Bien</v>
      </c>
      <c r="I79" s="14" t="str">
        <f t="shared" si="3"/>
        <v>RAS</v>
      </c>
      <c r="J79" s="14" t="str">
        <f t="shared" si="4"/>
        <v>Autre filière</v>
      </c>
      <c r="K79" s="15"/>
      <c r="L79" s="16"/>
    </row>
    <row r="80" spans="1:12">
      <c r="A80" t="s">
        <v>549</v>
      </c>
      <c r="B80" t="s">
        <v>550</v>
      </c>
      <c r="C80" t="s">
        <v>27</v>
      </c>
      <c r="D80">
        <v>14.03</v>
      </c>
      <c r="E80">
        <v>12.12</v>
      </c>
      <c r="F80" s="11">
        <v>0.87139999999999995</v>
      </c>
      <c r="G80" t="str">
        <f t="shared" si="5"/>
        <v>Admis</v>
      </c>
      <c r="H80" t="str" cm="1">
        <f t="array" ref="H80">_xlfn.IFS(E80&gt;=16, "Excellent",E80&gt;=14, "Très bien", E80&gt;=12, "Bien", E80&gt;=10, "Passable", E80&lt;10, "Insuffisant")</f>
        <v>Bien</v>
      </c>
      <c r="I80" s="14" t="str">
        <f t="shared" si="3"/>
        <v>RAS</v>
      </c>
      <c r="J80" s="14" t="str">
        <f t="shared" si="4"/>
        <v>Autre filière</v>
      </c>
      <c r="K80" s="15"/>
      <c r="L80" s="16"/>
    </row>
    <row r="81" spans="1:12">
      <c r="A81" t="s">
        <v>783</v>
      </c>
      <c r="B81" t="s">
        <v>224</v>
      </c>
      <c r="C81" t="s">
        <v>27</v>
      </c>
      <c r="D81">
        <v>14.54</v>
      </c>
      <c r="E81">
        <v>15.7</v>
      </c>
      <c r="F81" s="11">
        <v>0.92859999999999998</v>
      </c>
      <c r="G81" t="str">
        <f t="shared" si="5"/>
        <v>Admis</v>
      </c>
      <c r="H81" t="str" cm="1">
        <f t="array" ref="H81">_xlfn.IFS(E81&gt;=16, "Excellent",E81&gt;=14, "Très bien", E81&gt;=12, "Bien", E81&gt;=10, "Passable", E81&lt;10, "Insuffisant")</f>
        <v>Très bien</v>
      </c>
      <c r="I81" s="14" t="str">
        <f t="shared" si="3"/>
        <v>RAS</v>
      </c>
      <c r="J81" s="14" t="str">
        <f t="shared" si="4"/>
        <v>Autre filière</v>
      </c>
      <c r="L81" s="16"/>
    </row>
    <row r="82" spans="1:12">
      <c r="A82" t="s">
        <v>767</v>
      </c>
      <c r="B82" t="s">
        <v>178</v>
      </c>
      <c r="C82" t="s">
        <v>27</v>
      </c>
      <c r="D82">
        <v>17.64</v>
      </c>
      <c r="E82">
        <v>20</v>
      </c>
      <c r="F82" s="11">
        <v>0.89580000000000004</v>
      </c>
      <c r="G82" t="str">
        <f t="shared" si="5"/>
        <v>Admis</v>
      </c>
      <c r="H82" t="str" cm="1">
        <f t="array" ref="H82">_xlfn.IFS(E82&gt;=16, "Excellent",E82&gt;=14, "Très bien", E82&gt;=12, "Bien", E82&gt;=10, "Passable", E82&lt;10, "Insuffisant")</f>
        <v>Excellent</v>
      </c>
      <c r="I82" s="14" t="str">
        <f t="shared" si="3"/>
        <v>RAS</v>
      </c>
      <c r="J82" s="14" t="str">
        <f t="shared" si="4"/>
        <v>Autre filière</v>
      </c>
      <c r="K82" s="15"/>
      <c r="L82" s="16"/>
    </row>
    <row r="83" spans="1:12">
      <c r="A83" t="s">
        <v>273</v>
      </c>
      <c r="B83" t="s">
        <v>274</v>
      </c>
      <c r="C83" t="s">
        <v>48</v>
      </c>
      <c r="D83">
        <v>17.86</v>
      </c>
      <c r="E83">
        <v>14.54</v>
      </c>
      <c r="F83" s="11">
        <v>0.58899999999999997</v>
      </c>
      <c r="G83" t="str">
        <f t="shared" si="5"/>
        <v>Admis sous condition</v>
      </c>
      <c r="H83" t="str" cm="1">
        <f t="array" ref="H83">_xlfn.IFS(E83&gt;=16, "Excellent",E83&gt;=14, "Très bien", E83&gt;=12, "Bien", E83&gt;=10, "Passable", E83&lt;10, "Insuffisant")</f>
        <v>Très bien</v>
      </c>
      <c r="I83" s="14" t="str">
        <f t="shared" si="3"/>
        <v>A surveiller</v>
      </c>
      <c r="J83" s="14" t="str">
        <f t="shared" si="4"/>
        <v>Autre filière</v>
      </c>
      <c r="L83" s="16"/>
    </row>
    <row r="84" spans="1:12">
      <c r="A84" t="s">
        <v>613</v>
      </c>
      <c r="B84" t="s">
        <v>65</v>
      </c>
      <c r="C84" t="s">
        <v>35</v>
      </c>
      <c r="D84">
        <v>13.16</v>
      </c>
      <c r="E84">
        <v>12.75</v>
      </c>
      <c r="F84" s="11">
        <v>0.93240000000000001</v>
      </c>
      <c r="G84" t="str">
        <f t="shared" si="5"/>
        <v>Admis</v>
      </c>
      <c r="H84" t="str" cm="1">
        <f t="array" ref="H84">_xlfn.IFS(E84&gt;=16, "Excellent",E84&gt;=14, "Très bien", E84&gt;=12, "Bien", E84&gt;=10, "Passable", E84&lt;10, "Insuffisant")</f>
        <v>Bien</v>
      </c>
      <c r="I84" s="14" t="str">
        <f t="shared" si="3"/>
        <v>RAS</v>
      </c>
      <c r="J84" s="14" t="str">
        <f t="shared" si="4"/>
        <v>Autre filière</v>
      </c>
      <c r="L84" s="16"/>
    </row>
    <row r="85" spans="1:12">
      <c r="A85" t="s">
        <v>977</v>
      </c>
      <c r="B85" t="s">
        <v>482</v>
      </c>
      <c r="C85" t="s">
        <v>22</v>
      </c>
      <c r="D85">
        <v>16.850000000000001</v>
      </c>
      <c r="E85">
        <v>17.07</v>
      </c>
      <c r="F85" s="11">
        <v>0.91339999999999999</v>
      </c>
      <c r="G85" t="str">
        <f t="shared" si="5"/>
        <v>Admis</v>
      </c>
      <c r="H85" t="str" cm="1">
        <f t="array" ref="H85">_xlfn.IFS(E85&gt;=16, "Excellent",E85&gt;=14, "Très bien", E85&gt;=12, "Bien", E85&gt;=10, "Passable", E85&lt;10, "Insuffisant")</f>
        <v>Excellent</v>
      </c>
      <c r="I85" s="14" t="str">
        <f t="shared" si="3"/>
        <v>RAS</v>
      </c>
      <c r="J85" s="14" t="str">
        <f t="shared" si="4"/>
        <v>Data</v>
      </c>
      <c r="L85" s="16"/>
    </row>
    <row r="86" spans="1:12">
      <c r="A86" t="s">
        <v>1103</v>
      </c>
      <c r="B86" t="s">
        <v>340</v>
      </c>
      <c r="C86" t="s">
        <v>22</v>
      </c>
      <c r="D86">
        <v>15.17</v>
      </c>
      <c r="E86">
        <v>14.55</v>
      </c>
      <c r="F86" s="11">
        <v>0.76249999999999996</v>
      </c>
      <c r="G86" t="str">
        <f t="shared" si="5"/>
        <v>Admis sous condition</v>
      </c>
      <c r="H86" t="str" cm="1">
        <f t="array" ref="H86">_xlfn.IFS(E86&gt;=16, "Excellent",E86&gt;=14, "Très bien", E86&gt;=12, "Bien", E86&gt;=10, "Passable", E86&lt;10, "Insuffisant")</f>
        <v>Très bien</v>
      </c>
      <c r="I86" s="14" t="str">
        <f t="shared" si="3"/>
        <v>RAS</v>
      </c>
      <c r="J86" s="14" t="str">
        <f t="shared" si="4"/>
        <v>Data</v>
      </c>
      <c r="L86" s="16"/>
    </row>
    <row r="87" spans="1:12">
      <c r="A87" t="s">
        <v>831</v>
      </c>
      <c r="B87" t="s">
        <v>492</v>
      </c>
      <c r="C87" t="s">
        <v>27</v>
      </c>
      <c r="D87">
        <v>20</v>
      </c>
      <c r="E87">
        <v>15.95</v>
      </c>
      <c r="F87" s="11">
        <v>0.97529999999999994</v>
      </c>
      <c r="G87" t="str">
        <f t="shared" si="5"/>
        <v>Admis</v>
      </c>
      <c r="H87" t="str" cm="1">
        <f t="array" ref="H87">_xlfn.IFS(E87&gt;=16, "Excellent",E87&gt;=14, "Très bien", E87&gt;=12, "Bien", E87&gt;=10, "Passable", E87&lt;10, "Insuffisant")</f>
        <v>Très bien</v>
      </c>
      <c r="I87" s="14" t="str">
        <f t="shared" si="3"/>
        <v>RAS</v>
      </c>
      <c r="J87" s="14" t="str">
        <f t="shared" si="4"/>
        <v>Autre filière</v>
      </c>
      <c r="L87" s="16"/>
    </row>
    <row r="88" spans="1:12">
      <c r="A88" t="s">
        <v>78</v>
      </c>
      <c r="B88" t="s">
        <v>79</v>
      </c>
      <c r="C88" t="s">
        <v>27</v>
      </c>
      <c r="D88">
        <v>20</v>
      </c>
      <c r="E88">
        <v>20</v>
      </c>
      <c r="F88" s="11">
        <v>0.9405</v>
      </c>
      <c r="G88" t="str">
        <f t="shared" si="5"/>
        <v>Admis</v>
      </c>
      <c r="H88" t="str" cm="1">
        <f t="array" ref="H88">_xlfn.IFS(E88&gt;=16, "Excellent",E88&gt;=14, "Très bien", E88&gt;=12, "Bien", E88&gt;=10, "Passable", E88&lt;10, "Insuffisant")</f>
        <v>Excellent</v>
      </c>
      <c r="I88" s="14" t="str">
        <f t="shared" si="3"/>
        <v>RAS</v>
      </c>
      <c r="J88" s="14" t="str">
        <f t="shared" si="4"/>
        <v>Autre filière</v>
      </c>
      <c r="L88" s="16"/>
    </row>
    <row r="89" spans="1:12">
      <c r="A89" t="s">
        <v>91</v>
      </c>
      <c r="B89" t="s">
        <v>92</v>
      </c>
      <c r="C89" t="s">
        <v>22</v>
      </c>
      <c r="D89">
        <v>19.11</v>
      </c>
      <c r="E89">
        <v>15.6</v>
      </c>
      <c r="F89" s="11">
        <v>0.93830000000000002</v>
      </c>
      <c r="G89" t="str">
        <f t="shared" si="5"/>
        <v>Admis</v>
      </c>
      <c r="H89" t="str" cm="1">
        <f t="array" ref="H89">_xlfn.IFS(E89&gt;=16, "Excellent",E89&gt;=14, "Très bien", E89&gt;=12, "Bien", E89&gt;=10, "Passable", E89&lt;10, "Insuffisant")</f>
        <v>Très bien</v>
      </c>
      <c r="I89" s="14" t="str">
        <f t="shared" si="3"/>
        <v>RAS</v>
      </c>
      <c r="J89" s="14" t="str">
        <f t="shared" si="4"/>
        <v>Data</v>
      </c>
      <c r="L89" s="16"/>
    </row>
    <row r="90" spans="1:12">
      <c r="A90" t="s">
        <v>1073</v>
      </c>
      <c r="B90" t="s">
        <v>1074</v>
      </c>
      <c r="C90" t="s">
        <v>27</v>
      </c>
      <c r="D90">
        <v>14.22</v>
      </c>
      <c r="E90">
        <v>16.53</v>
      </c>
      <c r="F90" s="11">
        <v>0.95430000000000004</v>
      </c>
      <c r="G90" t="str">
        <f t="shared" si="5"/>
        <v>Admis</v>
      </c>
      <c r="H90" t="str" cm="1">
        <f t="array" ref="H90">_xlfn.IFS(E90&gt;=16, "Excellent",E90&gt;=14, "Très bien", E90&gt;=12, "Bien", E90&gt;=10, "Passable", E90&lt;10, "Insuffisant")</f>
        <v>Excellent</v>
      </c>
      <c r="I90" s="14" t="str">
        <f t="shared" si="3"/>
        <v>RAS</v>
      </c>
      <c r="J90" s="14" t="str">
        <f t="shared" si="4"/>
        <v>Autre filière</v>
      </c>
      <c r="L90" s="16"/>
    </row>
    <row r="91" spans="1:12">
      <c r="A91" t="s">
        <v>208</v>
      </c>
      <c r="B91" t="s">
        <v>96</v>
      </c>
      <c r="C91" t="s">
        <v>35</v>
      </c>
      <c r="D91">
        <v>17.95</v>
      </c>
      <c r="E91">
        <v>15.86</v>
      </c>
      <c r="F91" s="11">
        <v>0.88939999999999997</v>
      </c>
      <c r="G91" t="str">
        <f t="shared" si="5"/>
        <v>Admis</v>
      </c>
      <c r="H91" t="str" cm="1">
        <f t="array" ref="H91">_xlfn.IFS(E91&gt;=16, "Excellent",E91&gt;=14, "Très bien", E91&gt;=12, "Bien", E91&gt;=10, "Passable", E91&lt;10, "Insuffisant")</f>
        <v>Très bien</v>
      </c>
      <c r="I91" s="14" t="str">
        <f t="shared" si="3"/>
        <v>RAS</v>
      </c>
      <c r="J91" s="14" t="str">
        <f t="shared" si="4"/>
        <v>Autre filière</v>
      </c>
      <c r="K91" s="15"/>
      <c r="L91" s="16"/>
    </row>
    <row r="92" spans="1:12">
      <c r="A92" t="s">
        <v>93</v>
      </c>
      <c r="B92" t="s">
        <v>94</v>
      </c>
      <c r="C92" t="s">
        <v>35</v>
      </c>
      <c r="D92">
        <v>15.66</v>
      </c>
      <c r="E92">
        <v>12.03</v>
      </c>
      <c r="F92" s="11">
        <v>0.79310000000000003</v>
      </c>
      <c r="G92" t="str">
        <f t="shared" si="5"/>
        <v>Admis sous condition</v>
      </c>
      <c r="H92" t="str" cm="1">
        <f t="array" ref="H92">_xlfn.IFS(E92&gt;=16, "Excellent",E92&gt;=14, "Très bien", E92&gt;=12, "Bien", E92&gt;=10, "Passable", E92&lt;10, "Insuffisant")</f>
        <v>Bien</v>
      </c>
      <c r="I92" s="14" t="str">
        <f t="shared" si="3"/>
        <v>RAS</v>
      </c>
      <c r="J92" s="14" t="str">
        <f t="shared" si="4"/>
        <v>Autre filière</v>
      </c>
      <c r="L92" s="16"/>
    </row>
    <row r="93" spans="1:12">
      <c r="A93" t="s">
        <v>565</v>
      </c>
      <c r="B93" t="s">
        <v>382</v>
      </c>
      <c r="C93" t="s">
        <v>35</v>
      </c>
      <c r="D93">
        <v>14.49</v>
      </c>
      <c r="E93">
        <v>20</v>
      </c>
      <c r="F93" s="11">
        <v>0.67269999999999996</v>
      </c>
      <c r="G93" t="str">
        <f t="shared" si="5"/>
        <v>Admis sous condition</v>
      </c>
      <c r="H93" t="str" cm="1">
        <f t="array" ref="H93">_xlfn.IFS(E93&gt;=16, "Excellent",E93&gt;=14, "Très bien", E93&gt;=12, "Bien", E93&gt;=10, "Passable", E93&lt;10, "Insuffisant")</f>
        <v>Excellent</v>
      </c>
      <c r="I93" s="14" t="str">
        <f t="shared" si="3"/>
        <v>A surveiller</v>
      </c>
      <c r="J93" s="14" t="str">
        <f t="shared" si="4"/>
        <v>Autre filière</v>
      </c>
      <c r="L93" s="16"/>
    </row>
    <row r="94" spans="1:12">
      <c r="A94" t="s">
        <v>254</v>
      </c>
      <c r="B94" t="s">
        <v>71</v>
      </c>
      <c r="C94" t="s">
        <v>35</v>
      </c>
      <c r="D94">
        <v>15</v>
      </c>
      <c r="E94">
        <v>15.39</v>
      </c>
      <c r="F94" s="11">
        <v>0.83599999999999997</v>
      </c>
      <c r="G94" t="str">
        <f t="shared" si="5"/>
        <v>Admis</v>
      </c>
      <c r="H94" t="str" cm="1">
        <f t="array" ref="H94">_xlfn.IFS(E94&gt;=16, "Excellent",E94&gt;=14, "Très bien", E94&gt;=12, "Bien", E94&gt;=10, "Passable", E94&lt;10, "Insuffisant")</f>
        <v>Très bien</v>
      </c>
      <c r="I94" s="14" t="str">
        <f t="shared" si="3"/>
        <v>RAS</v>
      </c>
      <c r="J94" s="14" t="str">
        <f t="shared" si="4"/>
        <v>Autre filière</v>
      </c>
      <c r="K94" s="15"/>
      <c r="L94" s="16"/>
    </row>
    <row r="95" spans="1:12">
      <c r="A95" t="s">
        <v>1149</v>
      </c>
      <c r="B95" t="s">
        <v>50</v>
      </c>
      <c r="C95" t="s">
        <v>27</v>
      </c>
      <c r="D95">
        <v>16.5</v>
      </c>
      <c r="E95">
        <v>14.6</v>
      </c>
      <c r="F95" s="11">
        <v>0.95979999999999999</v>
      </c>
      <c r="G95" t="str">
        <f t="shared" si="5"/>
        <v>Admis</v>
      </c>
      <c r="H95" t="str" cm="1">
        <f t="array" ref="H95">_xlfn.IFS(E95&gt;=16, "Excellent",E95&gt;=14, "Très bien", E95&gt;=12, "Bien", E95&gt;=10, "Passable", E95&lt;10, "Insuffisant")</f>
        <v>Très bien</v>
      </c>
      <c r="I95" s="14" t="str">
        <f t="shared" si="3"/>
        <v>RAS</v>
      </c>
      <c r="J95" s="14" t="str">
        <f t="shared" si="4"/>
        <v>Autre filière</v>
      </c>
      <c r="L95" s="16"/>
    </row>
    <row r="96" spans="1:12">
      <c r="A96" t="s">
        <v>174</v>
      </c>
      <c r="B96" t="s">
        <v>175</v>
      </c>
      <c r="C96" t="s">
        <v>27</v>
      </c>
      <c r="D96">
        <v>13.96</v>
      </c>
      <c r="E96">
        <v>12.42</v>
      </c>
      <c r="F96" s="11">
        <v>0.65480000000000005</v>
      </c>
      <c r="G96" t="str">
        <f t="shared" si="5"/>
        <v>Admis sous condition</v>
      </c>
      <c r="H96" t="str" cm="1">
        <f t="array" ref="H96">_xlfn.IFS(E96&gt;=16, "Excellent",E96&gt;=14, "Très bien", E96&gt;=12, "Bien", E96&gt;=10, "Passable", E96&lt;10, "Insuffisant")</f>
        <v>Bien</v>
      </c>
      <c r="I96" s="14" t="str">
        <f t="shared" si="3"/>
        <v>A surveiller</v>
      </c>
      <c r="J96" s="14" t="str">
        <f t="shared" si="4"/>
        <v>Autre filière</v>
      </c>
      <c r="L96" s="16"/>
    </row>
    <row r="97" spans="1:12">
      <c r="A97" t="s">
        <v>1135</v>
      </c>
      <c r="B97" t="s">
        <v>675</v>
      </c>
      <c r="C97" t="s">
        <v>22</v>
      </c>
      <c r="D97">
        <v>17.57</v>
      </c>
      <c r="E97">
        <v>20</v>
      </c>
      <c r="F97" s="11">
        <v>0.94710000000000005</v>
      </c>
      <c r="G97" t="str">
        <f t="shared" si="5"/>
        <v>Admis</v>
      </c>
      <c r="H97" t="str" cm="1">
        <f t="array" ref="H97">_xlfn.IFS(E97&gt;=16, "Excellent",E97&gt;=14, "Très bien", E97&gt;=12, "Bien", E97&gt;=10, "Passable", E97&lt;10, "Insuffisant")</f>
        <v>Excellent</v>
      </c>
      <c r="I97" s="14" t="str">
        <f t="shared" si="3"/>
        <v>RAS</v>
      </c>
      <c r="J97" s="14" t="str">
        <f t="shared" si="4"/>
        <v>Data</v>
      </c>
      <c r="L97" s="16"/>
    </row>
    <row r="98" spans="1:12">
      <c r="A98" t="s">
        <v>881</v>
      </c>
      <c r="B98" t="s">
        <v>490</v>
      </c>
      <c r="C98" t="s">
        <v>22</v>
      </c>
      <c r="D98">
        <v>12.58</v>
      </c>
      <c r="E98">
        <v>19.43</v>
      </c>
      <c r="F98" s="11">
        <v>0.88939999999999997</v>
      </c>
      <c r="G98" t="str">
        <f t="shared" si="5"/>
        <v>Admis</v>
      </c>
      <c r="H98" t="str" cm="1">
        <f t="array" ref="H98">_xlfn.IFS(E98&gt;=16, "Excellent",E98&gt;=14, "Très bien", E98&gt;=12, "Bien", E98&gt;=10, "Passable", E98&lt;10, "Insuffisant")</f>
        <v>Excellent</v>
      </c>
      <c r="I98" s="14" t="str">
        <f t="shared" si="3"/>
        <v>RAS</v>
      </c>
      <c r="J98" s="14" t="str">
        <f t="shared" si="4"/>
        <v>Data</v>
      </c>
      <c r="K98" s="15"/>
      <c r="L98" s="16"/>
    </row>
    <row r="99" spans="1:12">
      <c r="A99" t="s">
        <v>727</v>
      </c>
      <c r="B99" t="s">
        <v>50</v>
      </c>
      <c r="C99" t="s">
        <v>35</v>
      </c>
      <c r="D99">
        <v>12.87</v>
      </c>
      <c r="E99">
        <v>17.86</v>
      </c>
      <c r="F99" s="11">
        <v>0.91100000000000003</v>
      </c>
      <c r="G99" t="str">
        <f t="shared" si="5"/>
        <v>Admis</v>
      </c>
      <c r="H99" t="str" cm="1">
        <f t="array" ref="H99">_xlfn.IFS(E99&gt;=16, "Excellent",E99&gt;=14, "Très bien", E99&gt;=12, "Bien", E99&gt;=10, "Passable", E99&lt;10, "Insuffisant")</f>
        <v>Excellent</v>
      </c>
      <c r="I99" s="14" t="str">
        <f t="shared" si="3"/>
        <v>RAS</v>
      </c>
      <c r="J99" s="14" t="str">
        <f t="shared" si="4"/>
        <v>Autre filière</v>
      </c>
      <c r="L99" s="16"/>
    </row>
    <row r="100" spans="1:12">
      <c r="A100" t="s">
        <v>1296</v>
      </c>
      <c r="B100" t="s">
        <v>378</v>
      </c>
      <c r="C100" t="s">
        <v>22</v>
      </c>
      <c r="D100">
        <v>16.52</v>
      </c>
      <c r="E100">
        <v>15.62</v>
      </c>
      <c r="F100" s="11">
        <v>0.93889999999999996</v>
      </c>
      <c r="G100" t="str">
        <f t="shared" si="5"/>
        <v>Admis</v>
      </c>
      <c r="H100" t="str" cm="1">
        <f t="array" ref="H100">_xlfn.IFS(E100&gt;=16, "Excellent",E100&gt;=14, "Très bien", E100&gt;=12, "Bien", E100&gt;=10, "Passable", E100&lt;10, "Insuffisant")</f>
        <v>Très bien</v>
      </c>
      <c r="I100" s="14" t="str">
        <f t="shared" si="3"/>
        <v>RAS</v>
      </c>
      <c r="J100" s="14" t="str">
        <f t="shared" si="4"/>
        <v>Data</v>
      </c>
      <c r="L100" s="16"/>
    </row>
    <row r="101" spans="1:12">
      <c r="A101" t="s">
        <v>1228</v>
      </c>
      <c r="B101" t="s">
        <v>129</v>
      </c>
      <c r="C101" t="s">
        <v>35</v>
      </c>
      <c r="D101">
        <v>20</v>
      </c>
      <c r="E101">
        <v>15.38</v>
      </c>
      <c r="F101" s="11">
        <v>0.94220000000000004</v>
      </c>
      <c r="G101" t="str">
        <f t="shared" si="5"/>
        <v>Admis</v>
      </c>
      <c r="H101" t="str" cm="1">
        <f t="array" ref="H101">_xlfn.IFS(E101&gt;=16, "Excellent",E101&gt;=14, "Très bien", E101&gt;=12, "Bien", E101&gt;=10, "Passable", E101&lt;10, "Insuffisant")</f>
        <v>Très bien</v>
      </c>
      <c r="I101" s="14" t="str">
        <f t="shared" si="3"/>
        <v>RAS</v>
      </c>
      <c r="J101" s="14" t="str">
        <f t="shared" si="4"/>
        <v>Autre filière</v>
      </c>
      <c r="L101" s="16"/>
    </row>
    <row r="102" spans="1:12">
      <c r="A102" t="s">
        <v>894</v>
      </c>
      <c r="B102" t="s">
        <v>213</v>
      </c>
      <c r="C102" t="s">
        <v>27</v>
      </c>
      <c r="D102">
        <v>15.08</v>
      </c>
      <c r="E102">
        <v>14.43</v>
      </c>
      <c r="F102" s="11">
        <v>0.75449999999999995</v>
      </c>
      <c r="G102" t="str">
        <f t="shared" si="5"/>
        <v>Admis sous condition</v>
      </c>
      <c r="H102" t="str" cm="1">
        <f t="array" ref="H102">_xlfn.IFS(E102&gt;=16, "Excellent",E102&gt;=14, "Très bien", E102&gt;=12, "Bien", E102&gt;=10, "Passable", E102&lt;10, "Insuffisant")</f>
        <v>Très bien</v>
      </c>
      <c r="I102" s="14" t="str">
        <f t="shared" si="3"/>
        <v>RAS</v>
      </c>
      <c r="J102" s="14" t="str">
        <f t="shared" si="4"/>
        <v>Autre filière</v>
      </c>
      <c r="L102" s="16"/>
    </row>
    <row r="103" spans="1:12">
      <c r="A103" t="s">
        <v>962</v>
      </c>
      <c r="B103" t="s">
        <v>761</v>
      </c>
      <c r="C103" t="s">
        <v>48</v>
      </c>
      <c r="D103">
        <v>16.399999999999999</v>
      </c>
      <c r="E103">
        <v>14.37</v>
      </c>
      <c r="F103" s="11">
        <v>0.70750000000000002</v>
      </c>
      <c r="G103" t="str">
        <f t="shared" si="5"/>
        <v>Admis sous condition</v>
      </c>
      <c r="H103" t="str" cm="1">
        <f t="array" ref="H103">_xlfn.IFS(E103&gt;=16, "Excellent",E103&gt;=14, "Très bien", E103&gt;=12, "Bien", E103&gt;=10, "Passable", E103&lt;10, "Insuffisant")</f>
        <v>Très bien</v>
      </c>
      <c r="I103" s="14" t="str">
        <f t="shared" si="3"/>
        <v>RAS</v>
      </c>
      <c r="J103" s="14" t="str">
        <f t="shared" si="4"/>
        <v>Autre filière</v>
      </c>
      <c r="L103" s="16"/>
    </row>
    <row r="104" spans="1:12">
      <c r="A104" t="s">
        <v>172</v>
      </c>
      <c r="B104" t="s">
        <v>173</v>
      </c>
      <c r="C104" t="s">
        <v>22</v>
      </c>
      <c r="D104">
        <v>17.55</v>
      </c>
      <c r="E104">
        <v>14.3</v>
      </c>
      <c r="F104" s="11">
        <v>0.96130000000000004</v>
      </c>
      <c r="G104" t="str">
        <f t="shared" si="5"/>
        <v>Admis</v>
      </c>
      <c r="H104" t="str" cm="1">
        <f t="array" ref="H104">_xlfn.IFS(E104&gt;=16, "Excellent",E104&gt;=14, "Très bien", E104&gt;=12, "Bien", E104&gt;=10, "Passable", E104&lt;10, "Insuffisant")</f>
        <v>Très bien</v>
      </c>
      <c r="I104" s="14" t="str">
        <f t="shared" si="3"/>
        <v>RAS</v>
      </c>
      <c r="J104" s="14" t="str">
        <f t="shared" si="4"/>
        <v>Data</v>
      </c>
      <c r="L104" s="16"/>
    </row>
    <row r="105" spans="1:12">
      <c r="A105" t="s">
        <v>911</v>
      </c>
      <c r="B105" t="s">
        <v>912</v>
      </c>
      <c r="C105" t="s">
        <v>35</v>
      </c>
      <c r="D105">
        <v>11.84</v>
      </c>
      <c r="E105">
        <v>17.07</v>
      </c>
      <c r="F105" s="11">
        <v>0.9637</v>
      </c>
      <c r="G105" t="str">
        <f t="shared" si="5"/>
        <v>Admis sous condition</v>
      </c>
      <c r="H105" t="str" cm="1">
        <f t="array" ref="H105">_xlfn.IFS(E105&gt;=16, "Excellent",E105&gt;=14, "Très bien", E105&gt;=12, "Bien", E105&gt;=10, "Passable", E105&lt;10, "Insuffisant")</f>
        <v>Excellent</v>
      </c>
      <c r="I105" s="14" t="str">
        <f t="shared" si="3"/>
        <v>RAS</v>
      </c>
      <c r="J105" s="14" t="str">
        <f t="shared" si="4"/>
        <v>Autre filière</v>
      </c>
      <c r="L105" s="16"/>
    </row>
    <row r="106" spans="1:12">
      <c r="A106" t="s">
        <v>456</v>
      </c>
      <c r="B106" t="s">
        <v>451</v>
      </c>
      <c r="C106" t="s">
        <v>48</v>
      </c>
      <c r="D106">
        <v>13.53</v>
      </c>
      <c r="E106">
        <v>15.39</v>
      </c>
      <c r="F106" s="11">
        <v>0.63129999999999997</v>
      </c>
      <c r="G106" t="str">
        <f t="shared" si="5"/>
        <v>Admis sous condition</v>
      </c>
      <c r="H106" t="str" cm="1">
        <f t="array" ref="H106">_xlfn.IFS(E106&gt;=16, "Excellent",E106&gt;=14, "Très bien", E106&gt;=12, "Bien", E106&gt;=10, "Passable", E106&lt;10, "Insuffisant")</f>
        <v>Très bien</v>
      </c>
      <c r="I106" s="14" t="str">
        <f t="shared" si="3"/>
        <v>A surveiller</v>
      </c>
      <c r="J106" s="14" t="str">
        <f t="shared" si="4"/>
        <v>Autre filière</v>
      </c>
      <c r="L106" s="16"/>
    </row>
    <row r="107" spans="1:12">
      <c r="A107" t="s">
        <v>238</v>
      </c>
      <c r="B107" t="s">
        <v>239</v>
      </c>
      <c r="C107" t="s">
        <v>48</v>
      </c>
      <c r="D107">
        <v>18.809999999999999</v>
      </c>
      <c r="E107">
        <v>20</v>
      </c>
      <c r="F107" s="11">
        <v>0.84499999999999997</v>
      </c>
      <c r="G107" t="str">
        <f t="shared" si="5"/>
        <v>Admis</v>
      </c>
      <c r="H107" t="str" cm="1">
        <f t="array" ref="H107">_xlfn.IFS(E107&gt;=16, "Excellent",E107&gt;=14, "Très bien", E107&gt;=12, "Bien", E107&gt;=10, "Passable", E107&lt;10, "Insuffisant")</f>
        <v>Excellent</v>
      </c>
      <c r="I107" s="14" t="str">
        <f t="shared" si="3"/>
        <v>RAS</v>
      </c>
      <c r="J107" s="14" t="str">
        <f t="shared" si="4"/>
        <v>Autre filière</v>
      </c>
      <c r="K107" s="15"/>
      <c r="L107" s="16"/>
    </row>
    <row r="108" spans="1:12">
      <c r="A108" t="s">
        <v>670</v>
      </c>
      <c r="B108" t="s">
        <v>671</v>
      </c>
      <c r="C108" t="s">
        <v>27</v>
      </c>
      <c r="D108">
        <v>13.66</v>
      </c>
      <c r="E108">
        <v>20</v>
      </c>
      <c r="F108" s="11">
        <v>0.92069999999999996</v>
      </c>
      <c r="G108" t="str">
        <f t="shared" si="5"/>
        <v>Admis</v>
      </c>
      <c r="H108" t="str" cm="1">
        <f t="array" ref="H108">_xlfn.IFS(E108&gt;=16, "Excellent",E108&gt;=14, "Très bien", E108&gt;=12, "Bien", E108&gt;=10, "Passable", E108&lt;10, "Insuffisant")</f>
        <v>Excellent</v>
      </c>
      <c r="I108" s="14" t="str">
        <f t="shared" si="3"/>
        <v>RAS</v>
      </c>
      <c r="J108" s="14" t="str">
        <f t="shared" si="4"/>
        <v>Autre filière</v>
      </c>
      <c r="L108" s="16"/>
    </row>
    <row r="109" spans="1:12">
      <c r="A109" t="s">
        <v>1067</v>
      </c>
      <c r="B109" t="s">
        <v>139</v>
      </c>
      <c r="C109" t="s">
        <v>27</v>
      </c>
      <c r="D109">
        <v>17.239999999999998</v>
      </c>
      <c r="E109">
        <v>14.91</v>
      </c>
      <c r="F109" s="11">
        <v>0.62980000000000003</v>
      </c>
      <c r="G109" t="str">
        <f t="shared" si="5"/>
        <v>Admis sous condition</v>
      </c>
      <c r="H109" t="str" cm="1">
        <f t="array" ref="H109">_xlfn.IFS(E109&gt;=16, "Excellent",E109&gt;=14, "Très bien", E109&gt;=12, "Bien", E109&gt;=10, "Passable", E109&lt;10, "Insuffisant")</f>
        <v>Très bien</v>
      </c>
      <c r="I109" s="14" t="str">
        <f t="shared" si="3"/>
        <v>A surveiller</v>
      </c>
      <c r="J109" s="14" t="str">
        <f t="shared" si="4"/>
        <v>Autre filière</v>
      </c>
      <c r="L109" s="16"/>
    </row>
    <row r="110" spans="1:12">
      <c r="A110" t="s">
        <v>832</v>
      </c>
      <c r="B110" t="s">
        <v>833</v>
      </c>
      <c r="C110" t="s">
        <v>48</v>
      </c>
      <c r="D110">
        <v>13.06</v>
      </c>
      <c r="E110">
        <v>14.91</v>
      </c>
      <c r="F110" s="11">
        <v>0.55000000000000004</v>
      </c>
      <c r="G110" t="str">
        <f t="shared" si="5"/>
        <v>Admis sous condition</v>
      </c>
      <c r="H110" t="str" cm="1">
        <f t="array" ref="H110">_xlfn.IFS(E110&gt;=16, "Excellent",E110&gt;=14, "Très bien", E110&gt;=12, "Bien", E110&gt;=10, "Passable", E110&lt;10, "Insuffisant")</f>
        <v>Très bien</v>
      </c>
      <c r="I110" s="14" t="str">
        <f t="shared" si="3"/>
        <v>A surveiller</v>
      </c>
      <c r="J110" s="14" t="str">
        <f t="shared" si="4"/>
        <v>Autre filière</v>
      </c>
      <c r="L110" s="16"/>
    </row>
    <row r="111" spans="1:12">
      <c r="A111" t="s">
        <v>348</v>
      </c>
      <c r="B111" t="s">
        <v>235</v>
      </c>
      <c r="C111" t="s">
        <v>27</v>
      </c>
      <c r="D111">
        <v>14.67</v>
      </c>
      <c r="E111">
        <v>15.35</v>
      </c>
      <c r="F111" s="11">
        <v>0.83099999999999996</v>
      </c>
      <c r="G111" t="str">
        <f t="shared" si="5"/>
        <v>Admis</v>
      </c>
      <c r="H111" t="str" cm="1">
        <f t="array" ref="H111">_xlfn.IFS(E111&gt;=16, "Excellent",E111&gt;=14, "Très bien", E111&gt;=12, "Bien", E111&gt;=10, "Passable", E111&lt;10, "Insuffisant")</f>
        <v>Très bien</v>
      </c>
      <c r="I111" s="14" t="str">
        <f t="shared" si="3"/>
        <v>RAS</v>
      </c>
      <c r="J111" s="14" t="str">
        <f t="shared" si="4"/>
        <v>Autre filière</v>
      </c>
      <c r="K111" s="15"/>
      <c r="L111" s="16"/>
    </row>
    <row r="112" spans="1:12">
      <c r="A112" t="s">
        <v>696</v>
      </c>
      <c r="B112" t="s">
        <v>697</v>
      </c>
      <c r="C112" t="s">
        <v>27</v>
      </c>
      <c r="D112">
        <v>12.83</v>
      </c>
      <c r="E112">
        <v>15.77</v>
      </c>
      <c r="F112" s="11">
        <v>0.89200000000000002</v>
      </c>
      <c r="G112" t="str">
        <f t="shared" si="5"/>
        <v>Admis</v>
      </c>
      <c r="H112" t="str" cm="1">
        <f t="array" ref="H112">_xlfn.IFS(E112&gt;=16, "Excellent",E112&gt;=14, "Très bien", E112&gt;=12, "Bien", E112&gt;=10, "Passable", E112&lt;10, "Insuffisant")</f>
        <v>Très bien</v>
      </c>
      <c r="I112" s="14" t="str">
        <f t="shared" si="3"/>
        <v>RAS</v>
      </c>
      <c r="J112" s="14" t="str">
        <f t="shared" si="4"/>
        <v>Autre filière</v>
      </c>
      <c r="K112" s="15"/>
      <c r="L112" s="16"/>
    </row>
    <row r="113" spans="1:12">
      <c r="A113" t="s">
        <v>847</v>
      </c>
      <c r="B113" t="s">
        <v>458</v>
      </c>
      <c r="C113" t="s">
        <v>48</v>
      </c>
      <c r="D113">
        <v>17.829999999999998</v>
      </c>
      <c r="E113">
        <v>18.940000000000001</v>
      </c>
      <c r="F113" s="11">
        <v>0.94040000000000001</v>
      </c>
      <c r="G113" t="str">
        <f t="shared" si="5"/>
        <v>Admis</v>
      </c>
      <c r="H113" t="str" cm="1">
        <f t="array" ref="H113">_xlfn.IFS(E113&gt;=16, "Excellent",E113&gt;=14, "Très bien", E113&gt;=12, "Bien", E113&gt;=10, "Passable", E113&lt;10, "Insuffisant")</f>
        <v>Excellent</v>
      </c>
      <c r="I113" s="14" t="str">
        <f t="shared" si="3"/>
        <v>RAS</v>
      </c>
      <c r="J113" s="14" t="str">
        <f t="shared" si="4"/>
        <v>Autre filière</v>
      </c>
      <c r="L113" s="16"/>
    </row>
    <row r="114" spans="1:12">
      <c r="A114" t="s">
        <v>89</v>
      </c>
      <c r="B114" t="s">
        <v>90</v>
      </c>
      <c r="C114" t="s">
        <v>27</v>
      </c>
      <c r="D114">
        <v>12.24</v>
      </c>
      <c r="E114">
        <v>9.0399999999999991</v>
      </c>
      <c r="F114" s="11">
        <v>0.98560000000000003</v>
      </c>
      <c r="G114" t="str">
        <f t="shared" si="5"/>
        <v>Refusé</v>
      </c>
      <c r="H114" t="str" cm="1">
        <f t="array" ref="H114">_xlfn.IFS(E114&gt;=16, "Excellent",E114&gt;=14, "Très bien", E114&gt;=12, "Bien", E114&gt;=10, "Passable", E114&lt;10, "Insuffisant")</f>
        <v>Insuffisant</v>
      </c>
      <c r="I114" s="14" t="str">
        <f t="shared" si="3"/>
        <v>A surveiller</v>
      </c>
      <c r="J114" s="14" t="str">
        <f t="shared" si="4"/>
        <v>Autre filière</v>
      </c>
      <c r="L114" s="16"/>
    </row>
    <row r="115" spans="1:12">
      <c r="A115" t="s">
        <v>676</v>
      </c>
      <c r="B115" t="s">
        <v>417</v>
      </c>
      <c r="C115" t="s">
        <v>48</v>
      </c>
      <c r="D115">
        <v>11.16</v>
      </c>
      <c r="E115">
        <v>15.78</v>
      </c>
      <c r="F115" s="11">
        <v>0.80100000000000005</v>
      </c>
      <c r="G115" t="str">
        <f t="shared" si="5"/>
        <v>Admis sous condition</v>
      </c>
      <c r="H115" t="str" cm="1">
        <f t="array" ref="H115">_xlfn.IFS(E115&gt;=16, "Excellent",E115&gt;=14, "Très bien", E115&gt;=12, "Bien", E115&gt;=10, "Passable", E115&lt;10, "Insuffisant")</f>
        <v>Très bien</v>
      </c>
      <c r="I115" s="14" t="str">
        <f t="shared" si="3"/>
        <v>RAS</v>
      </c>
      <c r="J115" s="14" t="str">
        <f t="shared" si="4"/>
        <v>Autre filière</v>
      </c>
      <c r="K115" s="15"/>
      <c r="L115" s="16"/>
    </row>
    <row r="116" spans="1:12">
      <c r="A116" t="s">
        <v>299</v>
      </c>
      <c r="B116" t="s">
        <v>40</v>
      </c>
      <c r="C116" t="s">
        <v>35</v>
      </c>
      <c r="D116">
        <v>11.8</v>
      </c>
      <c r="E116">
        <v>14.75</v>
      </c>
      <c r="F116" s="11">
        <v>0.68049999999999999</v>
      </c>
      <c r="G116" t="str">
        <f t="shared" si="5"/>
        <v>Admis sous condition</v>
      </c>
      <c r="H116" t="str" cm="1">
        <f t="array" ref="H116">_xlfn.IFS(E116&gt;=16, "Excellent",E116&gt;=14, "Très bien", E116&gt;=12, "Bien", E116&gt;=10, "Passable", E116&lt;10, "Insuffisant")</f>
        <v>Très bien</v>
      </c>
      <c r="I116" s="14" t="str">
        <f t="shared" si="3"/>
        <v>A surveiller</v>
      </c>
      <c r="J116" s="14" t="str">
        <f t="shared" si="4"/>
        <v>Autre filière</v>
      </c>
      <c r="L116" s="16"/>
    </row>
    <row r="117" spans="1:12">
      <c r="A117" t="s">
        <v>136</v>
      </c>
      <c r="B117" t="s">
        <v>137</v>
      </c>
      <c r="C117" t="s">
        <v>22</v>
      </c>
      <c r="D117">
        <v>12.91</v>
      </c>
      <c r="E117">
        <v>17.46</v>
      </c>
      <c r="F117" s="11">
        <v>0.80020000000000002</v>
      </c>
      <c r="G117" t="str">
        <f t="shared" si="5"/>
        <v>Admis</v>
      </c>
      <c r="H117" t="str" cm="1">
        <f t="array" ref="H117">_xlfn.IFS(E117&gt;=16, "Excellent",E117&gt;=14, "Très bien", E117&gt;=12, "Bien", E117&gt;=10, "Passable", E117&lt;10, "Insuffisant")</f>
        <v>Excellent</v>
      </c>
      <c r="I117" s="14" t="str">
        <f t="shared" si="3"/>
        <v>RAS</v>
      </c>
      <c r="J117" s="14" t="str">
        <f t="shared" si="4"/>
        <v>Data</v>
      </c>
      <c r="K117" s="15"/>
      <c r="L117" s="16"/>
    </row>
    <row r="118" spans="1:12">
      <c r="A118" t="s">
        <v>728</v>
      </c>
      <c r="B118" t="s">
        <v>729</v>
      </c>
      <c r="C118" t="s">
        <v>48</v>
      </c>
      <c r="D118">
        <v>14.92</v>
      </c>
      <c r="E118">
        <v>20</v>
      </c>
      <c r="F118" s="11">
        <v>0.9627</v>
      </c>
      <c r="G118" t="str">
        <f t="shared" si="5"/>
        <v>Admis</v>
      </c>
      <c r="H118" t="str" cm="1">
        <f t="array" ref="H118">_xlfn.IFS(E118&gt;=16, "Excellent",E118&gt;=14, "Très bien", E118&gt;=12, "Bien", E118&gt;=10, "Passable", E118&lt;10, "Insuffisant")</f>
        <v>Excellent</v>
      </c>
      <c r="I118" s="14" t="str">
        <f t="shared" si="3"/>
        <v>RAS</v>
      </c>
      <c r="J118" s="14" t="str">
        <f t="shared" si="4"/>
        <v>Autre filière</v>
      </c>
      <c r="L118" s="16"/>
    </row>
    <row r="119" spans="1:12">
      <c r="A119" t="s">
        <v>266</v>
      </c>
      <c r="B119" t="s">
        <v>29</v>
      </c>
      <c r="C119" t="s">
        <v>22</v>
      </c>
      <c r="D119">
        <v>16.54</v>
      </c>
      <c r="E119">
        <v>18.96</v>
      </c>
      <c r="F119" s="11">
        <v>0.75839999999999996</v>
      </c>
      <c r="G119" t="str">
        <f t="shared" si="5"/>
        <v>Admis sous condition</v>
      </c>
      <c r="H119" t="str" cm="1">
        <f t="array" ref="H119">_xlfn.IFS(E119&gt;=16, "Excellent",E119&gt;=14, "Très bien", E119&gt;=12, "Bien", E119&gt;=10, "Passable", E119&lt;10, "Insuffisant")</f>
        <v>Excellent</v>
      </c>
      <c r="I119" s="14" t="str">
        <f t="shared" si="3"/>
        <v>RAS</v>
      </c>
      <c r="J119" s="14" t="str">
        <f t="shared" si="4"/>
        <v>Data</v>
      </c>
      <c r="L119" s="16"/>
    </row>
    <row r="120" spans="1:12">
      <c r="A120" t="s">
        <v>86</v>
      </c>
      <c r="B120" t="s">
        <v>59</v>
      </c>
      <c r="C120" t="s">
        <v>48</v>
      </c>
      <c r="D120">
        <v>14.37</v>
      </c>
      <c r="E120">
        <v>17</v>
      </c>
      <c r="F120" s="11">
        <v>0.97089999999999999</v>
      </c>
      <c r="G120" t="str">
        <f t="shared" si="5"/>
        <v>Admis</v>
      </c>
      <c r="H120" t="str" cm="1">
        <f t="array" ref="H120">_xlfn.IFS(E120&gt;=16, "Excellent",E120&gt;=14, "Très bien", E120&gt;=12, "Bien", E120&gt;=10, "Passable", E120&lt;10, "Insuffisant")</f>
        <v>Excellent</v>
      </c>
      <c r="I120" s="14" t="str">
        <f t="shared" si="3"/>
        <v>RAS</v>
      </c>
      <c r="J120" s="14" t="str">
        <f t="shared" si="4"/>
        <v>Autre filière</v>
      </c>
      <c r="L120" s="16"/>
    </row>
    <row r="121" spans="1:12">
      <c r="A121" t="s">
        <v>877</v>
      </c>
      <c r="B121" t="s">
        <v>878</v>
      </c>
      <c r="C121" t="s">
        <v>35</v>
      </c>
      <c r="D121">
        <v>11.14</v>
      </c>
      <c r="E121">
        <v>10.02</v>
      </c>
      <c r="F121" s="11">
        <v>0.72009999999999996</v>
      </c>
      <c r="G121" t="str">
        <f t="shared" si="5"/>
        <v>Admis sous condition</v>
      </c>
      <c r="H121" t="str" cm="1">
        <f t="array" ref="H121">_xlfn.IFS(E121&gt;=16, "Excellent",E121&gt;=14, "Très bien", E121&gt;=12, "Bien", E121&gt;=10, "Passable", E121&lt;10, "Insuffisant")</f>
        <v>Passable</v>
      </c>
      <c r="I121" s="14" t="str">
        <f t="shared" si="3"/>
        <v>RAS</v>
      </c>
      <c r="J121" s="14" t="str">
        <f t="shared" si="4"/>
        <v>Autre filière</v>
      </c>
      <c r="L121" s="16"/>
    </row>
    <row r="122" spans="1:12">
      <c r="A122" t="s">
        <v>1222</v>
      </c>
      <c r="B122" t="s">
        <v>178</v>
      </c>
      <c r="C122" t="s">
        <v>22</v>
      </c>
      <c r="D122">
        <v>16.57</v>
      </c>
      <c r="E122">
        <v>17.39</v>
      </c>
      <c r="F122" s="11">
        <v>0.80800000000000005</v>
      </c>
      <c r="G122" t="str">
        <f t="shared" si="5"/>
        <v>Admis</v>
      </c>
      <c r="H122" t="str" cm="1">
        <f t="array" ref="H122">_xlfn.IFS(E122&gt;=16, "Excellent",E122&gt;=14, "Très bien", E122&gt;=12, "Bien", E122&gt;=10, "Passable", E122&lt;10, "Insuffisant")</f>
        <v>Excellent</v>
      </c>
      <c r="I122" s="14" t="str">
        <f t="shared" si="3"/>
        <v>RAS</v>
      </c>
      <c r="J122" s="14" t="str">
        <f t="shared" si="4"/>
        <v>Data</v>
      </c>
      <c r="K122" s="15"/>
      <c r="L122" s="16"/>
    </row>
    <row r="123" spans="1:12">
      <c r="A123" t="s">
        <v>529</v>
      </c>
      <c r="B123" t="s">
        <v>61</v>
      </c>
      <c r="C123" t="s">
        <v>48</v>
      </c>
      <c r="D123">
        <v>15.18</v>
      </c>
      <c r="E123">
        <v>19.670000000000002</v>
      </c>
      <c r="F123" s="11">
        <v>0.7026</v>
      </c>
      <c r="G123" t="str">
        <f t="shared" si="5"/>
        <v>Admis sous condition</v>
      </c>
      <c r="H123" t="str" cm="1">
        <f t="array" ref="H123">_xlfn.IFS(E123&gt;=16, "Excellent",E123&gt;=14, "Très bien", E123&gt;=12, "Bien", E123&gt;=10, "Passable", E123&lt;10, "Insuffisant")</f>
        <v>Excellent</v>
      </c>
      <c r="I123" s="14" t="str">
        <f t="shared" si="3"/>
        <v>RAS</v>
      </c>
      <c r="J123" s="14" t="str">
        <f t="shared" si="4"/>
        <v>Autre filière</v>
      </c>
      <c r="L123" s="16"/>
    </row>
    <row r="124" spans="1:12">
      <c r="A124" t="s">
        <v>948</v>
      </c>
      <c r="B124" t="s">
        <v>949</v>
      </c>
      <c r="C124" t="s">
        <v>48</v>
      </c>
      <c r="D124">
        <v>20</v>
      </c>
      <c r="E124">
        <v>17.38</v>
      </c>
      <c r="F124" s="11">
        <v>0.87719999999999998</v>
      </c>
      <c r="G124" t="str">
        <f t="shared" si="5"/>
        <v>Admis</v>
      </c>
      <c r="H124" t="str" cm="1">
        <f t="array" ref="H124">_xlfn.IFS(E124&gt;=16, "Excellent",E124&gt;=14, "Très bien", E124&gt;=12, "Bien", E124&gt;=10, "Passable", E124&lt;10, "Insuffisant")</f>
        <v>Excellent</v>
      </c>
      <c r="I124" s="14" t="str">
        <f t="shared" si="3"/>
        <v>RAS</v>
      </c>
      <c r="J124" s="14" t="str">
        <f t="shared" si="4"/>
        <v>Autre filière</v>
      </c>
      <c r="K124" s="15"/>
      <c r="L124" s="16"/>
    </row>
    <row r="125" spans="1:12">
      <c r="A125" t="s">
        <v>1309</v>
      </c>
      <c r="B125" t="s">
        <v>1310</v>
      </c>
      <c r="C125" t="s">
        <v>22</v>
      </c>
      <c r="D125">
        <v>11.88</v>
      </c>
      <c r="E125">
        <v>13.76</v>
      </c>
      <c r="F125" s="11">
        <v>0.64019999999999999</v>
      </c>
      <c r="G125" t="str">
        <f t="shared" si="5"/>
        <v>Admis sous condition</v>
      </c>
      <c r="H125" t="str" cm="1">
        <f t="array" ref="H125">_xlfn.IFS(E125&gt;=16, "Excellent",E125&gt;=14, "Très bien", E125&gt;=12, "Bien", E125&gt;=10, "Passable", E125&lt;10, "Insuffisant")</f>
        <v>Bien</v>
      </c>
      <c r="I125" s="14" t="str">
        <f t="shared" si="3"/>
        <v>A surveiller</v>
      </c>
      <c r="J125" s="14" t="str">
        <f t="shared" si="4"/>
        <v>Data</v>
      </c>
      <c r="L125" s="16"/>
    </row>
    <row r="126" spans="1:12">
      <c r="A126" t="s">
        <v>614</v>
      </c>
      <c r="B126" t="s">
        <v>188</v>
      </c>
      <c r="C126" t="s">
        <v>35</v>
      </c>
      <c r="D126">
        <v>18.420000000000002</v>
      </c>
      <c r="E126">
        <v>19.07</v>
      </c>
      <c r="F126" s="11">
        <v>0.72989999999999999</v>
      </c>
      <c r="G126" t="str">
        <f t="shared" si="5"/>
        <v>Admis sous condition</v>
      </c>
      <c r="H126" t="str" cm="1">
        <f t="array" ref="H126">_xlfn.IFS(E126&gt;=16, "Excellent",E126&gt;=14, "Très bien", E126&gt;=12, "Bien", E126&gt;=10, "Passable", E126&lt;10, "Insuffisant")</f>
        <v>Excellent</v>
      </c>
      <c r="I126" s="14" t="str">
        <f t="shared" si="3"/>
        <v>RAS</v>
      </c>
      <c r="J126" s="14" t="str">
        <f t="shared" si="4"/>
        <v>Autre filière</v>
      </c>
      <c r="L126" s="16"/>
    </row>
    <row r="127" spans="1:12">
      <c r="A127" t="s">
        <v>917</v>
      </c>
      <c r="B127" t="s">
        <v>323</v>
      </c>
      <c r="C127" t="s">
        <v>35</v>
      </c>
      <c r="D127">
        <v>16.73</v>
      </c>
      <c r="E127">
        <v>8.6199999999999992</v>
      </c>
      <c r="F127" s="11">
        <v>0.86609999999999998</v>
      </c>
      <c r="G127" t="str">
        <f t="shared" si="5"/>
        <v>Refusé</v>
      </c>
      <c r="H127" t="str" cm="1">
        <f t="array" ref="H127">_xlfn.IFS(E127&gt;=16, "Excellent",E127&gt;=14, "Très bien", E127&gt;=12, "Bien", E127&gt;=10, "Passable", E127&lt;10, "Insuffisant")</f>
        <v>Insuffisant</v>
      </c>
      <c r="I127" s="14" t="str">
        <f t="shared" si="3"/>
        <v>A surveiller</v>
      </c>
      <c r="J127" s="14" t="str">
        <f t="shared" si="4"/>
        <v>Autre filière</v>
      </c>
      <c r="K127" s="15"/>
      <c r="L127" s="16"/>
    </row>
    <row r="128" spans="1:12">
      <c r="A128" t="s">
        <v>87</v>
      </c>
      <c r="B128" t="s">
        <v>88</v>
      </c>
      <c r="C128" t="s">
        <v>22</v>
      </c>
      <c r="D128">
        <v>15.56</v>
      </c>
      <c r="E128">
        <v>20</v>
      </c>
      <c r="F128" s="11">
        <v>0.55000000000000004</v>
      </c>
      <c r="G128" t="str">
        <f t="shared" si="5"/>
        <v>Admis sous condition</v>
      </c>
      <c r="H128" t="str" cm="1">
        <f t="array" ref="H128">_xlfn.IFS(E128&gt;=16, "Excellent",E128&gt;=14, "Très bien", E128&gt;=12, "Bien", E128&gt;=10, "Passable", E128&lt;10, "Insuffisant")</f>
        <v>Excellent</v>
      </c>
      <c r="I128" s="14" t="str">
        <f t="shared" si="3"/>
        <v>A surveiller</v>
      </c>
      <c r="J128" s="14" t="str">
        <f t="shared" si="4"/>
        <v>Data</v>
      </c>
      <c r="L128" s="16"/>
    </row>
    <row r="129" spans="1:12">
      <c r="A129" t="s">
        <v>996</v>
      </c>
      <c r="B129" t="s">
        <v>690</v>
      </c>
      <c r="C129" t="s">
        <v>27</v>
      </c>
      <c r="D129">
        <v>18.41</v>
      </c>
      <c r="E129">
        <v>18.920000000000002</v>
      </c>
      <c r="F129" s="11">
        <v>0.73050000000000004</v>
      </c>
      <c r="G129" t="str">
        <f t="shared" si="5"/>
        <v>Admis sous condition</v>
      </c>
      <c r="H129" t="str" cm="1">
        <f t="array" ref="H129">_xlfn.IFS(E129&gt;=16, "Excellent",E129&gt;=14, "Très bien", E129&gt;=12, "Bien", E129&gt;=10, "Passable", E129&lt;10, "Insuffisant")</f>
        <v>Excellent</v>
      </c>
      <c r="I129" s="14" t="str">
        <f t="shared" si="3"/>
        <v>RAS</v>
      </c>
      <c r="J129" s="14" t="str">
        <f t="shared" si="4"/>
        <v>Autre filière</v>
      </c>
      <c r="L129" s="16"/>
    </row>
    <row r="130" spans="1:12">
      <c r="A130" t="s">
        <v>538</v>
      </c>
      <c r="B130" t="s">
        <v>539</v>
      </c>
      <c r="C130" t="s">
        <v>35</v>
      </c>
      <c r="D130">
        <v>20</v>
      </c>
      <c r="E130">
        <v>18.260000000000002</v>
      </c>
      <c r="F130" s="11">
        <v>0.91190000000000004</v>
      </c>
      <c r="G130" t="str">
        <f t="shared" si="5"/>
        <v>Admis</v>
      </c>
      <c r="H130" t="str" cm="1">
        <f t="array" ref="H130">_xlfn.IFS(E130&gt;=16, "Excellent",E130&gt;=14, "Très bien", E130&gt;=12, "Bien", E130&gt;=10, "Passable", E130&lt;10, "Insuffisant")</f>
        <v>Excellent</v>
      </c>
      <c r="I130" s="14" t="str">
        <f t="shared" si="3"/>
        <v>RAS</v>
      </c>
      <c r="J130" s="14" t="str">
        <f t="shared" si="4"/>
        <v>Autre filière</v>
      </c>
      <c r="L130" s="16"/>
    </row>
    <row r="131" spans="1:12">
      <c r="A131" t="s">
        <v>373</v>
      </c>
      <c r="B131" t="s">
        <v>272</v>
      </c>
      <c r="C131" t="s">
        <v>35</v>
      </c>
      <c r="D131">
        <v>18.77</v>
      </c>
      <c r="E131">
        <v>19.62</v>
      </c>
      <c r="F131" s="11">
        <v>0.61180000000000001</v>
      </c>
      <c r="G131" t="str">
        <f t="shared" si="5"/>
        <v>Admis sous condition</v>
      </c>
      <c r="H131" t="str" cm="1">
        <f t="array" ref="H131">_xlfn.IFS(E131&gt;=16, "Excellent",E131&gt;=14, "Très bien", E131&gt;=12, "Bien", E131&gt;=10, "Passable", E131&lt;10, "Insuffisant")</f>
        <v>Excellent</v>
      </c>
      <c r="I131" s="14" t="str">
        <f t="shared" ref="I131:I194" si="6">IF(OR(D131&lt;10,E131&lt;10,F131&lt;70%), "A surveiller", "RAS")</f>
        <v>A surveiller</v>
      </c>
      <c r="J131" s="14" t="str">
        <f t="shared" ref="J131:J194" si="7">IF(NOT(C131="Data"), "Autre filière", "Data")</f>
        <v>Autre filière</v>
      </c>
      <c r="L131" s="16"/>
    </row>
    <row r="132" spans="1:12">
      <c r="A132" t="s">
        <v>289</v>
      </c>
      <c r="B132" t="s">
        <v>196</v>
      </c>
      <c r="C132" t="s">
        <v>48</v>
      </c>
      <c r="D132">
        <v>14.42</v>
      </c>
      <c r="E132">
        <v>16.39</v>
      </c>
      <c r="F132" s="11">
        <v>0.76539999999999997</v>
      </c>
      <c r="G132" t="str">
        <f t="shared" si="5"/>
        <v>Admis sous condition</v>
      </c>
      <c r="H132" t="str" cm="1">
        <f t="array" ref="H132">_xlfn.IFS(E132&gt;=16, "Excellent",E132&gt;=14, "Très bien", E132&gt;=12, "Bien", E132&gt;=10, "Passable", E132&lt;10, "Insuffisant")</f>
        <v>Excellent</v>
      </c>
      <c r="I132" s="14" t="str">
        <f t="shared" si="6"/>
        <v>RAS</v>
      </c>
      <c r="J132" s="14" t="str">
        <f t="shared" si="7"/>
        <v>Autre filière</v>
      </c>
      <c r="L132" s="16"/>
    </row>
    <row r="133" spans="1:12">
      <c r="A133" t="s">
        <v>276</v>
      </c>
      <c r="B133" t="s">
        <v>125</v>
      </c>
      <c r="C133" t="s">
        <v>22</v>
      </c>
      <c r="D133">
        <v>16.48</v>
      </c>
      <c r="E133">
        <v>15.21</v>
      </c>
      <c r="F133" s="11">
        <v>0.95309999999999995</v>
      </c>
      <c r="G133" t="str">
        <f t="shared" si="5"/>
        <v>Admis</v>
      </c>
      <c r="H133" t="str" cm="1">
        <f t="array" ref="H133">_xlfn.IFS(E133&gt;=16, "Excellent",E133&gt;=14, "Très bien", E133&gt;=12, "Bien", E133&gt;=10, "Passable", E133&lt;10, "Insuffisant")</f>
        <v>Très bien</v>
      </c>
      <c r="I133" s="14" t="str">
        <f t="shared" si="6"/>
        <v>RAS</v>
      </c>
      <c r="J133" s="14" t="str">
        <f t="shared" si="7"/>
        <v>Data</v>
      </c>
      <c r="L133" s="16"/>
    </row>
    <row r="134" spans="1:12">
      <c r="A134" t="s">
        <v>503</v>
      </c>
      <c r="B134" t="s">
        <v>370</v>
      </c>
      <c r="C134" t="s">
        <v>27</v>
      </c>
      <c r="D134">
        <v>14.36</v>
      </c>
      <c r="E134">
        <v>17.649999999999999</v>
      </c>
      <c r="F134" s="11">
        <v>0.67620000000000002</v>
      </c>
      <c r="G134" t="str">
        <f t="shared" si="5"/>
        <v>Admis sous condition</v>
      </c>
      <c r="H134" t="str" cm="1">
        <f t="array" ref="H134">_xlfn.IFS(E134&gt;=16, "Excellent",E134&gt;=14, "Très bien", E134&gt;=12, "Bien", E134&gt;=10, "Passable", E134&lt;10, "Insuffisant")</f>
        <v>Excellent</v>
      </c>
      <c r="I134" s="14" t="str">
        <f t="shared" si="6"/>
        <v>A surveiller</v>
      </c>
      <c r="J134" s="14" t="str">
        <f t="shared" si="7"/>
        <v>Autre filière</v>
      </c>
      <c r="L134" s="16"/>
    </row>
    <row r="135" spans="1:12">
      <c r="A135" t="s">
        <v>610</v>
      </c>
      <c r="B135" t="s">
        <v>611</v>
      </c>
      <c r="C135" t="s">
        <v>27</v>
      </c>
      <c r="D135">
        <v>19.68</v>
      </c>
      <c r="E135">
        <v>13.34</v>
      </c>
      <c r="F135" s="11">
        <v>0.80969999999999998</v>
      </c>
      <c r="G135" t="str">
        <f t="shared" si="5"/>
        <v>Admis</v>
      </c>
      <c r="H135" t="str" cm="1">
        <f t="array" ref="H135">_xlfn.IFS(E135&gt;=16, "Excellent",E135&gt;=14, "Très bien", E135&gt;=12, "Bien", E135&gt;=10, "Passable", E135&lt;10, "Insuffisant")</f>
        <v>Bien</v>
      </c>
      <c r="I135" s="14" t="str">
        <f t="shared" si="6"/>
        <v>RAS</v>
      </c>
      <c r="J135" s="14" t="str">
        <f t="shared" si="7"/>
        <v>Autre filière</v>
      </c>
      <c r="K135" s="15"/>
      <c r="L135" s="16"/>
    </row>
    <row r="136" spans="1:12">
      <c r="A136" t="s">
        <v>1016</v>
      </c>
      <c r="B136" t="s">
        <v>139</v>
      </c>
      <c r="C136" t="s">
        <v>22</v>
      </c>
      <c r="D136">
        <v>15.43</v>
      </c>
      <c r="E136">
        <v>13.03</v>
      </c>
      <c r="F136" s="11">
        <v>0.76729999999999998</v>
      </c>
      <c r="G136" t="str">
        <f t="shared" si="5"/>
        <v>Admis sous condition</v>
      </c>
      <c r="H136" t="str" cm="1">
        <f t="array" ref="H136">_xlfn.IFS(E136&gt;=16, "Excellent",E136&gt;=14, "Très bien", E136&gt;=12, "Bien", E136&gt;=10, "Passable", E136&lt;10, "Insuffisant")</f>
        <v>Bien</v>
      </c>
      <c r="I136" s="14" t="str">
        <f t="shared" si="6"/>
        <v>RAS</v>
      </c>
      <c r="J136" s="14" t="str">
        <f t="shared" si="7"/>
        <v>Data</v>
      </c>
      <c r="L136" s="16"/>
    </row>
    <row r="137" spans="1:12">
      <c r="A137" t="s">
        <v>147</v>
      </c>
      <c r="B137" t="s">
        <v>148</v>
      </c>
      <c r="C137" t="s">
        <v>48</v>
      </c>
      <c r="D137">
        <v>14.32</v>
      </c>
      <c r="E137">
        <v>12.15</v>
      </c>
      <c r="F137" s="11">
        <v>0.55000000000000004</v>
      </c>
      <c r="G137" t="str">
        <f t="shared" si="5"/>
        <v>Admis sous condition</v>
      </c>
      <c r="H137" t="str" cm="1">
        <f t="array" ref="H137">_xlfn.IFS(E137&gt;=16, "Excellent",E137&gt;=14, "Très bien", E137&gt;=12, "Bien", E137&gt;=10, "Passable", E137&lt;10, "Insuffisant")</f>
        <v>Bien</v>
      </c>
      <c r="I137" s="14" t="str">
        <f t="shared" si="6"/>
        <v>A surveiller</v>
      </c>
      <c r="J137" s="14" t="str">
        <f t="shared" si="7"/>
        <v>Autre filière</v>
      </c>
      <c r="L137" s="16"/>
    </row>
    <row r="138" spans="1:12">
      <c r="A138" t="s">
        <v>615</v>
      </c>
      <c r="B138" t="s">
        <v>272</v>
      </c>
      <c r="C138" t="s">
        <v>35</v>
      </c>
      <c r="D138">
        <v>15.72</v>
      </c>
      <c r="E138">
        <v>13.12</v>
      </c>
      <c r="F138" s="11">
        <v>0.98099999999999998</v>
      </c>
      <c r="G138" t="str">
        <f t="shared" si="5"/>
        <v>Admis</v>
      </c>
      <c r="H138" t="str" cm="1">
        <f t="array" ref="H138">_xlfn.IFS(E138&gt;=16, "Excellent",E138&gt;=14, "Très bien", E138&gt;=12, "Bien", E138&gt;=10, "Passable", E138&lt;10, "Insuffisant")</f>
        <v>Bien</v>
      </c>
      <c r="I138" s="14" t="str">
        <f t="shared" si="6"/>
        <v>RAS</v>
      </c>
      <c r="J138" s="14" t="str">
        <f t="shared" si="7"/>
        <v>Autre filière</v>
      </c>
      <c r="L138" s="16"/>
    </row>
    <row r="139" spans="1:12">
      <c r="A139" t="s">
        <v>290</v>
      </c>
      <c r="B139" t="s">
        <v>291</v>
      </c>
      <c r="C139" t="s">
        <v>48</v>
      </c>
      <c r="D139">
        <v>16.28</v>
      </c>
      <c r="E139">
        <v>18.96</v>
      </c>
      <c r="F139" s="11">
        <v>0.8982</v>
      </c>
      <c r="G139" t="str">
        <f t="shared" si="5"/>
        <v>Admis</v>
      </c>
      <c r="H139" t="str" cm="1">
        <f t="array" ref="H139">_xlfn.IFS(E139&gt;=16, "Excellent",E139&gt;=14, "Très bien", E139&gt;=12, "Bien", E139&gt;=10, "Passable", E139&lt;10, "Insuffisant")</f>
        <v>Excellent</v>
      </c>
      <c r="I139" s="14" t="str">
        <f t="shared" si="6"/>
        <v>RAS</v>
      </c>
      <c r="J139" s="14" t="str">
        <f t="shared" si="7"/>
        <v>Autre filière</v>
      </c>
      <c r="K139" s="15"/>
      <c r="L139" s="16"/>
    </row>
    <row r="140" spans="1:12">
      <c r="A140" t="s">
        <v>334</v>
      </c>
      <c r="B140" t="s">
        <v>119</v>
      </c>
      <c r="C140" t="s">
        <v>27</v>
      </c>
      <c r="D140">
        <v>15.71</v>
      </c>
      <c r="E140">
        <v>17.37</v>
      </c>
      <c r="F140" s="11">
        <v>0.85809999999999997</v>
      </c>
      <c r="G140" t="str">
        <f t="shared" si="5"/>
        <v>Admis</v>
      </c>
      <c r="H140" t="str" cm="1">
        <f t="array" ref="H140">_xlfn.IFS(E140&gt;=16, "Excellent",E140&gt;=14, "Très bien", E140&gt;=12, "Bien", E140&gt;=10, "Passable", E140&lt;10, "Insuffisant")</f>
        <v>Excellent</v>
      </c>
      <c r="I140" s="14" t="str">
        <f t="shared" si="6"/>
        <v>RAS</v>
      </c>
      <c r="J140" s="14" t="str">
        <f t="shared" si="7"/>
        <v>Autre filière</v>
      </c>
      <c r="K140" s="15"/>
      <c r="L140" s="16"/>
    </row>
    <row r="141" spans="1:12">
      <c r="A141" t="s">
        <v>579</v>
      </c>
      <c r="B141" t="s">
        <v>29</v>
      </c>
      <c r="C141" t="s">
        <v>27</v>
      </c>
      <c r="D141">
        <v>17.59</v>
      </c>
      <c r="E141">
        <v>15.91</v>
      </c>
      <c r="F141" s="11">
        <v>0.93799999999999994</v>
      </c>
      <c r="G141" t="str">
        <f t="shared" ref="G141:G204" si="8">IF(AND(D141&gt;=12,E141&gt;=12,F141&gt;=80%),"Admis",IF(AND(D141&gt;=10,E141&gt;=10),"Admis sous condition","Refusé"))</f>
        <v>Admis</v>
      </c>
      <c r="H141" t="str" cm="1">
        <f t="array" ref="H141">_xlfn.IFS(E141&gt;=16, "Excellent",E141&gt;=14, "Très bien", E141&gt;=12, "Bien", E141&gt;=10, "Passable", E141&lt;10, "Insuffisant")</f>
        <v>Très bien</v>
      </c>
      <c r="I141" s="14" t="str">
        <f t="shared" si="6"/>
        <v>RAS</v>
      </c>
      <c r="J141" s="14" t="str">
        <f t="shared" si="7"/>
        <v>Autre filière</v>
      </c>
      <c r="L141" s="16"/>
    </row>
    <row r="142" spans="1:12">
      <c r="A142" t="s">
        <v>795</v>
      </c>
      <c r="B142" t="s">
        <v>248</v>
      </c>
      <c r="C142" t="s">
        <v>27</v>
      </c>
      <c r="D142">
        <v>14.44</v>
      </c>
      <c r="E142">
        <v>16.739999999999998</v>
      </c>
      <c r="F142" s="11">
        <v>0.73099999999999998</v>
      </c>
      <c r="G142" t="str">
        <f t="shared" si="8"/>
        <v>Admis sous condition</v>
      </c>
      <c r="H142" t="str" cm="1">
        <f t="array" ref="H142">_xlfn.IFS(E142&gt;=16, "Excellent",E142&gt;=14, "Très bien", E142&gt;=12, "Bien", E142&gt;=10, "Passable", E142&lt;10, "Insuffisant")</f>
        <v>Excellent</v>
      </c>
      <c r="I142" s="14" t="str">
        <f t="shared" si="6"/>
        <v>RAS</v>
      </c>
      <c r="J142" s="14" t="str">
        <f t="shared" si="7"/>
        <v>Autre filière</v>
      </c>
      <c r="L142" s="16"/>
    </row>
    <row r="143" spans="1:12">
      <c r="A143" t="s">
        <v>1143</v>
      </c>
      <c r="B143" t="s">
        <v>79</v>
      </c>
      <c r="C143" t="s">
        <v>27</v>
      </c>
      <c r="D143">
        <v>12.91</v>
      </c>
      <c r="E143">
        <v>15.28</v>
      </c>
      <c r="F143" s="11">
        <v>0.92849999999999999</v>
      </c>
      <c r="G143" t="str">
        <f t="shared" si="8"/>
        <v>Admis</v>
      </c>
      <c r="H143" t="str" cm="1">
        <f t="array" ref="H143">_xlfn.IFS(E143&gt;=16, "Excellent",E143&gt;=14, "Très bien", E143&gt;=12, "Bien", E143&gt;=10, "Passable", E143&lt;10, "Insuffisant")</f>
        <v>Très bien</v>
      </c>
      <c r="I143" s="14" t="str">
        <f t="shared" si="6"/>
        <v>RAS</v>
      </c>
      <c r="J143" s="14" t="str">
        <f t="shared" si="7"/>
        <v>Autre filière</v>
      </c>
      <c r="L143" s="16"/>
    </row>
    <row r="144" spans="1:12">
      <c r="A144" t="s">
        <v>402</v>
      </c>
      <c r="B144" t="s">
        <v>202</v>
      </c>
      <c r="C144" t="s">
        <v>35</v>
      </c>
      <c r="D144">
        <v>20</v>
      </c>
      <c r="E144">
        <v>16.2</v>
      </c>
      <c r="F144" s="11">
        <v>0.59699999999999998</v>
      </c>
      <c r="G144" t="str">
        <f t="shared" si="8"/>
        <v>Admis sous condition</v>
      </c>
      <c r="H144" t="str" cm="1">
        <f t="array" ref="H144">_xlfn.IFS(E144&gt;=16, "Excellent",E144&gt;=14, "Très bien", E144&gt;=12, "Bien", E144&gt;=10, "Passable", E144&lt;10, "Insuffisant")</f>
        <v>Excellent</v>
      </c>
      <c r="I144" s="14" t="str">
        <f t="shared" si="6"/>
        <v>A surveiller</v>
      </c>
      <c r="J144" s="14" t="str">
        <f t="shared" si="7"/>
        <v>Autre filière</v>
      </c>
      <c r="L144" s="16"/>
    </row>
    <row r="145" spans="1:12">
      <c r="A145" t="s">
        <v>554</v>
      </c>
      <c r="B145" t="s">
        <v>555</v>
      </c>
      <c r="C145" t="s">
        <v>35</v>
      </c>
      <c r="D145">
        <v>17.239999999999998</v>
      </c>
      <c r="E145">
        <v>19.239999999999998</v>
      </c>
      <c r="F145" s="11">
        <v>0.67400000000000004</v>
      </c>
      <c r="G145" t="str">
        <f t="shared" si="8"/>
        <v>Admis sous condition</v>
      </c>
      <c r="H145" t="str" cm="1">
        <f t="array" ref="H145">_xlfn.IFS(E145&gt;=16, "Excellent",E145&gt;=14, "Très bien", E145&gt;=12, "Bien", E145&gt;=10, "Passable", E145&lt;10, "Insuffisant")</f>
        <v>Excellent</v>
      </c>
      <c r="I145" s="14" t="str">
        <f t="shared" si="6"/>
        <v>A surveiller</v>
      </c>
      <c r="J145" s="14" t="str">
        <f t="shared" si="7"/>
        <v>Autre filière</v>
      </c>
      <c r="L145" s="16"/>
    </row>
    <row r="146" spans="1:12">
      <c r="A146" t="s">
        <v>46</v>
      </c>
      <c r="B146" t="s">
        <v>47</v>
      </c>
      <c r="C146" t="s">
        <v>48</v>
      </c>
      <c r="D146">
        <v>14.93</v>
      </c>
      <c r="E146">
        <v>17.170000000000002</v>
      </c>
      <c r="F146" s="11">
        <v>0.74860000000000004</v>
      </c>
      <c r="G146" t="str">
        <f t="shared" si="8"/>
        <v>Admis sous condition</v>
      </c>
      <c r="H146" t="str" cm="1">
        <f t="array" ref="H146">_xlfn.IFS(E146&gt;=16, "Excellent",E146&gt;=14, "Très bien", E146&gt;=12, "Bien", E146&gt;=10, "Passable", E146&lt;10, "Insuffisant")</f>
        <v>Excellent</v>
      </c>
      <c r="I146" s="14" t="str">
        <f t="shared" si="6"/>
        <v>RAS</v>
      </c>
      <c r="J146" s="14" t="str">
        <f t="shared" si="7"/>
        <v>Autre filière</v>
      </c>
      <c r="L146" s="16"/>
    </row>
    <row r="147" spans="1:12">
      <c r="A147" t="s">
        <v>1101</v>
      </c>
      <c r="B147" t="s">
        <v>853</v>
      </c>
      <c r="C147" t="s">
        <v>22</v>
      </c>
      <c r="D147">
        <v>15.71</v>
      </c>
      <c r="E147">
        <v>12.73</v>
      </c>
      <c r="F147" s="11">
        <v>0.84550000000000003</v>
      </c>
      <c r="G147" t="str">
        <f t="shared" si="8"/>
        <v>Admis</v>
      </c>
      <c r="H147" t="str" cm="1">
        <f t="array" ref="H147">_xlfn.IFS(E147&gt;=16, "Excellent",E147&gt;=14, "Très bien", E147&gt;=12, "Bien", E147&gt;=10, "Passable", E147&lt;10, "Insuffisant")</f>
        <v>Bien</v>
      </c>
      <c r="I147" s="14" t="str">
        <f t="shared" si="6"/>
        <v>RAS</v>
      </c>
      <c r="J147" s="14" t="str">
        <f t="shared" si="7"/>
        <v>Data</v>
      </c>
      <c r="K147" s="15"/>
      <c r="L147" s="16"/>
    </row>
    <row r="148" spans="1:12">
      <c r="A148" t="s">
        <v>864</v>
      </c>
      <c r="B148" t="s">
        <v>865</v>
      </c>
      <c r="C148" t="s">
        <v>48</v>
      </c>
      <c r="D148">
        <v>14.84</v>
      </c>
      <c r="E148">
        <v>15.22</v>
      </c>
      <c r="F148" s="11">
        <v>0.89539999999999997</v>
      </c>
      <c r="G148" t="str">
        <f t="shared" si="8"/>
        <v>Admis</v>
      </c>
      <c r="H148" t="str" cm="1">
        <f t="array" ref="H148">_xlfn.IFS(E148&gt;=16, "Excellent",E148&gt;=14, "Très bien", E148&gt;=12, "Bien", E148&gt;=10, "Passable", E148&lt;10, "Insuffisant")</f>
        <v>Très bien</v>
      </c>
      <c r="I148" s="14" t="str">
        <f t="shared" si="6"/>
        <v>RAS</v>
      </c>
      <c r="J148" s="14" t="str">
        <f t="shared" si="7"/>
        <v>Autre filière</v>
      </c>
      <c r="K148" s="15"/>
      <c r="L148" s="16"/>
    </row>
    <row r="149" spans="1:12">
      <c r="A149" t="s">
        <v>842</v>
      </c>
      <c r="B149" t="s">
        <v>202</v>
      </c>
      <c r="C149" t="s">
        <v>48</v>
      </c>
      <c r="D149">
        <v>17.190000000000001</v>
      </c>
      <c r="E149">
        <v>13.49</v>
      </c>
      <c r="F149" s="11">
        <v>0.87029999999999996</v>
      </c>
      <c r="G149" t="str">
        <f t="shared" si="8"/>
        <v>Admis</v>
      </c>
      <c r="H149" t="str" cm="1">
        <f t="array" ref="H149">_xlfn.IFS(E149&gt;=16, "Excellent",E149&gt;=14, "Très bien", E149&gt;=12, "Bien", E149&gt;=10, "Passable", E149&lt;10, "Insuffisant")</f>
        <v>Bien</v>
      </c>
      <c r="I149" s="14" t="str">
        <f t="shared" si="6"/>
        <v>RAS</v>
      </c>
      <c r="J149" s="14" t="str">
        <f t="shared" si="7"/>
        <v>Autre filière</v>
      </c>
      <c r="K149" s="15"/>
      <c r="L149" s="16"/>
    </row>
    <row r="150" spans="1:12">
      <c r="A150" t="s">
        <v>584</v>
      </c>
      <c r="B150" t="s">
        <v>585</v>
      </c>
      <c r="C150" t="s">
        <v>22</v>
      </c>
      <c r="D150">
        <v>14.28</v>
      </c>
      <c r="E150">
        <v>16.07</v>
      </c>
      <c r="F150" s="11">
        <v>0.79369999999999996</v>
      </c>
      <c r="G150" t="str">
        <f t="shared" si="8"/>
        <v>Admis sous condition</v>
      </c>
      <c r="H150" t="str" cm="1">
        <f t="array" ref="H150">_xlfn.IFS(E150&gt;=16, "Excellent",E150&gt;=14, "Très bien", E150&gt;=12, "Bien", E150&gt;=10, "Passable", E150&lt;10, "Insuffisant")</f>
        <v>Excellent</v>
      </c>
      <c r="I150" s="14" t="str">
        <f t="shared" si="6"/>
        <v>RAS</v>
      </c>
      <c r="J150" s="14" t="str">
        <f t="shared" si="7"/>
        <v>Data</v>
      </c>
      <c r="L150" s="16"/>
    </row>
    <row r="151" spans="1:12">
      <c r="A151" t="s">
        <v>1120</v>
      </c>
      <c r="B151" t="s">
        <v>146</v>
      </c>
      <c r="C151" t="s">
        <v>48</v>
      </c>
      <c r="D151">
        <v>16.14</v>
      </c>
      <c r="E151">
        <v>14.3</v>
      </c>
      <c r="F151" s="11">
        <v>0.9073</v>
      </c>
      <c r="G151" t="str">
        <f t="shared" si="8"/>
        <v>Admis</v>
      </c>
      <c r="H151" t="str" cm="1">
        <f t="array" ref="H151">_xlfn.IFS(E151&gt;=16, "Excellent",E151&gt;=14, "Très bien", E151&gt;=12, "Bien", E151&gt;=10, "Passable", E151&lt;10, "Insuffisant")</f>
        <v>Très bien</v>
      </c>
      <c r="I151" s="14" t="str">
        <f t="shared" si="6"/>
        <v>RAS</v>
      </c>
      <c r="J151" s="14" t="str">
        <f t="shared" si="7"/>
        <v>Autre filière</v>
      </c>
      <c r="L151" s="16"/>
    </row>
    <row r="152" spans="1:12">
      <c r="A152" t="s">
        <v>705</v>
      </c>
      <c r="B152" t="s">
        <v>683</v>
      </c>
      <c r="C152" t="s">
        <v>48</v>
      </c>
      <c r="D152">
        <v>13.59</v>
      </c>
      <c r="E152">
        <v>15.74</v>
      </c>
      <c r="F152" s="11">
        <v>0.877</v>
      </c>
      <c r="G152" t="str">
        <f t="shared" si="8"/>
        <v>Admis</v>
      </c>
      <c r="H152" t="str" cm="1">
        <f t="array" ref="H152">_xlfn.IFS(E152&gt;=16, "Excellent",E152&gt;=14, "Très bien", E152&gt;=12, "Bien", E152&gt;=10, "Passable", E152&lt;10, "Insuffisant")</f>
        <v>Très bien</v>
      </c>
      <c r="I152" s="14" t="str">
        <f t="shared" si="6"/>
        <v>RAS</v>
      </c>
      <c r="J152" s="14" t="str">
        <f t="shared" si="7"/>
        <v>Autre filière</v>
      </c>
      <c r="K152" s="15"/>
      <c r="L152" s="16"/>
    </row>
    <row r="153" spans="1:12">
      <c r="A153" t="s">
        <v>1225</v>
      </c>
      <c r="B153" t="s">
        <v>52</v>
      </c>
      <c r="C153" t="s">
        <v>22</v>
      </c>
      <c r="D153">
        <v>15.25</v>
      </c>
      <c r="E153">
        <v>13.17</v>
      </c>
      <c r="F153" s="11">
        <v>0.87939999999999996</v>
      </c>
      <c r="G153" t="str">
        <f t="shared" si="8"/>
        <v>Admis</v>
      </c>
      <c r="H153" t="str" cm="1">
        <f t="array" ref="H153">_xlfn.IFS(E153&gt;=16, "Excellent",E153&gt;=14, "Très bien", E153&gt;=12, "Bien", E153&gt;=10, "Passable", E153&lt;10, "Insuffisant")</f>
        <v>Bien</v>
      </c>
      <c r="I153" s="14" t="str">
        <f t="shared" si="6"/>
        <v>RAS</v>
      </c>
      <c r="J153" s="14" t="str">
        <f t="shared" si="7"/>
        <v>Data</v>
      </c>
      <c r="K153" s="15"/>
      <c r="L153" s="16"/>
    </row>
    <row r="154" spans="1:12">
      <c r="A154" t="s">
        <v>197</v>
      </c>
      <c r="B154" t="s">
        <v>198</v>
      </c>
      <c r="C154" t="s">
        <v>27</v>
      </c>
      <c r="D154">
        <v>15.78</v>
      </c>
      <c r="E154">
        <v>17.41</v>
      </c>
      <c r="F154" s="11">
        <v>0.84550000000000003</v>
      </c>
      <c r="G154" t="str">
        <f t="shared" si="8"/>
        <v>Admis</v>
      </c>
      <c r="H154" t="str" cm="1">
        <f t="array" ref="H154">_xlfn.IFS(E154&gt;=16, "Excellent",E154&gt;=14, "Très bien", E154&gt;=12, "Bien", E154&gt;=10, "Passable", E154&lt;10, "Insuffisant")</f>
        <v>Excellent</v>
      </c>
      <c r="I154" s="14" t="str">
        <f t="shared" si="6"/>
        <v>RAS</v>
      </c>
      <c r="J154" s="14" t="str">
        <f t="shared" si="7"/>
        <v>Autre filière</v>
      </c>
      <c r="K154" s="15"/>
      <c r="L154" s="16"/>
    </row>
    <row r="155" spans="1:12">
      <c r="A155" t="s">
        <v>399</v>
      </c>
      <c r="B155" t="s">
        <v>372</v>
      </c>
      <c r="C155" t="s">
        <v>22</v>
      </c>
      <c r="D155">
        <v>7.43</v>
      </c>
      <c r="E155">
        <v>9.5500000000000007</v>
      </c>
      <c r="F155" s="11">
        <v>0.86780000000000002</v>
      </c>
      <c r="G155" t="str">
        <f t="shared" si="8"/>
        <v>Refusé</v>
      </c>
      <c r="H155" t="str" cm="1">
        <f t="array" ref="H155">_xlfn.IFS(E155&gt;=16, "Excellent",E155&gt;=14, "Très bien", E155&gt;=12, "Bien", E155&gt;=10, "Passable", E155&lt;10, "Insuffisant")</f>
        <v>Insuffisant</v>
      </c>
      <c r="I155" s="14" t="str">
        <f t="shared" si="6"/>
        <v>A surveiller</v>
      </c>
      <c r="J155" s="14" t="str">
        <f t="shared" si="7"/>
        <v>Data</v>
      </c>
      <c r="K155" s="15"/>
      <c r="L155" s="16"/>
    </row>
    <row r="156" spans="1:12">
      <c r="A156" t="s">
        <v>540</v>
      </c>
      <c r="B156" t="s">
        <v>541</v>
      </c>
      <c r="C156" t="s">
        <v>22</v>
      </c>
      <c r="D156">
        <v>16.07</v>
      </c>
      <c r="E156">
        <v>16.62</v>
      </c>
      <c r="F156" s="11">
        <v>0.8952</v>
      </c>
      <c r="G156" t="str">
        <f t="shared" si="8"/>
        <v>Admis</v>
      </c>
      <c r="H156" t="str" cm="1">
        <f t="array" ref="H156">_xlfn.IFS(E156&gt;=16, "Excellent",E156&gt;=14, "Très bien", E156&gt;=12, "Bien", E156&gt;=10, "Passable", E156&lt;10, "Insuffisant")</f>
        <v>Excellent</v>
      </c>
      <c r="I156" s="14" t="str">
        <f t="shared" si="6"/>
        <v>RAS</v>
      </c>
      <c r="J156" s="14" t="str">
        <f t="shared" si="7"/>
        <v>Data</v>
      </c>
      <c r="K156" s="15"/>
      <c r="L156" s="16"/>
    </row>
    <row r="157" spans="1:12">
      <c r="A157" t="s">
        <v>603</v>
      </c>
      <c r="B157" t="s">
        <v>146</v>
      </c>
      <c r="C157" t="s">
        <v>48</v>
      </c>
      <c r="D157">
        <v>12.21</v>
      </c>
      <c r="E157">
        <v>9.7799999999999994</v>
      </c>
      <c r="F157" s="11">
        <v>0.9587</v>
      </c>
      <c r="G157" t="str">
        <f t="shared" si="8"/>
        <v>Refusé</v>
      </c>
      <c r="H157" t="str" cm="1">
        <f t="array" ref="H157">_xlfn.IFS(E157&gt;=16, "Excellent",E157&gt;=14, "Très bien", E157&gt;=12, "Bien", E157&gt;=10, "Passable", E157&lt;10, "Insuffisant")</f>
        <v>Insuffisant</v>
      </c>
      <c r="I157" s="14" t="str">
        <f t="shared" si="6"/>
        <v>A surveiller</v>
      </c>
      <c r="J157" s="14" t="str">
        <f t="shared" si="7"/>
        <v>Autre filière</v>
      </c>
      <c r="L157" s="16"/>
    </row>
    <row r="158" spans="1:12">
      <c r="A158" t="s">
        <v>1148</v>
      </c>
      <c r="B158" t="s">
        <v>720</v>
      </c>
      <c r="C158" t="s">
        <v>27</v>
      </c>
      <c r="D158">
        <v>18.690000000000001</v>
      </c>
      <c r="E158">
        <v>15.79</v>
      </c>
      <c r="F158" s="11">
        <v>0.95279999999999998</v>
      </c>
      <c r="G158" t="str">
        <f t="shared" si="8"/>
        <v>Admis</v>
      </c>
      <c r="H158" t="str" cm="1">
        <f t="array" ref="H158">_xlfn.IFS(E158&gt;=16, "Excellent",E158&gt;=14, "Très bien", E158&gt;=12, "Bien", E158&gt;=10, "Passable", E158&lt;10, "Insuffisant")</f>
        <v>Très bien</v>
      </c>
      <c r="I158" s="14" t="str">
        <f t="shared" si="6"/>
        <v>RAS</v>
      </c>
      <c r="J158" s="14" t="str">
        <f t="shared" si="7"/>
        <v>Autre filière</v>
      </c>
      <c r="L158" s="16"/>
    </row>
    <row r="159" spans="1:12">
      <c r="A159" t="s">
        <v>193</v>
      </c>
      <c r="B159" t="s">
        <v>194</v>
      </c>
      <c r="C159" t="s">
        <v>22</v>
      </c>
      <c r="D159">
        <v>19.649999999999999</v>
      </c>
      <c r="E159">
        <v>18.34</v>
      </c>
      <c r="F159" s="11">
        <v>0.67400000000000004</v>
      </c>
      <c r="G159" t="str">
        <f t="shared" si="8"/>
        <v>Admis sous condition</v>
      </c>
      <c r="H159" t="str" cm="1">
        <f t="array" ref="H159">_xlfn.IFS(E159&gt;=16, "Excellent",E159&gt;=14, "Très bien", E159&gt;=12, "Bien", E159&gt;=10, "Passable", E159&lt;10, "Insuffisant")</f>
        <v>Excellent</v>
      </c>
      <c r="I159" s="14" t="str">
        <f t="shared" si="6"/>
        <v>A surveiller</v>
      </c>
      <c r="J159" s="14" t="str">
        <f t="shared" si="7"/>
        <v>Data</v>
      </c>
      <c r="L159" s="16"/>
    </row>
    <row r="160" spans="1:12">
      <c r="A160" t="s">
        <v>680</v>
      </c>
      <c r="B160" t="s">
        <v>555</v>
      </c>
      <c r="C160" t="s">
        <v>27</v>
      </c>
      <c r="D160">
        <v>20</v>
      </c>
      <c r="E160">
        <v>17.28</v>
      </c>
      <c r="F160" s="11">
        <v>0.95930000000000004</v>
      </c>
      <c r="G160" t="str">
        <f t="shared" si="8"/>
        <v>Admis</v>
      </c>
      <c r="H160" t="str" cm="1">
        <f t="array" ref="H160">_xlfn.IFS(E160&gt;=16, "Excellent",E160&gt;=14, "Très bien", E160&gt;=12, "Bien", E160&gt;=10, "Passable", E160&lt;10, "Insuffisant")</f>
        <v>Excellent</v>
      </c>
      <c r="I160" s="14" t="str">
        <f t="shared" si="6"/>
        <v>RAS</v>
      </c>
      <c r="J160" s="14" t="str">
        <f t="shared" si="7"/>
        <v>Autre filière</v>
      </c>
      <c r="L160" s="16"/>
    </row>
    <row r="161" spans="1:12">
      <c r="A161" t="s">
        <v>143</v>
      </c>
      <c r="B161" t="s">
        <v>144</v>
      </c>
      <c r="C161" t="s">
        <v>48</v>
      </c>
      <c r="D161">
        <v>14.12</v>
      </c>
      <c r="E161">
        <v>11.46</v>
      </c>
      <c r="F161" s="11">
        <v>0.9617</v>
      </c>
      <c r="G161" t="str">
        <f t="shared" si="8"/>
        <v>Admis sous condition</v>
      </c>
      <c r="H161" t="str" cm="1">
        <f t="array" ref="H161">_xlfn.IFS(E161&gt;=16, "Excellent",E161&gt;=14, "Très bien", E161&gt;=12, "Bien", E161&gt;=10, "Passable", E161&lt;10, "Insuffisant")</f>
        <v>Passable</v>
      </c>
      <c r="I161" s="14" t="str">
        <f t="shared" si="6"/>
        <v>RAS</v>
      </c>
      <c r="J161" s="14" t="str">
        <f t="shared" si="7"/>
        <v>Autre filière</v>
      </c>
      <c r="L161" s="16"/>
    </row>
    <row r="162" spans="1:12">
      <c r="A162" t="s">
        <v>809</v>
      </c>
      <c r="B162" t="s">
        <v>204</v>
      </c>
      <c r="C162" t="s">
        <v>48</v>
      </c>
      <c r="D162">
        <v>13.49</v>
      </c>
      <c r="E162">
        <v>16.61</v>
      </c>
      <c r="F162" s="11">
        <v>0.86909999999999998</v>
      </c>
      <c r="G162" t="str">
        <f t="shared" si="8"/>
        <v>Admis</v>
      </c>
      <c r="H162" t="str" cm="1">
        <f t="array" ref="H162">_xlfn.IFS(E162&gt;=16, "Excellent",E162&gt;=14, "Très bien", E162&gt;=12, "Bien", E162&gt;=10, "Passable", E162&lt;10, "Insuffisant")</f>
        <v>Excellent</v>
      </c>
      <c r="I162" s="14" t="str">
        <f t="shared" si="6"/>
        <v>RAS</v>
      </c>
      <c r="J162" s="14" t="str">
        <f t="shared" si="7"/>
        <v>Autre filière</v>
      </c>
      <c r="K162" s="15"/>
      <c r="L162" s="16"/>
    </row>
    <row r="163" spans="1:12">
      <c r="A163" t="s">
        <v>524</v>
      </c>
      <c r="B163" t="s">
        <v>274</v>
      </c>
      <c r="C163" t="s">
        <v>35</v>
      </c>
      <c r="D163">
        <v>18.920000000000002</v>
      </c>
      <c r="E163">
        <v>18.82</v>
      </c>
      <c r="F163" s="11">
        <v>0.97560000000000002</v>
      </c>
      <c r="G163" t="str">
        <f t="shared" si="8"/>
        <v>Admis</v>
      </c>
      <c r="H163" t="str" cm="1">
        <f t="array" ref="H163">_xlfn.IFS(E163&gt;=16, "Excellent",E163&gt;=14, "Très bien", E163&gt;=12, "Bien", E163&gt;=10, "Passable", E163&lt;10, "Insuffisant")</f>
        <v>Excellent</v>
      </c>
      <c r="I163" s="14" t="str">
        <f t="shared" si="6"/>
        <v>RAS</v>
      </c>
      <c r="J163" s="14" t="str">
        <f t="shared" si="7"/>
        <v>Autre filière</v>
      </c>
      <c r="L163" s="16"/>
    </row>
    <row r="164" spans="1:12">
      <c r="A164" t="s">
        <v>1027</v>
      </c>
      <c r="B164" t="s">
        <v>224</v>
      </c>
      <c r="C164" t="s">
        <v>22</v>
      </c>
      <c r="D164">
        <v>10.65</v>
      </c>
      <c r="E164">
        <v>15.47</v>
      </c>
      <c r="F164" s="11">
        <v>0.87219999999999998</v>
      </c>
      <c r="G164" t="str">
        <f t="shared" si="8"/>
        <v>Admis sous condition</v>
      </c>
      <c r="H164" t="str" cm="1">
        <f t="array" ref="H164">_xlfn.IFS(E164&gt;=16, "Excellent",E164&gt;=14, "Très bien", E164&gt;=12, "Bien", E164&gt;=10, "Passable", E164&lt;10, "Insuffisant")</f>
        <v>Très bien</v>
      </c>
      <c r="I164" s="14" t="str">
        <f t="shared" si="6"/>
        <v>RAS</v>
      </c>
      <c r="J164" s="14" t="str">
        <f t="shared" si="7"/>
        <v>Data</v>
      </c>
      <c r="K164" s="15"/>
      <c r="L164" s="16"/>
    </row>
    <row r="165" spans="1:12">
      <c r="A165" t="s">
        <v>396</v>
      </c>
      <c r="B165" t="s">
        <v>92</v>
      </c>
      <c r="C165" t="s">
        <v>27</v>
      </c>
      <c r="D165">
        <v>9.92</v>
      </c>
      <c r="E165">
        <v>11.41</v>
      </c>
      <c r="F165" s="11">
        <v>0.79590000000000005</v>
      </c>
      <c r="G165" t="str">
        <f t="shared" si="8"/>
        <v>Refusé</v>
      </c>
      <c r="H165" t="str" cm="1">
        <f t="array" ref="H165">_xlfn.IFS(E165&gt;=16, "Excellent",E165&gt;=14, "Très bien", E165&gt;=12, "Bien", E165&gt;=10, "Passable", E165&lt;10, "Insuffisant")</f>
        <v>Passable</v>
      </c>
      <c r="I165" s="14" t="str">
        <f t="shared" si="6"/>
        <v>A surveiller</v>
      </c>
      <c r="J165" s="14" t="str">
        <f t="shared" si="7"/>
        <v>Autre filière</v>
      </c>
      <c r="L165" s="16"/>
    </row>
    <row r="166" spans="1:12">
      <c r="A166" t="s">
        <v>685</v>
      </c>
      <c r="B166" t="s">
        <v>346</v>
      </c>
      <c r="C166" t="s">
        <v>22</v>
      </c>
      <c r="D166">
        <v>13.37</v>
      </c>
      <c r="E166">
        <v>14.07</v>
      </c>
      <c r="F166" s="11">
        <v>0.88229999999999997</v>
      </c>
      <c r="G166" t="str">
        <f t="shared" si="8"/>
        <v>Admis</v>
      </c>
      <c r="H166" t="str" cm="1">
        <f t="array" ref="H166">_xlfn.IFS(E166&gt;=16, "Excellent",E166&gt;=14, "Très bien", E166&gt;=12, "Bien", E166&gt;=10, "Passable", E166&lt;10, "Insuffisant")</f>
        <v>Très bien</v>
      </c>
      <c r="I166" s="14" t="str">
        <f t="shared" si="6"/>
        <v>RAS</v>
      </c>
      <c r="J166" s="14" t="str">
        <f t="shared" si="7"/>
        <v>Data</v>
      </c>
      <c r="K166" s="15"/>
      <c r="L166" s="16"/>
    </row>
    <row r="167" spans="1:12">
      <c r="A167" t="s">
        <v>1247</v>
      </c>
      <c r="B167" t="s">
        <v>213</v>
      </c>
      <c r="C167" t="s">
        <v>35</v>
      </c>
      <c r="D167">
        <v>13.74</v>
      </c>
      <c r="E167">
        <v>13.23</v>
      </c>
      <c r="F167" s="11">
        <v>0.90839999999999999</v>
      </c>
      <c r="G167" t="str">
        <f t="shared" si="8"/>
        <v>Admis</v>
      </c>
      <c r="H167" t="str" cm="1">
        <f t="array" ref="H167">_xlfn.IFS(E167&gt;=16, "Excellent",E167&gt;=14, "Très bien", E167&gt;=12, "Bien", E167&gt;=10, "Passable", E167&lt;10, "Insuffisant")</f>
        <v>Bien</v>
      </c>
      <c r="I167" s="14" t="str">
        <f t="shared" si="6"/>
        <v>RAS</v>
      </c>
      <c r="J167" s="14" t="str">
        <f t="shared" si="7"/>
        <v>Autre filière</v>
      </c>
      <c r="L167" s="16"/>
    </row>
    <row r="168" spans="1:12">
      <c r="A168" t="s">
        <v>438</v>
      </c>
      <c r="B168" t="s">
        <v>317</v>
      </c>
      <c r="C168" t="s">
        <v>35</v>
      </c>
      <c r="D168">
        <v>13.02</v>
      </c>
      <c r="E168">
        <v>15.13</v>
      </c>
      <c r="F168" s="11">
        <v>0.79690000000000005</v>
      </c>
      <c r="G168" t="str">
        <f t="shared" si="8"/>
        <v>Admis sous condition</v>
      </c>
      <c r="H168" t="str" cm="1">
        <f t="array" ref="H168">_xlfn.IFS(E168&gt;=16, "Excellent",E168&gt;=14, "Très bien", E168&gt;=12, "Bien", E168&gt;=10, "Passable", E168&lt;10, "Insuffisant")</f>
        <v>Très bien</v>
      </c>
      <c r="I168" s="14" t="str">
        <f t="shared" si="6"/>
        <v>RAS</v>
      </c>
      <c r="J168" s="14" t="str">
        <f t="shared" si="7"/>
        <v>Autre filière</v>
      </c>
      <c r="L168" s="16"/>
    </row>
    <row r="169" spans="1:12">
      <c r="A169" t="s">
        <v>556</v>
      </c>
      <c r="B169" t="s">
        <v>557</v>
      </c>
      <c r="C169" t="s">
        <v>22</v>
      </c>
      <c r="D169">
        <v>13.5</v>
      </c>
      <c r="E169">
        <v>14.94</v>
      </c>
      <c r="F169" s="11">
        <v>0.8901</v>
      </c>
      <c r="G169" t="str">
        <f t="shared" si="8"/>
        <v>Admis</v>
      </c>
      <c r="H169" t="str" cm="1">
        <f t="array" ref="H169">_xlfn.IFS(E169&gt;=16, "Excellent",E169&gt;=14, "Très bien", E169&gt;=12, "Bien", E169&gt;=10, "Passable", E169&lt;10, "Insuffisant")</f>
        <v>Très bien</v>
      </c>
      <c r="I169" s="14" t="str">
        <f t="shared" si="6"/>
        <v>RAS</v>
      </c>
      <c r="J169" s="14" t="str">
        <f t="shared" si="7"/>
        <v>Data</v>
      </c>
      <c r="K169" s="15"/>
      <c r="L169" s="16"/>
    </row>
    <row r="170" spans="1:12">
      <c r="A170" t="s">
        <v>76</v>
      </c>
      <c r="B170" t="s">
        <v>77</v>
      </c>
      <c r="C170" t="s">
        <v>35</v>
      </c>
      <c r="D170">
        <v>17.48</v>
      </c>
      <c r="E170">
        <v>10.02</v>
      </c>
      <c r="F170" s="11">
        <v>0.58579999999999999</v>
      </c>
      <c r="G170" t="str">
        <f t="shared" si="8"/>
        <v>Admis sous condition</v>
      </c>
      <c r="H170" t="str" cm="1">
        <f t="array" ref="H170">_xlfn.IFS(E170&gt;=16, "Excellent",E170&gt;=14, "Très bien", E170&gt;=12, "Bien", E170&gt;=10, "Passable", E170&lt;10, "Insuffisant")</f>
        <v>Passable</v>
      </c>
      <c r="I170" s="14" t="str">
        <f t="shared" si="6"/>
        <v>A surveiller</v>
      </c>
      <c r="J170" s="14" t="str">
        <f t="shared" si="7"/>
        <v>Autre filière</v>
      </c>
      <c r="L170" s="16"/>
    </row>
    <row r="171" spans="1:12">
      <c r="A171" t="s">
        <v>1190</v>
      </c>
      <c r="B171" t="s">
        <v>52</v>
      </c>
      <c r="C171" t="s">
        <v>22</v>
      </c>
      <c r="D171">
        <v>15.98</v>
      </c>
      <c r="E171">
        <v>19.53</v>
      </c>
      <c r="F171" s="11">
        <v>0.85309999999999997</v>
      </c>
      <c r="G171" t="str">
        <f t="shared" si="8"/>
        <v>Admis</v>
      </c>
      <c r="H171" t="str" cm="1">
        <f t="array" ref="H171">_xlfn.IFS(E171&gt;=16, "Excellent",E171&gt;=14, "Très bien", E171&gt;=12, "Bien", E171&gt;=10, "Passable", E171&lt;10, "Insuffisant")</f>
        <v>Excellent</v>
      </c>
      <c r="I171" s="14" t="str">
        <f t="shared" si="6"/>
        <v>RAS</v>
      </c>
      <c r="J171" s="14" t="str">
        <f t="shared" si="7"/>
        <v>Data</v>
      </c>
      <c r="K171" s="15"/>
      <c r="L171" s="16"/>
    </row>
    <row r="172" spans="1:12">
      <c r="A172" t="s">
        <v>457</v>
      </c>
      <c r="B172" t="s">
        <v>458</v>
      </c>
      <c r="C172" t="s">
        <v>48</v>
      </c>
      <c r="D172">
        <v>16.59</v>
      </c>
      <c r="E172">
        <v>14.2</v>
      </c>
      <c r="F172" s="11">
        <v>0.92749999999999999</v>
      </c>
      <c r="G172" t="str">
        <f t="shared" si="8"/>
        <v>Admis</v>
      </c>
      <c r="H172" t="str" cm="1">
        <f t="array" ref="H172">_xlfn.IFS(E172&gt;=16, "Excellent",E172&gt;=14, "Très bien", E172&gt;=12, "Bien", E172&gt;=10, "Passable", E172&lt;10, "Insuffisant")</f>
        <v>Très bien</v>
      </c>
      <c r="I172" s="14" t="str">
        <f t="shared" si="6"/>
        <v>RAS</v>
      </c>
      <c r="J172" s="14" t="str">
        <f t="shared" si="7"/>
        <v>Autre filière</v>
      </c>
      <c r="L172" s="16"/>
    </row>
    <row r="173" spans="1:12">
      <c r="A173" t="s">
        <v>1001</v>
      </c>
      <c r="B173" t="s">
        <v>315</v>
      </c>
      <c r="C173" t="s">
        <v>48</v>
      </c>
      <c r="D173">
        <v>15.42</v>
      </c>
      <c r="E173">
        <v>12.24</v>
      </c>
      <c r="F173" s="11">
        <v>0.93669999999999998</v>
      </c>
      <c r="G173" t="str">
        <f t="shared" si="8"/>
        <v>Admis</v>
      </c>
      <c r="H173" t="str" cm="1">
        <f t="array" ref="H173">_xlfn.IFS(E173&gt;=16, "Excellent",E173&gt;=14, "Très bien", E173&gt;=12, "Bien", E173&gt;=10, "Passable", E173&lt;10, "Insuffisant")</f>
        <v>Bien</v>
      </c>
      <c r="I173" s="14" t="str">
        <f t="shared" si="6"/>
        <v>RAS</v>
      </c>
      <c r="J173" s="14" t="str">
        <f t="shared" si="7"/>
        <v>Autre filière</v>
      </c>
      <c r="L173" s="16"/>
    </row>
    <row r="174" spans="1:12">
      <c r="A174" t="s">
        <v>1092</v>
      </c>
      <c r="B174" t="s">
        <v>83</v>
      </c>
      <c r="C174" t="s">
        <v>48</v>
      </c>
      <c r="D174">
        <v>15.63</v>
      </c>
      <c r="E174">
        <v>19.55</v>
      </c>
      <c r="F174" s="11">
        <v>0.71250000000000002</v>
      </c>
      <c r="G174" t="str">
        <f t="shared" si="8"/>
        <v>Admis sous condition</v>
      </c>
      <c r="H174" t="str" cm="1">
        <f t="array" ref="H174">_xlfn.IFS(E174&gt;=16, "Excellent",E174&gt;=14, "Très bien", E174&gt;=12, "Bien", E174&gt;=10, "Passable", E174&lt;10, "Insuffisant")</f>
        <v>Excellent</v>
      </c>
      <c r="I174" s="14" t="str">
        <f t="shared" si="6"/>
        <v>RAS</v>
      </c>
      <c r="J174" s="14" t="str">
        <f t="shared" si="7"/>
        <v>Autre filière</v>
      </c>
      <c r="L174" s="16"/>
    </row>
    <row r="175" spans="1:12">
      <c r="A175" t="s">
        <v>976</v>
      </c>
      <c r="B175" t="s">
        <v>166</v>
      </c>
      <c r="C175" t="s">
        <v>48</v>
      </c>
      <c r="D175">
        <v>16.309999999999999</v>
      </c>
      <c r="E175">
        <v>13.77</v>
      </c>
      <c r="F175" s="11">
        <v>0.90159999999999996</v>
      </c>
      <c r="G175" t="str">
        <f t="shared" si="8"/>
        <v>Admis</v>
      </c>
      <c r="H175" t="str" cm="1">
        <f t="array" ref="H175">_xlfn.IFS(E175&gt;=16, "Excellent",E175&gt;=14, "Très bien", E175&gt;=12, "Bien", E175&gt;=10, "Passable", E175&lt;10, "Insuffisant")</f>
        <v>Bien</v>
      </c>
      <c r="I175" s="14" t="str">
        <f t="shared" si="6"/>
        <v>RAS</v>
      </c>
      <c r="J175" s="14" t="str">
        <f t="shared" si="7"/>
        <v>Autre filière</v>
      </c>
      <c r="L175" s="16"/>
    </row>
    <row r="176" spans="1:12">
      <c r="A176" t="s">
        <v>302</v>
      </c>
      <c r="B176" t="s">
        <v>47</v>
      </c>
      <c r="C176" t="s">
        <v>35</v>
      </c>
      <c r="D176">
        <v>14.14</v>
      </c>
      <c r="E176">
        <v>11.75</v>
      </c>
      <c r="F176" s="11">
        <v>0.90129999999999999</v>
      </c>
      <c r="G176" t="str">
        <f t="shared" si="8"/>
        <v>Admis sous condition</v>
      </c>
      <c r="H176" t="str" cm="1">
        <f t="array" ref="H176">_xlfn.IFS(E176&gt;=16, "Excellent",E176&gt;=14, "Très bien", E176&gt;=12, "Bien", E176&gt;=10, "Passable", E176&lt;10, "Insuffisant")</f>
        <v>Passable</v>
      </c>
      <c r="I176" s="14" t="str">
        <f t="shared" si="6"/>
        <v>RAS</v>
      </c>
      <c r="J176" s="14" t="str">
        <f t="shared" si="7"/>
        <v>Autre filière</v>
      </c>
      <c r="L176" s="16"/>
    </row>
    <row r="177" spans="1:12">
      <c r="A177" t="s">
        <v>501</v>
      </c>
      <c r="B177" t="s">
        <v>288</v>
      </c>
      <c r="C177" t="s">
        <v>27</v>
      </c>
      <c r="D177">
        <v>20</v>
      </c>
      <c r="E177">
        <v>17.809999999999999</v>
      </c>
      <c r="F177" s="11">
        <v>0.91659999999999997</v>
      </c>
      <c r="G177" t="str">
        <f t="shared" si="8"/>
        <v>Admis</v>
      </c>
      <c r="H177" t="str" cm="1">
        <f t="array" ref="H177">_xlfn.IFS(E177&gt;=16, "Excellent",E177&gt;=14, "Très bien", E177&gt;=12, "Bien", E177&gt;=10, "Passable", E177&lt;10, "Insuffisant")</f>
        <v>Excellent</v>
      </c>
      <c r="I177" s="14" t="str">
        <f t="shared" si="6"/>
        <v>RAS</v>
      </c>
      <c r="J177" s="14" t="str">
        <f t="shared" si="7"/>
        <v>Autre filière</v>
      </c>
      <c r="L177" s="16"/>
    </row>
    <row r="178" spans="1:12">
      <c r="A178" t="s">
        <v>1071</v>
      </c>
      <c r="B178" t="s">
        <v>117</v>
      </c>
      <c r="C178" t="s">
        <v>27</v>
      </c>
      <c r="D178">
        <v>10.130000000000001</v>
      </c>
      <c r="E178">
        <v>10.06</v>
      </c>
      <c r="F178" s="11">
        <v>0.90339999999999998</v>
      </c>
      <c r="G178" t="str">
        <f t="shared" si="8"/>
        <v>Admis sous condition</v>
      </c>
      <c r="H178" t="str" cm="1">
        <f t="array" ref="H178">_xlfn.IFS(E178&gt;=16, "Excellent",E178&gt;=14, "Très bien", E178&gt;=12, "Bien", E178&gt;=10, "Passable", E178&lt;10, "Insuffisant")</f>
        <v>Passable</v>
      </c>
      <c r="I178" s="14" t="str">
        <f t="shared" si="6"/>
        <v>RAS</v>
      </c>
      <c r="J178" s="14" t="str">
        <f t="shared" si="7"/>
        <v>Autre filière</v>
      </c>
      <c r="L178" s="16"/>
    </row>
    <row r="179" spans="1:12">
      <c r="A179" t="s">
        <v>970</v>
      </c>
      <c r="B179" t="s">
        <v>61</v>
      </c>
      <c r="C179" t="s">
        <v>35</v>
      </c>
      <c r="D179">
        <v>14.82</v>
      </c>
      <c r="E179">
        <v>18.28</v>
      </c>
      <c r="F179" s="11">
        <v>0.86040000000000005</v>
      </c>
      <c r="G179" t="str">
        <f t="shared" si="8"/>
        <v>Admis</v>
      </c>
      <c r="H179" t="str" cm="1">
        <f t="array" ref="H179">_xlfn.IFS(E179&gt;=16, "Excellent",E179&gt;=14, "Très bien", E179&gt;=12, "Bien", E179&gt;=10, "Passable", E179&lt;10, "Insuffisant")</f>
        <v>Excellent</v>
      </c>
      <c r="I179" s="14" t="str">
        <f t="shared" si="6"/>
        <v>RAS</v>
      </c>
      <c r="J179" s="14" t="str">
        <f t="shared" si="7"/>
        <v>Autre filière</v>
      </c>
      <c r="K179" s="15"/>
      <c r="L179" s="16"/>
    </row>
    <row r="180" spans="1:12">
      <c r="A180" t="s">
        <v>426</v>
      </c>
      <c r="B180" t="s">
        <v>301</v>
      </c>
      <c r="C180" t="s">
        <v>22</v>
      </c>
      <c r="D180">
        <v>13.45</v>
      </c>
      <c r="E180">
        <v>19.48</v>
      </c>
      <c r="F180" s="11">
        <v>0.69740000000000002</v>
      </c>
      <c r="G180" t="str">
        <f t="shared" si="8"/>
        <v>Admis sous condition</v>
      </c>
      <c r="H180" t="str" cm="1">
        <f t="array" ref="H180">_xlfn.IFS(E180&gt;=16, "Excellent",E180&gt;=14, "Très bien", E180&gt;=12, "Bien", E180&gt;=10, "Passable", E180&lt;10, "Insuffisant")</f>
        <v>Excellent</v>
      </c>
      <c r="I180" s="14" t="str">
        <f t="shared" si="6"/>
        <v>A surveiller</v>
      </c>
      <c r="J180" s="14" t="str">
        <f t="shared" si="7"/>
        <v>Data</v>
      </c>
      <c r="K180" s="15"/>
      <c r="L180" s="16"/>
    </row>
    <row r="181" spans="1:12">
      <c r="A181" t="s">
        <v>701</v>
      </c>
      <c r="B181" t="s">
        <v>380</v>
      </c>
      <c r="C181" t="s">
        <v>27</v>
      </c>
      <c r="D181">
        <v>16.329999999999998</v>
      </c>
      <c r="E181">
        <v>15.41</v>
      </c>
      <c r="F181" s="11">
        <v>0.626</v>
      </c>
      <c r="G181" t="str">
        <f t="shared" si="8"/>
        <v>Admis sous condition</v>
      </c>
      <c r="H181" t="str" cm="1">
        <f t="array" ref="H181">_xlfn.IFS(E181&gt;=16, "Excellent",E181&gt;=14, "Très bien", E181&gt;=12, "Bien", E181&gt;=10, "Passable", E181&lt;10, "Insuffisant")</f>
        <v>Très bien</v>
      </c>
      <c r="I181" s="14" t="str">
        <f t="shared" si="6"/>
        <v>A surveiller</v>
      </c>
      <c r="J181" s="14" t="str">
        <f t="shared" si="7"/>
        <v>Autre filière</v>
      </c>
      <c r="L181" s="16"/>
    </row>
    <row r="182" spans="1:12">
      <c r="A182" t="s">
        <v>937</v>
      </c>
      <c r="B182" t="s">
        <v>737</v>
      </c>
      <c r="C182" t="s">
        <v>48</v>
      </c>
      <c r="D182">
        <v>13.06</v>
      </c>
      <c r="E182">
        <v>13.13</v>
      </c>
      <c r="F182" s="11">
        <v>0.98350000000000004</v>
      </c>
      <c r="G182" t="str">
        <f t="shared" si="8"/>
        <v>Admis</v>
      </c>
      <c r="H182" t="str" cm="1">
        <f t="array" ref="H182">_xlfn.IFS(E182&gt;=16, "Excellent",E182&gt;=14, "Très bien", E182&gt;=12, "Bien", E182&gt;=10, "Passable", E182&lt;10, "Insuffisant")</f>
        <v>Bien</v>
      </c>
      <c r="I182" s="14" t="str">
        <f t="shared" si="6"/>
        <v>RAS</v>
      </c>
      <c r="J182" s="14" t="str">
        <f t="shared" si="7"/>
        <v>Autre filière</v>
      </c>
      <c r="L182" s="16"/>
    </row>
    <row r="183" spans="1:12">
      <c r="A183" t="s">
        <v>167</v>
      </c>
      <c r="B183" t="s">
        <v>168</v>
      </c>
      <c r="C183" t="s">
        <v>27</v>
      </c>
      <c r="D183">
        <v>13.48</v>
      </c>
      <c r="E183">
        <v>17.98</v>
      </c>
      <c r="F183" s="11">
        <v>0.88990000000000002</v>
      </c>
      <c r="G183" t="str">
        <f t="shared" si="8"/>
        <v>Admis</v>
      </c>
      <c r="H183" t="str" cm="1">
        <f t="array" ref="H183">_xlfn.IFS(E183&gt;=16, "Excellent",E183&gt;=14, "Très bien", E183&gt;=12, "Bien", E183&gt;=10, "Passable", E183&lt;10, "Insuffisant")</f>
        <v>Excellent</v>
      </c>
      <c r="I183" s="14" t="str">
        <f t="shared" si="6"/>
        <v>RAS</v>
      </c>
      <c r="J183" s="14" t="str">
        <f t="shared" si="7"/>
        <v>Autre filière</v>
      </c>
      <c r="K183" s="15"/>
      <c r="L183" s="16"/>
    </row>
    <row r="184" spans="1:12">
      <c r="A184" t="s">
        <v>780</v>
      </c>
      <c r="B184" t="s">
        <v>781</v>
      </c>
      <c r="C184" t="s">
        <v>35</v>
      </c>
      <c r="D184">
        <v>18.2</v>
      </c>
      <c r="E184">
        <v>18.86</v>
      </c>
      <c r="F184" s="11">
        <v>0.89380000000000004</v>
      </c>
      <c r="G184" t="str">
        <f t="shared" si="8"/>
        <v>Admis</v>
      </c>
      <c r="H184" t="str" cm="1">
        <f t="array" ref="H184">_xlfn.IFS(E184&gt;=16, "Excellent",E184&gt;=14, "Très bien", E184&gt;=12, "Bien", E184&gt;=10, "Passable", E184&lt;10, "Insuffisant")</f>
        <v>Excellent</v>
      </c>
      <c r="I184" s="14" t="str">
        <f t="shared" si="6"/>
        <v>RAS</v>
      </c>
      <c r="J184" s="14" t="str">
        <f t="shared" si="7"/>
        <v>Autre filière</v>
      </c>
      <c r="K184" s="15"/>
      <c r="L184" s="16"/>
    </row>
    <row r="185" spans="1:12">
      <c r="A185" t="s">
        <v>450</v>
      </c>
      <c r="B185" t="s">
        <v>451</v>
      </c>
      <c r="C185" t="s">
        <v>35</v>
      </c>
      <c r="D185">
        <v>17.37</v>
      </c>
      <c r="E185">
        <v>16.72</v>
      </c>
      <c r="F185" s="11">
        <v>0.94679999999999997</v>
      </c>
      <c r="G185" t="str">
        <f t="shared" si="8"/>
        <v>Admis</v>
      </c>
      <c r="H185" t="str" cm="1">
        <f t="array" ref="H185">_xlfn.IFS(E185&gt;=16, "Excellent",E185&gt;=14, "Très bien", E185&gt;=12, "Bien", E185&gt;=10, "Passable", E185&lt;10, "Insuffisant")</f>
        <v>Excellent</v>
      </c>
      <c r="I185" s="14" t="str">
        <f t="shared" si="6"/>
        <v>RAS</v>
      </c>
      <c r="J185" s="14" t="str">
        <f t="shared" si="7"/>
        <v>Autre filière</v>
      </c>
      <c r="L185" s="16"/>
    </row>
    <row r="186" spans="1:12">
      <c r="A186" t="s">
        <v>140</v>
      </c>
      <c r="B186" t="s">
        <v>141</v>
      </c>
      <c r="C186" t="s">
        <v>35</v>
      </c>
      <c r="D186">
        <v>15.91</v>
      </c>
      <c r="E186">
        <v>14.56</v>
      </c>
      <c r="F186" s="11">
        <v>0.74680000000000002</v>
      </c>
      <c r="G186" t="str">
        <f t="shared" si="8"/>
        <v>Admis sous condition</v>
      </c>
      <c r="H186" t="str" cm="1">
        <f t="array" ref="H186">_xlfn.IFS(E186&gt;=16, "Excellent",E186&gt;=14, "Très bien", E186&gt;=12, "Bien", E186&gt;=10, "Passable", E186&lt;10, "Insuffisant")</f>
        <v>Très bien</v>
      </c>
      <c r="I186" s="14" t="str">
        <f t="shared" si="6"/>
        <v>RAS</v>
      </c>
      <c r="J186" s="14" t="str">
        <f t="shared" si="7"/>
        <v>Autre filière</v>
      </c>
      <c r="L186" s="16"/>
    </row>
    <row r="187" spans="1:12">
      <c r="A187" t="s">
        <v>1008</v>
      </c>
      <c r="B187" t="s">
        <v>1009</v>
      </c>
      <c r="C187" t="s">
        <v>48</v>
      </c>
      <c r="D187">
        <v>12.93</v>
      </c>
      <c r="E187">
        <v>13.93</v>
      </c>
      <c r="F187" s="11">
        <v>0.78190000000000004</v>
      </c>
      <c r="G187" t="str">
        <f t="shared" si="8"/>
        <v>Admis sous condition</v>
      </c>
      <c r="H187" t="str" cm="1">
        <f t="array" ref="H187">_xlfn.IFS(E187&gt;=16, "Excellent",E187&gt;=14, "Très bien", E187&gt;=12, "Bien", E187&gt;=10, "Passable", E187&lt;10, "Insuffisant")</f>
        <v>Bien</v>
      </c>
      <c r="I187" s="14" t="str">
        <f t="shared" si="6"/>
        <v>RAS</v>
      </c>
      <c r="J187" s="14" t="str">
        <f t="shared" si="7"/>
        <v>Autre filière</v>
      </c>
      <c r="L187" s="16"/>
    </row>
    <row r="188" spans="1:12">
      <c r="A188" t="s">
        <v>588</v>
      </c>
      <c r="B188" t="s">
        <v>589</v>
      </c>
      <c r="C188" t="s">
        <v>22</v>
      </c>
      <c r="D188">
        <v>15.84</v>
      </c>
      <c r="E188">
        <v>17.77</v>
      </c>
      <c r="F188" s="11">
        <v>0.80469999999999997</v>
      </c>
      <c r="G188" t="str">
        <f t="shared" si="8"/>
        <v>Admis</v>
      </c>
      <c r="H188" t="str" cm="1">
        <f t="array" ref="H188">_xlfn.IFS(E188&gt;=16, "Excellent",E188&gt;=14, "Très bien", E188&gt;=12, "Bien", E188&gt;=10, "Passable", E188&lt;10, "Insuffisant")</f>
        <v>Excellent</v>
      </c>
      <c r="I188" s="14" t="str">
        <f t="shared" si="6"/>
        <v>RAS</v>
      </c>
      <c r="J188" s="14" t="str">
        <f t="shared" si="7"/>
        <v>Data</v>
      </c>
      <c r="K188" s="15"/>
      <c r="L188" s="16"/>
    </row>
    <row r="189" spans="1:12">
      <c r="A189" t="s">
        <v>527</v>
      </c>
      <c r="B189" t="s">
        <v>528</v>
      </c>
      <c r="C189" t="s">
        <v>22</v>
      </c>
      <c r="D189">
        <v>20</v>
      </c>
      <c r="E189">
        <v>15.41</v>
      </c>
      <c r="F189" s="11">
        <v>0.7198</v>
      </c>
      <c r="G189" t="str">
        <f t="shared" si="8"/>
        <v>Admis sous condition</v>
      </c>
      <c r="H189" t="str" cm="1">
        <f t="array" ref="H189">_xlfn.IFS(E189&gt;=16, "Excellent",E189&gt;=14, "Très bien", E189&gt;=12, "Bien", E189&gt;=10, "Passable", E189&lt;10, "Insuffisant")</f>
        <v>Très bien</v>
      </c>
      <c r="I189" s="14" t="str">
        <f t="shared" si="6"/>
        <v>RAS</v>
      </c>
      <c r="J189" s="14" t="str">
        <f t="shared" si="7"/>
        <v>Data</v>
      </c>
      <c r="L189" s="16"/>
    </row>
    <row r="190" spans="1:12">
      <c r="A190" t="s">
        <v>1198</v>
      </c>
      <c r="B190" t="s">
        <v>280</v>
      </c>
      <c r="C190" t="s">
        <v>27</v>
      </c>
      <c r="D190">
        <v>15.15</v>
      </c>
      <c r="E190">
        <v>13.9</v>
      </c>
      <c r="F190" s="11">
        <v>0.7762</v>
      </c>
      <c r="G190" t="str">
        <f t="shared" si="8"/>
        <v>Admis sous condition</v>
      </c>
      <c r="H190" t="str" cm="1">
        <f t="array" ref="H190">_xlfn.IFS(E190&gt;=16, "Excellent",E190&gt;=14, "Très bien", E190&gt;=12, "Bien", E190&gt;=10, "Passable", E190&lt;10, "Insuffisant")</f>
        <v>Bien</v>
      </c>
      <c r="I190" s="14" t="str">
        <f t="shared" si="6"/>
        <v>RAS</v>
      </c>
      <c r="J190" s="14" t="str">
        <f t="shared" si="7"/>
        <v>Autre filière</v>
      </c>
      <c r="L190" s="16"/>
    </row>
    <row r="191" spans="1:12">
      <c r="A191" t="s">
        <v>941</v>
      </c>
      <c r="B191" t="s">
        <v>618</v>
      </c>
      <c r="C191" t="s">
        <v>35</v>
      </c>
      <c r="D191">
        <v>15.07</v>
      </c>
      <c r="E191">
        <v>8.73</v>
      </c>
      <c r="F191" s="11">
        <v>0.73860000000000003</v>
      </c>
      <c r="G191" t="str">
        <f t="shared" si="8"/>
        <v>Refusé</v>
      </c>
      <c r="H191" t="str" cm="1">
        <f t="array" ref="H191">_xlfn.IFS(E191&gt;=16, "Excellent",E191&gt;=14, "Très bien", E191&gt;=12, "Bien", E191&gt;=10, "Passable", E191&lt;10, "Insuffisant")</f>
        <v>Insuffisant</v>
      </c>
      <c r="I191" s="14" t="str">
        <f t="shared" si="6"/>
        <v>A surveiller</v>
      </c>
      <c r="J191" s="14" t="str">
        <f t="shared" si="7"/>
        <v>Autre filière</v>
      </c>
      <c r="L191" s="16"/>
    </row>
    <row r="192" spans="1:12">
      <c r="A192" t="s">
        <v>806</v>
      </c>
      <c r="B192" t="s">
        <v>96</v>
      </c>
      <c r="C192" t="s">
        <v>48</v>
      </c>
      <c r="D192">
        <v>15.59</v>
      </c>
      <c r="E192">
        <v>18.34</v>
      </c>
      <c r="F192" s="11">
        <v>0.79949999999999999</v>
      </c>
      <c r="G192" t="str">
        <f t="shared" si="8"/>
        <v>Admis sous condition</v>
      </c>
      <c r="H192" t="str" cm="1">
        <f t="array" ref="H192">_xlfn.IFS(E192&gt;=16, "Excellent",E192&gt;=14, "Très bien", E192&gt;=12, "Bien", E192&gt;=10, "Passable", E192&lt;10, "Insuffisant")</f>
        <v>Excellent</v>
      </c>
      <c r="I192" s="14" t="str">
        <f t="shared" si="6"/>
        <v>RAS</v>
      </c>
      <c r="J192" s="14" t="str">
        <f t="shared" si="7"/>
        <v>Autre filière</v>
      </c>
      <c r="L192" s="16"/>
    </row>
    <row r="193" spans="1:12">
      <c r="A193" t="s">
        <v>906</v>
      </c>
      <c r="B193" t="s">
        <v>589</v>
      </c>
      <c r="C193" t="s">
        <v>48</v>
      </c>
      <c r="D193">
        <v>16.239999999999998</v>
      </c>
      <c r="E193">
        <v>17.399999999999999</v>
      </c>
      <c r="F193" s="11">
        <v>0.9133</v>
      </c>
      <c r="G193" t="str">
        <f t="shared" si="8"/>
        <v>Admis</v>
      </c>
      <c r="H193" t="str" cm="1">
        <f t="array" ref="H193">_xlfn.IFS(E193&gt;=16, "Excellent",E193&gt;=14, "Très bien", E193&gt;=12, "Bien", E193&gt;=10, "Passable", E193&lt;10, "Insuffisant")</f>
        <v>Excellent</v>
      </c>
      <c r="I193" s="14" t="str">
        <f t="shared" si="6"/>
        <v>RAS</v>
      </c>
      <c r="J193" s="14" t="str">
        <f t="shared" si="7"/>
        <v>Autre filière</v>
      </c>
      <c r="L193" s="16"/>
    </row>
    <row r="194" spans="1:12">
      <c r="A194" t="s">
        <v>499</v>
      </c>
      <c r="B194" t="s">
        <v>500</v>
      </c>
      <c r="C194" t="s">
        <v>22</v>
      </c>
      <c r="D194">
        <v>20</v>
      </c>
      <c r="E194">
        <v>15.98</v>
      </c>
      <c r="F194" s="11">
        <v>0.71940000000000004</v>
      </c>
      <c r="G194" t="str">
        <f t="shared" si="8"/>
        <v>Admis sous condition</v>
      </c>
      <c r="H194" t="str" cm="1">
        <f t="array" ref="H194">_xlfn.IFS(E194&gt;=16, "Excellent",E194&gt;=14, "Très bien", E194&gt;=12, "Bien", E194&gt;=10, "Passable", E194&lt;10, "Insuffisant")</f>
        <v>Très bien</v>
      </c>
      <c r="I194" s="14" t="str">
        <f t="shared" si="6"/>
        <v>RAS</v>
      </c>
      <c r="J194" s="14" t="str">
        <f t="shared" si="7"/>
        <v>Data</v>
      </c>
      <c r="L194" s="16"/>
    </row>
    <row r="195" spans="1:12">
      <c r="A195" t="s">
        <v>1289</v>
      </c>
      <c r="B195" t="s">
        <v>37</v>
      </c>
      <c r="C195" t="s">
        <v>35</v>
      </c>
      <c r="D195">
        <v>14.08</v>
      </c>
      <c r="E195">
        <v>13.91</v>
      </c>
      <c r="F195" s="11">
        <v>0.69810000000000005</v>
      </c>
      <c r="G195" t="str">
        <f t="shared" si="8"/>
        <v>Admis sous condition</v>
      </c>
      <c r="H195" t="str" cm="1">
        <f t="array" ref="H195">_xlfn.IFS(E195&gt;=16, "Excellent",E195&gt;=14, "Très bien", E195&gt;=12, "Bien", E195&gt;=10, "Passable", E195&lt;10, "Insuffisant")</f>
        <v>Bien</v>
      </c>
      <c r="I195" s="14" t="str">
        <f t="shared" ref="I195:I258" si="9">IF(OR(D195&lt;10,E195&lt;10,F195&lt;70%), "A surveiller", "RAS")</f>
        <v>A surveiller</v>
      </c>
      <c r="J195" s="14" t="str">
        <f t="shared" ref="J195:J258" si="10">IF(NOT(C195="Data"), "Autre filière", "Data")</f>
        <v>Autre filière</v>
      </c>
      <c r="L195" s="16"/>
    </row>
    <row r="196" spans="1:12">
      <c r="A196" t="s">
        <v>775</v>
      </c>
      <c r="B196" t="s">
        <v>71</v>
      </c>
      <c r="C196" t="s">
        <v>35</v>
      </c>
      <c r="D196">
        <v>18.149999999999999</v>
      </c>
      <c r="E196">
        <v>17.260000000000002</v>
      </c>
      <c r="F196" s="11">
        <v>0.87280000000000002</v>
      </c>
      <c r="G196" t="str">
        <f t="shared" si="8"/>
        <v>Admis</v>
      </c>
      <c r="H196" t="str" cm="1">
        <f t="array" ref="H196">_xlfn.IFS(E196&gt;=16, "Excellent",E196&gt;=14, "Très bien", E196&gt;=12, "Bien", E196&gt;=10, "Passable", E196&lt;10, "Insuffisant")</f>
        <v>Excellent</v>
      </c>
      <c r="I196" s="14" t="str">
        <f t="shared" si="9"/>
        <v>RAS</v>
      </c>
      <c r="J196" s="14" t="str">
        <f t="shared" si="10"/>
        <v>Autre filière</v>
      </c>
      <c r="K196" s="15"/>
      <c r="L196" s="16"/>
    </row>
    <row r="197" spans="1:12">
      <c r="A197" t="s">
        <v>461</v>
      </c>
      <c r="B197" t="s">
        <v>285</v>
      </c>
      <c r="C197" t="s">
        <v>48</v>
      </c>
      <c r="D197">
        <v>10.35</v>
      </c>
      <c r="E197">
        <v>9.43</v>
      </c>
      <c r="F197" s="11">
        <v>0.97809999999999997</v>
      </c>
      <c r="G197" t="str">
        <f t="shared" si="8"/>
        <v>Refusé</v>
      </c>
      <c r="H197" t="str" cm="1">
        <f t="array" ref="H197">_xlfn.IFS(E197&gt;=16, "Excellent",E197&gt;=14, "Très bien", E197&gt;=12, "Bien", E197&gt;=10, "Passable", E197&lt;10, "Insuffisant")</f>
        <v>Insuffisant</v>
      </c>
      <c r="I197" s="14" t="str">
        <f t="shared" si="9"/>
        <v>A surveiller</v>
      </c>
      <c r="J197" s="14" t="str">
        <f t="shared" si="10"/>
        <v>Autre filière</v>
      </c>
      <c r="L197" s="16"/>
    </row>
    <row r="198" spans="1:12">
      <c r="A198" t="s">
        <v>1116</v>
      </c>
      <c r="B198" t="s">
        <v>94</v>
      </c>
      <c r="C198" t="s">
        <v>27</v>
      </c>
      <c r="D198">
        <v>19.5</v>
      </c>
      <c r="E198">
        <v>20</v>
      </c>
      <c r="F198" s="11">
        <v>0.85599999999999998</v>
      </c>
      <c r="G198" t="str">
        <f t="shared" si="8"/>
        <v>Admis</v>
      </c>
      <c r="H198" t="str" cm="1">
        <f t="array" ref="H198">_xlfn.IFS(E198&gt;=16, "Excellent",E198&gt;=14, "Très bien", E198&gt;=12, "Bien", E198&gt;=10, "Passable", E198&lt;10, "Insuffisant")</f>
        <v>Excellent</v>
      </c>
      <c r="I198" s="14" t="str">
        <f t="shared" si="9"/>
        <v>RAS</v>
      </c>
      <c r="J198" s="14" t="str">
        <f t="shared" si="10"/>
        <v>Autre filière</v>
      </c>
      <c r="K198" s="15"/>
      <c r="L198" s="16"/>
    </row>
    <row r="199" spans="1:12">
      <c r="A199" t="s">
        <v>349</v>
      </c>
      <c r="B199" t="s">
        <v>270</v>
      </c>
      <c r="C199" t="s">
        <v>22</v>
      </c>
      <c r="D199">
        <v>18.09</v>
      </c>
      <c r="E199">
        <v>18.05</v>
      </c>
      <c r="F199" s="11">
        <v>0.90920000000000001</v>
      </c>
      <c r="G199" t="str">
        <f t="shared" si="8"/>
        <v>Admis</v>
      </c>
      <c r="H199" t="str" cm="1">
        <f t="array" ref="H199">_xlfn.IFS(E199&gt;=16, "Excellent",E199&gt;=14, "Très bien", E199&gt;=12, "Bien", E199&gt;=10, "Passable", E199&lt;10, "Insuffisant")</f>
        <v>Excellent</v>
      </c>
      <c r="I199" s="14" t="str">
        <f t="shared" si="9"/>
        <v>RAS</v>
      </c>
      <c r="J199" s="14" t="str">
        <f t="shared" si="10"/>
        <v>Data</v>
      </c>
      <c r="L199" s="16"/>
    </row>
    <row r="200" spans="1:12">
      <c r="A200" t="s">
        <v>257</v>
      </c>
      <c r="B200" t="s">
        <v>258</v>
      </c>
      <c r="C200" t="s">
        <v>35</v>
      </c>
      <c r="D200">
        <v>8.66</v>
      </c>
      <c r="E200">
        <v>9.07</v>
      </c>
      <c r="F200" s="11">
        <v>0.70330000000000004</v>
      </c>
      <c r="G200" t="str">
        <f t="shared" si="8"/>
        <v>Refusé</v>
      </c>
      <c r="H200" t="str" cm="1">
        <f t="array" ref="H200">_xlfn.IFS(E200&gt;=16, "Excellent",E200&gt;=14, "Très bien", E200&gt;=12, "Bien", E200&gt;=10, "Passable", E200&lt;10, "Insuffisant")</f>
        <v>Insuffisant</v>
      </c>
      <c r="I200" s="14" t="str">
        <f t="shared" si="9"/>
        <v>A surveiller</v>
      </c>
      <c r="J200" s="14" t="str">
        <f t="shared" si="10"/>
        <v>Autre filière</v>
      </c>
      <c r="L200" s="16"/>
    </row>
    <row r="201" spans="1:12">
      <c r="A201" t="s">
        <v>952</v>
      </c>
      <c r="B201" t="s">
        <v>671</v>
      </c>
      <c r="C201" t="s">
        <v>35</v>
      </c>
      <c r="D201">
        <v>19.04</v>
      </c>
      <c r="E201">
        <v>16.510000000000002</v>
      </c>
      <c r="F201" s="11">
        <v>0.85640000000000005</v>
      </c>
      <c r="G201" t="str">
        <f t="shared" si="8"/>
        <v>Admis</v>
      </c>
      <c r="H201" t="str" cm="1">
        <f t="array" ref="H201">_xlfn.IFS(E201&gt;=16, "Excellent",E201&gt;=14, "Très bien", E201&gt;=12, "Bien", E201&gt;=10, "Passable", E201&lt;10, "Insuffisant")</f>
        <v>Excellent</v>
      </c>
      <c r="I201" s="14" t="str">
        <f t="shared" si="9"/>
        <v>RAS</v>
      </c>
      <c r="J201" s="14" t="str">
        <f t="shared" si="10"/>
        <v>Autre filière</v>
      </c>
      <c r="K201" s="15"/>
      <c r="L201" s="16"/>
    </row>
    <row r="202" spans="1:12">
      <c r="A202" t="s">
        <v>355</v>
      </c>
      <c r="B202" t="s">
        <v>47</v>
      </c>
      <c r="C202" t="s">
        <v>22</v>
      </c>
      <c r="D202">
        <v>18.260000000000002</v>
      </c>
      <c r="E202">
        <v>20</v>
      </c>
      <c r="F202" s="11">
        <v>0.83209999999999995</v>
      </c>
      <c r="G202" t="str">
        <f t="shared" si="8"/>
        <v>Admis</v>
      </c>
      <c r="H202" t="str" cm="1">
        <f t="array" ref="H202">_xlfn.IFS(E202&gt;=16, "Excellent",E202&gt;=14, "Très bien", E202&gt;=12, "Bien", E202&gt;=10, "Passable", E202&lt;10, "Insuffisant")</f>
        <v>Excellent</v>
      </c>
      <c r="I202" s="14" t="str">
        <f t="shared" si="9"/>
        <v>RAS</v>
      </c>
      <c r="J202" s="14" t="str">
        <f t="shared" si="10"/>
        <v>Data</v>
      </c>
      <c r="K202" s="15"/>
      <c r="L202" s="16"/>
    </row>
    <row r="203" spans="1:12">
      <c r="A203" t="s">
        <v>292</v>
      </c>
      <c r="B203" t="s">
        <v>63</v>
      </c>
      <c r="C203" t="s">
        <v>35</v>
      </c>
      <c r="D203">
        <v>13.14</v>
      </c>
      <c r="E203">
        <v>16.55</v>
      </c>
      <c r="F203" s="11">
        <v>0.72319999999999995</v>
      </c>
      <c r="G203" t="str">
        <f t="shared" si="8"/>
        <v>Admis sous condition</v>
      </c>
      <c r="H203" t="str" cm="1">
        <f t="array" ref="H203">_xlfn.IFS(E203&gt;=16, "Excellent",E203&gt;=14, "Très bien", E203&gt;=12, "Bien", E203&gt;=10, "Passable", E203&lt;10, "Insuffisant")</f>
        <v>Excellent</v>
      </c>
      <c r="I203" s="14" t="str">
        <f t="shared" si="9"/>
        <v>RAS</v>
      </c>
      <c r="J203" s="14" t="str">
        <f t="shared" si="10"/>
        <v>Autre filière</v>
      </c>
      <c r="L203" s="16"/>
    </row>
    <row r="204" spans="1:12">
      <c r="A204" t="s">
        <v>839</v>
      </c>
      <c r="B204" t="s">
        <v>451</v>
      </c>
      <c r="C204" t="s">
        <v>35</v>
      </c>
      <c r="D204">
        <v>16.260000000000002</v>
      </c>
      <c r="E204">
        <v>13.46</v>
      </c>
      <c r="F204" s="11">
        <v>0.91969999999999996</v>
      </c>
      <c r="G204" t="str">
        <f t="shared" si="8"/>
        <v>Admis</v>
      </c>
      <c r="H204" t="str" cm="1">
        <f t="array" ref="H204">_xlfn.IFS(E204&gt;=16, "Excellent",E204&gt;=14, "Très bien", E204&gt;=12, "Bien", E204&gt;=10, "Passable", E204&lt;10, "Insuffisant")</f>
        <v>Bien</v>
      </c>
      <c r="I204" s="14" t="str">
        <f t="shared" si="9"/>
        <v>RAS</v>
      </c>
      <c r="J204" s="14" t="str">
        <f t="shared" si="10"/>
        <v>Autre filière</v>
      </c>
      <c r="L204" s="16"/>
    </row>
    <row r="205" spans="1:12">
      <c r="A205" t="s">
        <v>1264</v>
      </c>
      <c r="B205" t="s">
        <v>344</v>
      </c>
      <c r="C205" t="s">
        <v>48</v>
      </c>
      <c r="D205">
        <v>14.06</v>
      </c>
      <c r="E205">
        <v>17.68</v>
      </c>
      <c r="F205" s="11">
        <v>0.60460000000000003</v>
      </c>
      <c r="G205" t="str">
        <f t="shared" ref="G205:G268" si="11">IF(AND(D205&gt;=12,E205&gt;=12,F205&gt;=80%),"Admis",IF(AND(D205&gt;=10,E205&gt;=10),"Admis sous condition","Refusé"))</f>
        <v>Admis sous condition</v>
      </c>
      <c r="H205" t="str" cm="1">
        <f t="array" ref="H205">_xlfn.IFS(E205&gt;=16, "Excellent",E205&gt;=14, "Très bien", E205&gt;=12, "Bien", E205&gt;=10, "Passable", E205&lt;10, "Insuffisant")</f>
        <v>Excellent</v>
      </c>
      <c r="I205" s="14" t="str">
        <f t="shared" si="9"/>
        <v>A surveiller</v>
      </c>
      <c r="J205" s="14" t="str">
        <f t="shared" si="10"/>
        <v>Autre filière</v>
      </c>
      <c r="L205" s="16"/>
    </row>
    <row r="206" spans="1:12">
      <c r="A206" t="s">
        <v>1336</v>
      </c>
      <c r="B206" t="s">
        <v>191</v>
      </c>
      <c r="C206" t="s">
        <v>27</v>
      </c>
      <c r="D206">
        <v>15.48</v>
      </c>
      <c r="E206">
        <v>14.33</v>
      </c>
      <c r="F206" s="11">
        <v>0.64580000000000004</v>
      </c>
      <c r="G206" t="str">
        <f t="shared" si="11"/>
        <v>Admis sous condition</v>
      </c>
      <c r="H206" t="str" cm="1">
        <f t="array" ref="H206">_xlfn.IFS(E206&gt;=16, "Excellent",E206&gt;=14, "Très bien", E206&gt;=12, "Bien", E206&gt;=10, "Passable", E206&lt;10, "Insuffisant")</f>
        <v>Très bien</v>
      </c>
      <c r="I206" s="14" t="str">
        <f t="shared" si="9"/>
        <v>A surveiller</v>
      </c>
      <c r="J206" s="14" t="str">
        <f t="shared" si="10"/>
        <v>Autre filière</v>
      </c>
      <c r="L206" s="16"/>
    </row>
    <row r="207" spans="1:12">
      <c r="A207" t="s">
        <v>225</v>
      </c>
      <c r="B207" t="s">
        <v>226</v>
      </c>
      <c r="C207" t="s">
        <v>27</v>
      </c>
      <c r="D207">
        <v>10.74</v>
      </c>
      <c r="E207">
        <v>14.15</v>
      </c>
      <c r="F207" s="11">
        <v>0.89759999999999995</v>
      </c>
      <c r="G207" t="str">
        <f t="shared" si="11"/>
        <v>Admis sous condition</v>
      </c>
      <c r="H207" t="str" cm="1">
        <f t="array" ref="H207">_xlfn.IFS(E207&gt;=16, "Excellent",E207&gt;=14, "Très bien", E207&gt;=12, "Bien", E207&gt;=10, "Passable", E207&lt;10, "Insuffisant")</f>
        <v>Très bien</v>
      </c>
      <c r="I207" s="14" t="str">
        <f t="shared" si="9"/>
        <v>RAS</v>
      </c>
      <c r="J207" s="14" t="str">
        <f t="shared" si="10"/>
        <v>Autre filière</v>
      </c>
      <c r="K207" s="15"/>
      <c r="L207" s="16"/>
    </row>
    <row r="208" spans="1:12">
      <c r="A208" t="s">
        <v>305</v>
      </c>
      <c r="B208" t="s">
        <v>288</v>
      </c>
      <c r="C208" t="s">
        <v>35</v>
      </c>
      <c r="D208">
        <v>10.83</v>
      </c>
      <c r="E208">
        <v>13.88</v>
      </c>
      <c r="F208" s="11">
        <v>0.71230000000000004</v>
      </c>
      <c r="G208" t="str">
        <f t="shared" si="11"/>
        <v>Admis sous condition</v>
      </c>
      <c r="H208" t="str" cm="1">
        <f t="array" ref="H208">_xlfn.IFS(E208&gt;=16, "Excellent",E208&gt;=14, "Très bien", E208&gt;=12, "Bien", E208&gt;=10, "Passable", E208&lt;10, "Insuffisant")</f>
        <v>Bien</v>
      </c>
      <c r="I208" s="14" t="str">
        <f t="shared" si="9"/>
        <v>RAS</v>
      </c>
      <c r="J208" s="14" t="str">
        <f t="shared" si="10"/>
        <v>Autre filière</v>
      </c>
      <c r="L208" s="16"/>
    </row>
    <row r="209" spans="1:12">
      <c r="A209" t="s">
        <v>1206</v>
      </c>
      <c r="B209" t="s">
        <v>317</v>
      </c>
      <c r="C209" t="s">
        <v>27</v>
      </c>
      <c r="D209">
        <v>16.04</v>
      </c>
      <c r="E209">
        <v>13.87</v>
      </c>
      <c r="F209" s="11">
        <v>0.68859999999999999</v>
      </c>
      <c r="G209" t="str">
        <f t="shared" si="11"/>
        <v>Admis sous condition</v>
      </c>
      <c r="H209" t="str" cm="1">
        <f t="array" ref="H209">_xlfn.IFS(E209&gt;=16, "Excellent",E209&gt;=14, "Très bien", E209&gt;=12, "Bien", E209&gt;=10, "Passable", E209&lt;10, "Insuffisant")</f>
        <v>Bien</v>
      </c>
      <c r="I209" s="14" t="str">
        <f t="shared" si="9"/>
        <v>A surveiller</v>
      </c>
      <c r="J209" s="14" t="str">
        <f t="shared" si="10"/>
        <v>Autre filière</v>
      </c>
      <c r="L209" s="16"/>
    </row>
    <row r="210" spans="1:12">
      <c r="A210" t="s">
        <v>967</v>
      </c>
      <c r="B210" t="s">
        <v>880</v>
      </c>
      <c r="C210" t="s">
        <v>27</v>
      </c>
      <c r="D210">
        <v>16.079999999999998</v>
      </c>
      <c r="E210">
        <v>12.79</v>
      </c>
      <c r="F210" s="11">
        <v>0.95340000000000003</v>
      </c>
      <c r="G210" t="str">
        <f t="shared" si="11"/>
        <v>Admis</v>
      </c>
      <c r="H210" t="str" cm="1">
        <f t="array" ref="H210">_xlfn.IFS(E210&gt;=16, "Excellent",E210&gt;=14, "Très bien", E210&gt;=12, "Bien", E210&gt;=10, "Passable", E210&lt;10, "Insuffisant")</f>
        <v>Bien</v>
      </c>
      <c r="I210" s="14" t="str">
        <f t="shared" si="9"/>
        <v>RAS</v>
      </c>
      <c r="J210" s="14" t="str">
        <f t="shared" si="10"/>
        <v>Autre filière</v>
      </c>
      <c r="L210" s="16"/>
    </row>
    <row r="211" spans="1:12">
      <c r="A211" t="s">
        <v>424</v>
      </c>
      <c r="B211" t="s">
        <v>425</v>
      </c>
      <c r="C211" t="s">
        <v>22</v>
      </c>
      <c r="D211">
        <v>10.63</v>
      </c>
      <c r="E211">
        <v>16.22</v>
      </c>
      <c r="F211" s="11">
        <v>0.59889999999999999</v>
      </c>
      <c r="G211" t="str">
        <f t="shared" si="11"/>
        <v>Admis sous condition</v>
      </c>
      <c r="H211" t="str" cm="1">
        <f t="array" ref="H211">_xlfn.IFS(E211&gt;=16, "Excellent",E211&gt;=14, "Très bien", E211&gt;=12, "Bien", E211&gt;=10, "Passable", E211&lt;10, "Insuffisant")</f>
        <v>Excellent</v>
      </c>
      <c r="I211" s="14" t="str">
        <f t="shared" si="9"/>
        <v>A surveiller</v>
      </c>
      <c r="J211" s="14" t="str">
        <f t="shared" si="10"/>
        <v>Data</v>
      </c>
      <c r="L211" s="16"/>
    </row>
    <row r="212" spans="1:12">
      <c r="A212" t="s">
        <v>722</v>
      </c>
      <c r="B212" t="s">
        <v>410</v>
      </c>
      <c r="C212" t="s">
        <v>48</v>
      </c>
      <c r="D212">
        <v>18.02</v>
      </c>
      <c r="E212">
        <v>20</v>
      </c>
      <c r="F212" s="11">
        <v>0.72119999999999995</v>
      </c>
      <c r="G212" t="str">
        <f t="shared" si="11"/>
        <v>Admis sous condition</v>
      </c>
      <c r="H212" t="str" cm="1">
        <f t="array" ref="H212">_xlfn.IFS(E212&gt;=16, "Excellent",E212&gt;=14, "Très bien", E212&gt;=12, "Bien", E212&gt;=10, "Passable", E212&lt;10, "Insuffisant")</f>
        <v>Excellent</v>
      </c>
      <c r="I212" s="14" t="str">
        <f t="shared" si="9"/>
        <v>RAS</v>
      </c>
      <c r="J212" s="14" t="str">
        <f t="shared" si="10"/>
        <v>Autre filière</v>
      </c>
      <c r="L212" s="16"/>
    </row>
    <row r="213" spans="1:12">
      <c r="A213" t="s">
        <v>768</v>
      </c>
      <c r="B213" t="s">
        <v>611</v>
      </c>
      <c r="C213" t="s">
        <v>35</v>
      </c>
      <c r="D213">
        <v>11.62</v>
      </c>
      <c r="E213">
        <v>10.74</v>
      </c>
      <c r="F213" s="11">
        <v>0.83789999999999998</v>
      </c>
      <c r="G213" t="str">
        <f t="shared" si="11"/>
        <v>Admis sous condition</v>
      </c>
      <c r="H213" t="str" cm="1">
        <f t="array" ref="H213">_xlfn.IFS(E213&gt;=16, "Excellent",E213&gt;=14, "Très bien", E213&gt;=12, "Bien", E213&gt;=10, "Passable", E213&lt;10, "Insuffisant")</f>
        <v>Passable</v>
      </c>
      <c r="I213" s="14" t="str">
        <f t="shared" si="9"/>
        <v>RAS</v>
      </c>
      <c r="J213" s="14" t="str">
        <f t="shared" si="10"/>
        <v>Autre filière</v>
      </c>
      <c r="K213" s="15"/>
      <c r="L213" s="16"/>
    </row>
    <row r="214" spans="1:12">
      <c r="A214" t="s">
        <v>924</v>
      </c>
      <c r="B214" t="s">
        <v>777</v>
      </c>
      <c r="C214" t="s">
        <v>27</v>
      </c>
      <c r="D214">
        <v>15.85</v>
      </c>
      <c r="E214">
        <v>18.350000000000001</v>
      </c>
      <c r="F214" s="11">
        <v>0.80759999999999998</v>
      </c>
      <c r="G214" t="str">
        <f t="shared" si="11"/>
        <v>Admis</v>
      </c>
      <c r="H214" t="str" cm="1">
        <f t="array" ref="H214">_xlfn.IFS(E214&gt;=16, "Excellent",E214&gt;=14, "Très bien", E214&gt;=12, "Bien", E214&gt;=10, "Passable", E214&lt;10, "Insuffisant")</f>
        <v>Excellent</v>
      </c>
      <c r="I214" s="14" t="str">
        <f t="shared" si="9"/>
        <v>RAS</v>
      </c>
      <c r="J214" s="14" t="str">
        <f t="shared" si="10"/>
        <v>Autre filière</v>
      </c>
      <c r="K214" s="15"/>
      <c r="L214" s="16"/>
    </row>
    <row r="215" spans="1:12">
      <c r="A215" t="s">
        <v>987</v>
      </c>
      <c r="B215" t="s">
        <v>734</v>
      </c>
      <c r="C215" t="s">
        <v>48</v>
      </c>
      <c r="D215">
        <v>16.920000000000002</v>
      </c>
      <c r="E215">
        <v>17.5</v>
      </c>
      <c r="F215" s="11">
        <v>0.55000000000000004</v>
      </c>
      <c r="G215" t="str">
        <f t="shared" si="11"/>
        <v>Admis sous condition</v>
      </c>
      <c r="H215" t="str" cm="1">
        <f t="array" ref="H215">_xlfn.IFS(E215&gt;=16, "Excellent",E215&gt;=14, "Très bien", E215&gt;=12, "Bien", E215&gt;=10, "Passable", E215&lt;10, "Insuffisant")</f>
        <v>Excellent</v>
      </c>
      <c r="I215" s="14" t="str">
        <f t="shared" si="9"/>
        <v>A surveiller</v>
      </c>
      <c r="J215" s="14" t="str">
        <f t="shared" si="10"/>
        <v>Autre filière</v>
      </c>
      <c r="L215" s="16"/>
    </row>
    <row r="216" spans="1:12">
      <c r="A216" t="s">
        <v>126</v>
      </c>
      <c r="B216" t="s">
        <v>127</v>
      </c>
      <c r="C216" t="s">
        <v>22</v>
      </c>
      <c r="D216">
        <v>11.37</v>
      </c>
      <c r="E216">
        <v>17.2</v>
      </c>
      <c r="F216" s="11">
        <v>0.77490000000000003</v>
      </c>
      <c r="G216" t="str">
        <f t="shared" si="11"/>
        <v>Admis sous condition</v>
      </c>
      <c r="H216" t="str" cm="1">
        <f t="array" ref="H216">_xlfn.IFS(E216&gt;=16, "Excellent",E216&gt;=14, "Très bien", E216&gt;=12, "Bien", E216&gt;=10, "Passable", E216&lt;10, "Insuffisant")</f>
        <v>Excellent</v>
      </c>
      <c r="I216" s="14" t="str">
        <f t="shared" si="9"/>
        <v>RAS</v>
      </c>
      <c r="J216" s="14" t="str">
        <f t="shared" si="10"/>
        <v>Data</v>
      </c>
      <c r="L216" s="16"/>
    </row>
    <row r="217" spans="1:12">
      <c r="A217" t="s">
        <v>261</v>
      </c>
      <c r="B217" t="s">
        <v>262</v>
      </c>
      <c r="C217" t="s">
        <v>35</v>
      </c>
      <c r="D217">
        <v>15.4</v>
      </c>
      <c r="E217">
        <v>15.79</v>
      </c>
      <c r="F217" s="11">
        <v>0.82779999999999998</v>
      </c>
      <c r="G217" t="str">
        <f t="shared" si="11"/>
        <v>Admis</v>
      </c>
      <c r="H217" t="str" cm="1">
        <f t="array" ref="H217">_xlfn.IFS(E217&gt;=16, "Excellent",E217&gt;=14, "Très bien", E217&gt;=12, "Bien", E217&gt;=10, "Passable", E217&lt;10, "Insuffisant")</f>
        <v>Très bien</v>
      </c>
      <c r="I217" s="14" t="str">
        <f t="shared" si="9"/>
        <v>RAS</v>
      </c>
      <c r="J217" s="14" t="str">
        <f t="shared" si="10"/>
        <v>Autre filière</v>
      </c>
      <c r="K217" s="15"/>
      <c r="L217" s="16"/>
    </row>
    <row r="218" spans="1:12">
      <c r="A218" t="s">
        <v>269</v>
      </c>
      <c r="B218" t="s">
        <v>270</v>
      </c>
      <c r="C218" t="s">
        <v>35</v>
      </c>
      <c r="D218">
        <v>16.84</v>
      </c>
      <c r="E218">
        <v>13.47</v>
      </c>
      <c r="F218" s="11">
        <v>0.56440000000000001</v>
      </c>
      <c r="G218" t="str">
        <f t="shared" si="11"/>
        <v>Admis sous condition</v>
      </c>
      <c r="H218" t="str" cm="1">
        <f t="array" ref="H218">_xlfn.IFS(E218&gt;=16, "Excellent",E218&gt;=14, "Très bien", E218&gt;=12, "Bien", E218&gt;=10, "Passable", E218&lt;10, "Insuffisant")</f>
        <v>Bien</v>
      </c>
      <c r="I218" s="14" t="str">
        <f t="shared" si="9"/>
        <v>A surveiller</v>
      </c>
      <c r="J218" s="14" t="str">
        <f t="shared" si="10"/>
        <v>Autre filière</v>
      </c>
      <c r="L218" s="16"/>
    </row>
    <row r="219" spans="1:12">
      <c r="A219" t="s">
        <v>489</v>
      </c>
      <c r="B219" t="s">
        <v>490</v>
      </c>
      <c r="C219" t="s">
        <v>35</v>
      </c>
      <c r="D219">
        <v>12.82</v>
      </c>
      <c r="E219">
        <v>17.84</v>
      </c>
      <c r="F219" s="11">
        <v>0.85229999999999995</v>
      </c>
      <c r="G219" t="str">
        <f t="shared" si="11"/>
        <v>Admis</v>
      </c>
      <c r="H219" t="str" cm="1">
        <f t="array" ref="H219">_xlfn.IFS(E219&gt;=16, "Excellent",E219&gt;=14, "Très bien", E219&gt;=12, "Bien", E219&gt;=10, "Passable", E219&lt;10, "Insuffisant")</f>
        <v>Excellent</v>
      </c>
      <c r="I219" s="14" t="str">
        <f t="shared" si="9"/>
        <v>RAS</v>
      </c>
      <c r="J219" s="14" t="str">
        <f t="shared" si="10"/>
        <v>Autre filière</v>
      </c>
      <c r="K219" s="15"/>
      <c r="L219" s="16"/>
    </row>
    <row r="220" spans="1:12">
      <c r="A220" t="s">
        <v>702</v>
      </c>
      <c r="B220" t="s">
        <v>467</v>
      </c>
      <c r="C220" t="s">
        <v>48</v>
      </c>
      <c r="D220">
        <v>12.55</v>
      </c>
      <c r="E220">
        <v>14.03</v>
      </c>
      <c r="F220" s="11">
        <v>0.67689999999999995</v>
      </c>
      <c r="G220" t="str">
        <f t="shared" si="11"/>
        <v>Admis sous condition</v>
      </c>
      <c r="H220" t="str" cm="1">
        <f t="array" ref="H220">_xlfn.IFS(E220&gt;=16, "Excellent",E220&gt;=14, "Très bien", E220&gt;=12, "Bien", E220&gt;=10, "Passable", E220&lt;10, "Insuffisant")</f>
        <v>Très bien</v>
      </c>
      <c r="I220" s="14" t="str">
        <f t="shared" si="9"/>
        <v>A surveiller</v>
      </c>
      <c r="J220" s="14" t="str">
        <f t="shared" si="10"/>
        <v>Autre filière</v>
      </c>
      <c r="L220" s="16"/>
    </row>
    <row r="221" spans="1:12">
      <c r="A221" t="s">
        <v>899</v>
      </c>
      <c r="B221" t="s">
        <v>274</v>
      </c>
      <c r="C221" t="s">
        <v>35</v>
      </c>
      <c r="D221">
        <v>14.09</v>
      </c>
      <c r="E221">
        <v>9.85</v>
      </c>
      <c r="F221" s="11">
        <v>0.94950000000000001</v>
      </c>
      <c r="G221" t="str">
        <f t="shared" si="11"/>
        <v>Refusé</v>
      </c>
      <c r="H221" t="str" cm="1">
        <f t="array" ref="H221">_xlfn.IFS(E221&gt;=16, "Excellent",E221&gt;=14, "Très bien", E221&gt;=12, "Bien", E221&gt;=10, "Passable", E221&lt;10, "Insuffisant")</f>
        <v>Insuffisant</v>
      </c>
      <c r="I221" s="14" t="str">
        <f t="shared" si="9"/>
        <v>A surveiller</v>
      </c>
      <c r="J221" s="14" t="str">
        <f t="shared" si="10"/>
        <v>Autre filière</v>
      </c>
      <c r="L221" s="16"/>
    </row>
    <row r="222" spans="1:12">
      <c r="A222" t="s">
        <v>951</v>
      </c>
      <c r="B222" t="s">
        <v>562</v>
      </c>
      <c r="C222" t="s">
        <v>35</v>
      </c>
      <c r="D222">
        <v>13.64</v>
      </c>
      <c r="E222">
        <v>12.31</v>
      </c>
      <c r="F222" s="11">
        <v>0.76659999999999995</v>
      </c>
      <c r="G222" t="str">
        <f t="shared" si="11"/>
        <v>Admis sous condition</v>
      </c>
      <c r="H222" t="str" cm="1">
        <f t="array" ref="H222">_xlfn.IFS(E222&gt;=16, "Excellent",E222&gt;=14, "Très bien", E222&gt;=12, "Bien", E222&gt;=10, "Passable", E222&lt;10, "Insuffisant")</f>
        <v>Bien</v>
      </c>
      <c r="I222" s="14" t="str">
        <f t="shared" si="9"/>
        <v>RAS</v>
      </c>
      <c r="J222" s="14" t="str">
        <f t="shared" si="10"/>
        <v>Autre filière</v>
      </c>
      <c r="L222" s="16"/>
    </row>
    <row r="223" spans="1:12">
      <c r="A223" t="s">
        <v>475</v>
      </c>
      <c r="B223" t="s">
        <v>88</v>
      </c>
      <c r="C223" t="s">
        <v>27</v>
      </c>
      <c r="D223">
        <v>13.61</v>
      </c>
      <c r="E223">
        <v>14.76</v>
      </c>
      <c r="F223" s="11">
        <v>0.67179999999999995</v>
      </c>
      <c r="G223" t="str">
        <f t="shared" si="11"/>
        <v>Admis sous condition</v>
      </c>
      <c r="H223" t="str" cm="1">
        <f t="array" ref="H223">_xlfn.IFS(E223&gt;=16, "Excellent",E223&gt;=14, "Très bien", E223&gt;=12, "Bien", E223&gt;=10, "Passable", E223&lt;10, "Insuffisant")</f>
        <v>Très bien</v>
      </c>
      <c r="I223" s="14" t="str">
        <f t="shared" si="9"/>
        <v>A surveiller</v>
      </c>
      <c r="J223" s="14" t="str">
        <f t="shared" si="10"/>
        <v>Autre filière</v>
      </c>
      <c r="L223" s="16"/>
    </row>
    <row r="224" spans="1:12">
      <c r="A224" t="s">
        <v>1231</v>
      </c>
      <c r="B224" t="s">
        <v>1232</v>
      </c>
      <c r="C224" t="s">
        <v>22</v>
      </c>
      <c r="D224">
        <v>9.8800000000000008</v>
      </c>
      <c r="E224">
        <v>11.76</v>
      </c>
      <c r="F224" s="11">
        <v>0.85929999999999995</v>
      </c>
      <c r="G224" t="str">
        <f t="shared" si="11"/>
        <v>Refusé</v>
      </c>
      <c r="H224" t="str" cm="1">
        <f t="array" ref="H224">_xlfn.IFS(E224&gt;=16, "Excellent",E224&gt;=14, "Très bien", E224&gt;=12, "Bien", E224&gt;=10, "Passable", E224&lt;10, "Insuffisant")</f>
        <v>Passable</v>
      </c>
      <c r="I224" s="14" t="str">
        <f t="shared" si="9"/>
        <v>A surveiller</v>
      </c>
      <c r="J224" s="14" t="str">
        <f t="shared" si="10"/>
        <v>Data</v>
      </c>
      <c r="K224" s="15"/>
      <c r="L224" s="16"/>
    </row>
    <row r="225" spans="1:12">
      <c r="A225" t="s">
        <v>647</v>
      </c>
      <c r="B225" t="s">
        <v>202</v>
      </c>
      <c r="C225" t="s">
        <v>48</v>
      </c>
      <c r="D225">
        <v>12.43</v>
      </c>
      <c r="E225">
        <v>15.24</v>
      </c>
      <c r="F225" s="11">
        <v>0.82630000000000003</v>
      </c>
      <c r="G225" t="str">
        <f t="shared" si="11"/>
        <v>Admis</v>
      </c>
      <c r="H225" t="str" cm="1">
        <f t="array" ref="H225">_xlfn.IFS(E225&gt;=16, "Excellent",E225&gt;=14, "Très bien", E225&gt;=12, "Bien", E225&gt;=10, "Passable", E225&lt;10, "Insuffisant")</f>
        <v>Très bien</v>
      </c>
      <c r="I225" s="14" t="str">
        <f t="shared" si="9"/>
        <v>RAS</v>
      </c>
      <c r="J225" s="14" t="str">
        <f t="shared" si="10"/>
        <v>Autre filière</v>
      </c>
      <c r="K225" s="15"/>
      <c r="L225" s="16"/>
    </row>
    <row r="226" spans="1:12">
      <c r="A226" t="s">
        <v>741</v>
      </c>
      <c r="B226" t="s">
        <v>148</v>
      </c>
      <c r="C226" t="s">
        <v>22</v>
      </c>
      <c r="D226">
        <v>20</v>
      </c>
      <c r="E226">
        <v>15.42</v>
      </c>
      <c r="F226" s="11">
        <v>0.55000000000000004</v>
      </c>
      <c r="G226" t="str">
        <f t="shared" si="11"/>
        <v>Admis sous condition</v>
      </c>
      <c r="H226" t="str" cm="1">
        <f t="array" ref="H226">_xlfn.IFS(E226&gt;=16, "Excellent",E226&gt;=14, "Très bien", E226&gt;=12, "Bien", E226&gt;=10, "Passable", E226&lt;10, "Insuffisant")</f>
        <v>Très bien</v>
      </c>
      <c r="I226" s="14" t="str">
        <f t="shared" si="9"/>
        <v>A surveiller</v>
      </c>
      <c r="J226" s="14" t="str">
        <f t="shared" si="10"/>
        <v>Data</v>
      </c>
      <c r="L226" s="16"/>
    </row>
    <row r="227" spans="1:12">
      <c r="A227" t="s">
        <v>810</v>
      </c>
      <c r="B227" t="s">
        <v>492</v>
      </c>
      <c r="C227" t="s">
        <v>27</v>
      </c>
      <c r="D227">
        <v>17.48</v>
      </c>
      <c r="E227">
        <v>18.28</v>
      </c>
      <c r="F227" s="11">
        <v>0.94379999999999997</v>
      </c>
      <c r="G227" t="str">
        <f t="shared" si="11"/>
        <v>Admis</v>
      </c>
      <c r="H227" t="str" cm="1">
        <f t="array" ref="H227">_xlfn.IFS(E227&gt;=16, "Excellent",E227&gt;=14, "Très bien", E227&gt;=12, "Bien", E227&gt;=10, "Passable", E227&lt;10, "Insuffisant")</f>
        <v>Excellent</v>
      </c>
      <c r="I227" s="14" t="str">
        <f t="shared" si="9"/>
        <v>RAS</v>
      </c>
      <c r="J227" s="14" t="str">
        <f t="shared" si="10"/>
        <v>Autre filière</v>
      </c>
      <c r="L227" s="16"/>
    </row>
    <row r="228" spans="1:12">
      <c r="A228" t="s">
        <v>314</v>
      </c>
      <c r="B228" t="s">
        <v>315</v>
      </c>
      <c r="C228" t="s">
        <v>22</v>
      </c>
      <c r="D228">
        <v>15.66</v>
      </c>
      <c r="E228">
        <v>11.64</v>
      </c>
      <c r="F228" s="11">
        <v>0.91639999999999999</v>
      </c>
      <c r="G228" t="str">
        <f t="shared" si="11"/>
        <v>Admis sous condition</v>
      </c>
      <c r="H228" t="str" cm="1">
        <f t="array" ref="H228">_xlfn.IFS(E228&gt;=16, "Excellent",E228&gt;=14, "Très bien", E228&gt;=12, "Bien", E228&gt;=10, "Passable", E228&lt;10, "Insuffisant")</f>
        <v>Passable</v>
      </c>
      <c r="I228" s="14" t="str">
        <f t="shared" si="9"/>
        <v>RAS</v>
      </c>
      <c r="J228" s="14" t="str">
        <f t="shared" si="10"/>
        <v>Data</v>
      </c>
      <c r="L228" s="16"/>
    </row>
    <row r="229" spans="1:12">
      <c r="A229" t="s">
        <v>124</v>
      </c>
      <c r="B229" t="s">
        <v>125</v>
      </c>
      <c r="C229" t="s">
        <v>48</v>
      </c>
      <c r="D229">
        <v>9.2799999999999994</v>
      </c>
      <c r="E229">
        <v>11.11</v>
      </c>
      <c r="F229" s="11">
        <v>0.92930000000000001</v>
      </c>
      <c r="G229" t="str">
        <f t="shared" si="11"/>
        <v>Refusé</v>
      </c>
      <c r="H229" t="str" cm="1">
        <f t="array" ref="H229">_xlfn.IFS(E229&gt;=16, "Excellent",E229&gt;=14, "Très bien", E229&gt;=12, "Bien", E229&gt;=10, "Passable", E229&lt;10, "Insuffisant")</f>
        <v>Passable</v>
      </c>
      <c r="I229" s="14" t="str">
        <f t="shared" si="9"/>
        <v>A surveiller</v>
      </c>
      <c r="J229" s="14" t="str">
        <f t="shared" si="10"/>
        <v>Autre filière</v>
      </c>
      <c r="L229" s="16"/>
    </row>
    <row r="230" spans="1:12">
      <c r="A230" t="s">
        <v>691</v>
      </c>
      <c r="B230" t="s">
        <v>477</v>
      </c>
      <c r="C230" t="s">
        <v>27</v>
      </c>
      <c r="D230">
        <v>16.91</v>
      </c>
      <c r="E230">
        <v>12.79</v>
      </c>
      <c r="F230" s="11">
        <v>0.8911</v>
      </c>
      <c r="G230" t="str">
        <f t="shared" si="11"/>
        <v>Admis</v>
      </c>
      <c r="H230" t="str" cm="1">
        <f t="array" ref="H230">_xlfn.IFS(E230&gt;=16, "Excellent",E230&gt;=14, "Très bien", E230&gt;=12, "Bien", E230&gt;=10, "Passable", E230&lt;10, "Insuffisant")</f>
        <v>Bien</v>
      </c>
      <c r="I230" s="14" t="str">
        <f t="shared" si="9"/>
        <v>RAS</v>
      </c>
      <c r="J230" s="14" t="str">
        <f t="shared" si="10"/>
        <v>Autre filière</v>
      </c>
      <c r="K230" s="15"/>
      <c r="L230" s="16"/>
    </row>
    <row r="231" spans="1:12">
      <c r="A231" t="s">
        <v>510</v>
      </c>
      <c r="B231" t="s">
        <v>511</v>
      </c>
      <c r="C231" t="s">
        <v>35</v>
      </c>
      <c r="D231">
        <v>19.03</v>
      </c>
      <c r="E231">
        <v>20</v>
      </c>
      <c r="F231" s="11">
        <v>0.88360000000000005</v>
      </c>
      <c r="G231" t="str">
        <f t="shared" si="11"/>
        <v>Admis</v>
      </c>
      <c r="H231" t="str" cm="1">
        <f t="array" ref="H231">_xlfn.IFS(E231&gt;=16, "Excellent",E231&gt;=14, "Très bien", E231&gt;=12, "Bien", E231&gt;=10, "Passable", E231&lt;10, "Insuffisant")</f>
        <v>Excellent</v>
      </c>
      <c r="I231" s="14" t="str">
        <f t="shared" si="9"/>
        <v>RAS</v>
      </c>
      <c r="J231" s="14" t="str">
        <f t="shared" si="10"/>
        <v>Autre filière</v>
      </c>
      <c r="K231" s="15"/>
      <c r="L231" s="16"/>
    </row>
    <row r="232" spans="1:12">
      <c r="A232" t="s">
        <v>1070</v>
      </c>
      <c r="B232" t="s">
        <v>494</v>
      </c>
      <c r="C232" t="s">
        <v>48</v>
      </c>
      <c r="D232">
        <v>17.93</v>
      </c>
      <c r="E232">
        <v>13.81</v>
      </c>
      <c r="F232" s="11">
        <v>0.93710000000000004</v>
      </c>
      <c r="G232" t="str">
        <f t="shared" si="11"/>
        <v>Admis</v>
      </c>
      <c r="H232" t="str" cm="1">
        <f t="array" ref="H232">_xlfn.IFS(E232&gt;=16, "Excellent",E232&gt;=14, "Très bien", E232&gt;=12, "Bien", E232&gt;=10, "Passable", E232&lt;10, "Insuffisant")</f>
        <v>Bien</v>
      </c>
      <c r="I232" s="14" t="str">
        <f t="shared" si="9"/>
        <v>RAS</v>
      </c>
      <c r="J232" s="14" t="str">
        <f t="shared" si="10"/>
        <v>Autre filière</v>
      </c>
      <c r="L232" s="16"/>
    </row>
    <row r="233" spans="1:12">
      <c r="A233" t="s">
        <v>1315</v>
      </c>
      <c r="B233" t="s">
        <v>213</v>
      </c>
      <c r="C233" t="s">
        <v>35</v>
      </c>
      <c r="D233">
        <v>10.41</v>
      </c>
      <c r="E233">
        <v>8.3800000000000008</v>
      </c>
      <c r="F233" s="11">
        <v>0.8115</v>
      </c>
      <c r="G233" t="str">
        <f t="shared" si="11"/>
        <v>Refusé</v>
      </c>
      <c r="H233" t="str" cm="1">
        <f t="array" ref="H233">_xlfn.IFS(E233&gt;=16, "Excellent",E233&gt;=14, "Très bien", E233&gt;=12, "Bien", E233&gt;=10, "Passable", E233&lt;10, "Insuffisant")</f>
        <v>Insuffisant</v>
      </c>
      <c r="I233" s="14" t="str">
        <f t="shared" si="9"/>
        <v>A surveiller</v>
      </c>
      <c r="J233" s="14" t="str">
        <f t="shared" si="10"/>
        <v>Autre filière</v>
      </c>
      <c r="K233" s="15"/>
      <c r="L233" s="16"/>
    </row>
    <row r="234" spans="1:12">
      <c r="A234" t="s">
        <v>1000</v>
      </c>
      <c r="B234" t="s">
        <v>157</v>
      </c>
      <c r="C234" t="s">
        <v>35</v>
      </c>
      <c r="D234">
        <v>16.809999999999999</v>
      </c>
      <c r="E234">
        <v>18.850000000000001</v>
      </c>
      <c r="F234" s="11">
        <v>0.55000000000000004</v>
      </c>
      <c r="G234" t="str">
        <f t="shared" si="11"/>
        <v>Admis sous condition</v>
      </c>
      <c r="H234" t="str" cm="1">
        <f t="array" ref="H234">_xlfn.IFS(E234&gt;=16, "Excellent",E234&gt;=14, "Très bien", E234&gt;=12, "Bien", E234&gt;=10, "Passable", E234&lt;10, "Insuffisant")</f>
        <v>Excellent</v>
      </c>
      <c r="I234" s="14" t="str">
        <f t="shared" si="9"/>
        <v>A surveiller</v>
      </c>
      <c r="J234" s="14" t="str">
        <f t="shared" si="10"/>
        <v>Autre filière</v>
      </c>
      <c r="L234" s="16"/>
    </row>
    <row r="235" spans="1:12">
      <c r="A235" t="s">
        <v>407</v>
      </c>
      <c r="B235" t="s">
        <v>408</v>
      </c>
      <c r="C235" t="s">
        <v>35</v>
      </c>
      <c r="D235">
        <v>19.45</v>
      </c>
      <c r="E235">
        <v>18.62</v>
      </c>
      <c r="F235" s="11">
        <v>0.94030000000000002</v>
      </c>
      <c r="G235" t="str">
        <f t="shared" si="11"/>
        <v>Admis</v>
      </c>
      <c r="H235" t="str" cm="1">
        <f t="array" ref="H235">_xlfn.IFS(E235&gt;=16, "Excellent",E235&gt;=14, "Très bien", E235&gt;=12, "Bien", E235&gt;=10, "Passable", E235&lt;10, "Insuffisant")</f>
        <v>Excellent</v>
      </c>
      <c r="I235" s="14" t="str">
        <f t="shared" si="9"/>
        <v>RAS</v>
      </c>
      <c r="J235" s="14" t="str">
        <f t="shared" si="10"/>
        <v>Autre filière</v>
      </c>
      <c r="L235" s="16"/>
    </row>
    <row r="236" spans="1:12">
      <c r="A236" t="s">
        <v>553</v>
      </c>
      <c r="B236" t="s">
        <v>175</v>
      </c>
      <c r="C236" t="s">
        <v>48</v>
      </c>
      <c r="D236">
        <v>13.5</v>
      </c>
      <c r="E236">
        <v>16.13</v>
      </c>
      <c r="F236" s="11">
        <v>0.55000000000000004</v>
      </c>
      <c r="G236" t="str">
        <f t="shared" si="11"/>
        <v>Admis sous condition</v>
      </c>
      <c r="H236" t="str" cm="1">
        <f t="array" ref="H236">_xlfn.IFS(E236&gt;=16, "Excellent",E236&gt;=14, "Très bien", E236&gt;=12, "Bien", E236&gt;=10, "Passable", E236&lt;10, "Insuffisant")</f>
        <v>Excellent</v>
      </c>
      <c r="I236" s="14" t="str">
        <f t="shared" si="9"/>
        <v>A surveiller</v>
      </c>
      <c r="J236" s="14" t="str">
        <f t="shared" si="10"/>
        <v>Autre filière</v>
      </c>
      <c r="L236" s="16"/>
    </row>
    <row r="237" spans="1:12">
      <c r="A237" t="s">
        <v>1273</v>
      </c>
      <c r="B237" t="s">
        <v>471</v>
      </c>
      <c r="C237" t="s">
        <v>35</v>
      </c>
      <c r="D237">
        <v>13.1</v>
      </c>
      <c r="E237">
        <v>14.84</v>
      </c>
      <c r="F237" s="11">
        <v>0.9123</v>
      </c>
      <c r="G237" t="str">
        <f t="shared" si="11"/>
        <v>Admis</v>
      </c>
      <c r="H237" t="str" cm="1">
        <f t="array" ref="H237">_xlfn.IFS(E237&gt;=16, "Excellent",E237&gt;=14, "Très bien", E237&gt;=12, "Bien", E237&gt;=10, "Passable", E237&lt;10, "Insuffisant")</f>
        <v>Très bien</v>
      </c>
      <c r="I237" s="14" t="str">
        <f t="shared" si="9"/>
        <v>RAS</v>
      </c>
      <c r="J237" s="14" t="str">
        <f t="shared" si="10"/>
        <v>Autre filière</v>
      </c>
      <c r="L237" s="16"/>
    </row>
    <row r="238" spans="1:12">
      <c r="A238" t="s">
        <v>324</v>
      </c>
      <c r="B238" t="s">
        <v>325</v>
      </c>
      <c r="C238" t="s">
        <v>35</v>
      </c>
      <c r="D238">
        <v>15.57</v>
      </c>
      <c r="E238">
        <v>19.28</v>
      </c>
      <c r="F238" s="11">
        <v>0.76029999999999998</v>
      </c>
      <c r="G238" t="str">
        <f t="shared" si="11"/>
        <v>Admis sous condition</v>
      </c>
      <c r="H238" t="str" cm="1">
        <f t="array" ref="H238">_xlfn.IFS(E238&gt;=16, "Excellent",E238&gt;=14, "Très bien", E238&gt;=12, "Bien", E238&gt;=10, "Passable", E238&lt;10, "Insuffisant")</f>
        <v>Excellent</v>
      </c>
      <c r="I238" s="14" t="str">
        <f t="shared" si="9"/>
        <v>RAS</v>
      </c>
      <c r="J238" s="14" t="str">
        <f t="shared" si="10"/>
        <v>Autre filière</v>
      </c>
      <c r="L238" s="16"/>
    </row>
    <row r="239" spans="1:12">
      <c r="A239" t="s">
        <v>530</v>
      </c>
      <c r="B239" t="s">
        <v>125</v>
      </c>
      <c r="C239" t="s">
        <v>35</v>
      </c>
      <c r="D239">
        <v>16.04</v>
      </c>
      <c r="E239">
        <v>17.809999999999999</v>
      </c>
      <c r="F239" s="11">
        <v>0.84230000000000005</v>
      </c>
      <c r="G239" t="str">
        <f t="shared" si="11"/>
        <v>Admis</v>
      </c>
      <c r="H239" t="str" cm="1">
        <f t="array" ref="H239">_xlfn.IFS(E239&gt;=16, "Excellent",E239&gt;=14, "Très bien", E239&gt;=12, "Bien", E239&gt;=10, "Passable", E239&lt;10, "Insuffisant")</f>
        <v>Excellent</v>
      </c>
      <c r="I239" s="14" t="str">
        <f t="shared" si="9"/>
        <v>RAS</v>
      </c>
      <c r="J239" s="14" t="str">
        <f t="shared" si="10"/>
        <v>Autre filière</v>
      </c>
      <c r="K239" s="15"/>
      <c r="L239" s="16"/>
    </row>
    <row r="240" spans="1:12">
      <c r="A240" t="s">
        <v>965</v>
      </c>
      <c r="B240" t="s">
        <v>98</v>
      </c>
      <c r="C240" t="s">
        <v>22</v>
      </c>
      <c r="D240">
        <v>18.02</v>
      </c>
      <c r="E240">
        <v>17.36</v>
      </c>
      <c r="F240" s="11">
        <v>0.78739999999999999</v>
      </c>
      <c r="G240" t="str">
        <f t="shared" si="11"/>
        <v>Admis sous condition</v>
      </c>
      <c r="H240" t="str" cm="1">
        <f t="array" ref="H240">_xlfn.IFS(E240&gt;=16, "Excellent",E240&gt;=14, "Très bien", E240&gt;=12, "Bien", E240&gt;=10, "Passable", E240&lt;10, "Insuffisant")</f>
        <v>Excellent</v>
      </c>
      <c r="I240" s="14" t="str">
        <f t="shared" si="9"/>
        <v>RAS</v>
      </c>
      <c r="J240" s="14" t="str">
        <f t="shared" si="10"/>
        <v>Data</v>
      </c>
      <c r="L240" s="16"/>
    </row>
    <row r="241" spans="1:12">
      <c r="A241" t="s">
        <v>465</v>
      </c>
      <c r="B241" t="s">
        <v>410</v>
      </c>
      <c r="C241" t="s">
        <v>27</v>
      </c>
      <c r="D241">
        <v>15.24</v>
      </c>
      <c r="E241">
        <v>17.13</v>
      </c>
      <c r="F241" s="11">
        <v>0.92810000000000004</v>
      </c>
      <c r="G241" t="str">
        <f t="shared" si="11"/>
        <v>Admis</v>
      </c>
      <c r="H241" t="str" cm="1">
        <f t="array" ref="H241">_xlfn.IFS(E241&gt;=16, "Excellent",E241&gt;=14, "Très bien", E241&gt;=12, "Bien", E241&gt;=10, "Passable", E241&lt;10, "Insuffisant")</f>
        <v>Excellent</v>
      </c>
      <c r="I241" s="14" t="str">
        <f t="shared" si="9"/>
        <v>RAS</v>
      </c>
      <c r="J241" s="14" t="str">
        <f t="shared" si="10"/>
        <v>Autre filière</v>
      </c>
      <c r="L241" s="16"/>
    </row>
    <row r="242" spans="1:12">
      <c r="A242" t="s">
        <v>592</v>
      </c>
      <c r="B242" t="s">
        <v>479</v>
      </c>
      <c r="C242" t="s">
        <v>35</v>
      </c>
      <c r="D242">
        <v>11.76</v>
      </c>
      <c r="E242">
        <v>15.57</v>
      </c>
      <c r="F242" s="11">
        <v>0.83930000000000005</v>
      </c>
      <c r="G242" t="str">
        <f t="shared" si="11"/>
        <v>Admis sous condition</v>
      </c>
      <c r="H242" t="str" cm="1">
        <f t="array" ref="H242">_xlfn.IFS(E242&gt;=16, "Excellent",E242&gt;=14, "Très bien", E242&gt;=12, "Bien", E242&gt;=10, "Passable", E242&lt;10, "Insuffisant")</f>
        <v>Très bien</v>
      </c>
      <c r="I242" s="14" t="str">
        <f t="shared" si="9"/>
        <v>RAS</v>
      </c>
      <c r="J242" s="14" t="str">
        <f t="shared" si="10"/>
        <v>Autre filière</v>
      </c>
      <c r="K242" s="15"/>
      <c r="L242" s="16"/>
    </row>
    <row r="243" spans="1:12">
      <c r="A243" t="s">
        <v>350</v>
      </c>
      <c r="B243" t="s">
        <v>351</v>
      </c>
      <c r="C243" t="s">
        <v>35</v>
      </c>
      <c r="D243">
        <v>15.42</v>
      </c>
      <c r="E243">
        <v>17.07</v>
      </c>
      <c r="F243" s="11">
        <v>0.89990000000000003</v>
      </c>
      <c r="G243" t="str">
        <f t="shared" si="11"/>
        <v>Admis</v>
      </c>
      <c r="H243" t="str" cm="1">
        <f t="array" ref="H243">_xlfn.IFS(E243&gt;=16, "Excellent",E243&gt;=14, "Très bien", E243&gt;=12, "Bien", E243&gt;=10, "Passable", E243&lt;10, "Insuffisant")</f>
        <v>Excellent</v>
      </c>
      <c r="I243" s="14" t="str">
        <f t="shared" si="9"/>
        <v>RAS</v>
      </c>
      <c r="J243" s="14" t="str">
        <f t="shared" si="10"/>
        <v>Autre filière</v>
      </c>
      <c r="K243" s="15"/>
      <c r="L243" s="16"/>
    </row>
    <row r="244" spans="1:12">
      <c r="A244" t="s">
        <v>953</v>
      </c>
      <c r="B244" t="s">
        <v>256</v>
      </c>
      <c r="C244" t="s">
        <v>48</v>
      </c>
      <c r="D244">
        <v>12.16</v>
      </c>
      <c r="E244">
        <v>14.76</v>
      </c>
      <c r="F244" s="11">
        <v>0.68010000000000004</v>
      </c>
      <c r="G244" t="str">
        <f t="shared" si="11"/>
        <v>Admis sous condition</v>
      </c>
      <c r="H244" t="str" cm="1">
        <f t="array" ref="H244">_xlfn.IFS(E244&gt;=16, "Excellent",E244&gt;=14, "Très bien", E244&gt;=12, "Bien", E244&gt;=10, "Passable", E244&lt;10, "Insuffisant")</f>
        <v>Très bien</v>
      </c>
      <c r="I244" s="14" t="str">
        <f t="shared" si="9"/>
        <v>A surveiller</v>
      </c>
      <c r="J244" s="14" t="str">
        <f t="shared" si="10"/>
        <v>Autre filière</v>
      </c>
      <c r="L244" s="16"/>
    </row>
    <row r="245" spans="1:12">
      <c r="A245" t="s">
        <v>1113</v>
      </c>
      <c r="B245" t="s">
        <v>930</v>
      </c>
      <c r="C245" t="s">
        <v>48</v>
      </c>
      <c r="D245">
        <v>12.85</v>
      </c>
      <c r="E245">
        <v>11.04</v>
      </c>
      <c r="F245" s="11">
        <v>0.88260000000000005</v>
      </c>
      <c r="G245" t="str">
        <f t="shared" si="11"/>
        <v>Admis sous condition</v>
      </c>
      <c r="H245" t="str" cm="1">
        <f t="array" ref="H245">_xlfn.IFS(E245&gt;=16, "Excellent",E245&gt;=14, "Très bien", E245&gt;=12, "Bien", E245&gt;=10, "Passable", E245&lt;10, "Insuffisant")</f>
        <v>Passable</v>
      </c>
      <c r="I245" s="14" t="str">
        <f t="shared" si="9"/>
        <v>RAS</v>
      </c>
      <c r="J245" s="14" t="str">
        <f t="shared" si="10"/>
        <v>Autre filière</v>
      </c>
      <c r="K245" s="15"/>
      <c r="L245" s="16"/>
    </row>
    <row r="246" spans="1:12">
      <c r="A246" t="s">
        <v>1301</v>
      </c>
      <c r="B246" t="s">
        <v>618</v>
      </c>
      <c r="C246" t="s">
        <v>22</v>
      </c>
      <c r="D246">
        <v>17.62</v>
      </c>
      <c r="E246">
        <v>17.04</v>
      </c>
      <c r="F246" s="11">
        <v>0.81389999999999996</v>
      </c>
      <c r="G246" t="str">
        <f t="shared" si="11"/>
        <v>Admis</v>
      </c>
      <c r="H246" t="str" cm="1">
        <f t="array" ref="H246">_xlfn.IFS(E246&gt;=16, "Excellent",E246&gt;=14, "Très bien", E246&gt;=12, "Bien", E246&gt;=10, "Passable", E246&lt;10, "Insuffisant")</f>
        <v>Excellent</v>
      </c>
      <c r="I246" s="14" t="str">
        <f t="shared" si="9"/>
        <v>RAS</v>
      </c>
      <c r="J246" s="14" t="str">
        <f t="shared" si="10"/>
        <v>Data</v>
      </c>
      <c r="K246" s="15"/>
      <c r="L246" s="16"/>
    </row>
    <row r="247" spans="1:12">
      <c r="A247" t="s">
        <v>1137</v>
      </c>
      <c r="B247" t="s">
        <v>474</v>
      </c>
      <c r="C247" t="s">
        <v>35</v>
      </c>
      <c r="D247">
        <v>15.05</v>
      </c>
      <c r="E247">
        <v>18.559999999999999</v>
      </c>
      <c r="F247" s="11">
        <v>0.95009999999999994</v>
      </c>
      <c r="G247" t="str">
        <f t="shared" si="11"/>
        <v>Admis</v>
      </c>
      <c r="H247" t="str" cm="1">
        <f t="array" ref="H247">_xlfn.IFS(E247&gt;=16, "Excellent",E247&gt;=14, "Très bien", E247&gt;=12, "Bien", E247&gt;=10, "Passable", E247&lt;10, "Insuffisant")</f>
        <v>Excellent</v>
      </c>
      <c r="I247" s="14" t="str">
        <f t="shared" si="9"/>
        <v>RAS</v>
      </c>
      <c r="J247" s="14" t="str">
        <f t="shared" si="10"/>
        <v>Autre filière</v>
      </c>
      <c r="L247" s="16"/>
    </row>
    <row r="248" spans="1:12">
      <c r="A248" t="s">
        <v>743</v>
      </c>
      <c r="B248" t="s">
        <v>744</v>
      </c>
      <c r="C248" t="s">
        <v>27</v>
      </c>
      <c r="D248">
        <v>16.63</v>
      </c>
      <c r="E248">
        <v>17.39</v>
      </c>
      <c r="F248" s="11">
        <v>0.98150000000000004</v>
      </c>
      <c r="G248" t="str">
        <f t="shared" si="11"/>
        <v>Admis</v>
      </c>
      <c r="H248" t="str" cm="1">
        <f t="array" ref="H248">_xlfn.IFS(E248&gt;=16, "Excellent",E248&gt;=14, "Très bien", E248&gt;=12, "Bien", E248&gt;=10, "Passable", E248&lt;10, "Insuffisant")</f>
        <v>Excellent</v>
      </c>
      <c r="I248" s="14" t="str">
        <f t="shared" si="9"/>
        <v>RAS</v>
      </c>
      <c r="J248" s="14" t="str">
        <f t="shared" si="10"/>
        <v>Autre filière</v>
      </c>
      <c r="L248" s="16"/>
    </row>
    <row r="249" spans="1:12">
      <c r="A249" t="s">
        <v>1291</v>
      </c>
      <c r="B249" t="s">
        <v>295</v>
      </c>
      <c r="C249" t="s">
        <v>27</v>
      </c>
      <c r="D249">
        <v>18.72</v>
      </c>
      <c r="E249">
        <v>14.93</v>
      </c>
      <c r="F249" s="11">
        <v>0.82430000000000003</v>
      </c>
      <c r="G249" t="str">
        <f t="shared" si="11"/>
        <v>Admis</v>
      </c>
      <c r="H249" t="str" cm="1">
        <f t="array" ref="H249">_xlfn.IFS(E249&gt;=16, "Excellent",E249&gt;=14, "Très bien", E249&gt;=12, "Bien", E249&gt;=10, "Passable", E249&lt;10, "Insuffisant")</f>
        <v>Très bien</v>
      </c>
      <c r="I249" s="14" t="str">
        <f t="shared" si="9"/>
        <v>RAS</v>
      </c>
      <c r="J249" s="14" t="str">
        <f t="shared" si="10"/>
        <v>Autre filière</v>
      </c>
      <c r="K249" s="15"/>
      <c r="L249" s="16"/>
    </row>
    <row r="250" spans="1:12">
      <c r="A250" t="s">
        <v>507</v>
      </c>
      <c r="B250" t="s">
        <v>161</v>
      </c>
      <c r="C250" t="s">
        <v>22</v>
      </c>
      <c r="D250">
        <v>14.91</v>
      </c>
      <c r="E250">
        <v>14.5</v>
      </c>
      <c r="F250" s="11">
        <v>0.84230000000000005</v>
      </c>
      <c r="G250" t="str">
        <f t="shared" si="11"/>
        <v>Admis</v>
      </c>
      <c r="H250" t="str" cm="1">
        <f t="array" ref="H250">_xlfn.IFS(E250&gt;=16, "Excellent",E250&gt;=14, "Très bien", E250&gt;=12, "Bien", E250&gt;=10, "Passable", E250&lt;10, "Insuffisant")</f>
        <v>Très bien</v>
      </c>
      <c r="I250" s="14" t="str">
        <f t="shared" si="9"/>
        <v>RAS</v>
      </c>
      <c r="J250" s="14" t="str">
        <f t="shared" si="10"/>
        <v>Data</v>
      </c>
      <c r="K250" s="15"/>
      <c r="L250" s="16"/>
    </row>
    <row r="251" spans="1:12">
      <c r="A251" t="s">
        <v>462</v>
      </c>
      <c r="B251" t="s">
        <v>310</v>
      </c>
      <c r="C251" t="s">
        <v>22</v>
      </c>
      <c r="D251">
        <v>13.81</v>
      </c>
      <c r="E251">
        <v>13.35</v>
      </c>
      <c r="F251" s="11">
        <v>0.82909999999999995</v>
      </c>
      <c r="G251" t="str">
        <f t="shared" si="11"/>
        <v>Admis</v>
      </c>
      <c r="H251" t="str" cm="1">
        <f t="array" ref="H251">_xlfn.IFS(E251&gt;=16, "Excellent",E251&gt;=14, "Très bien", E251&gt;=12, "Bien", E251&gt;=10, "Passable", E251&lt;10, "Insuffisant")</f>
        <v>Bien</v>
      </c>
      <c r="I251" s="14" t="str">
        <f t="shared" si="9"/>
        <v>RAS</v>
      </c>
      <c r="J251" s="14" t="str">
        <f t="shared" si="10"/>
        <v>Data</v>
      </c>
      <c r="K251" s="15"/>
      <c r="L251" s="16"/>
    </row>
    <row r="252" spans="1:12">
      <c r="A252" t="s">
        <v>1219</v>
      </c>
      <c r="B252" t="s">
        <v>718</v>
      </c>
      <c r="C252" t="s">
        <v>48</v>
      </c>
      <c r="D252">
        <v>13.5</v>
      </c>
      <c r="E252">
        <v>13.36</v>
      </c>
      <c r="F252" s="11">
        <v>0.84689999999999999</v>
      </c>
      <c r="G252" t="str">
        <f t="shared" si="11"/>
        <v>Admis</v>
      </c>
      <c r="H252" t="str" cm="1">
        <f t="array" ref="H252">_xlfn.IFS(E252&gt;=16, "Excellent",E252&gt;=14, "Très bien", E252&gt;=12, "Bien", E252&gt;=10, "Passable", E252&lt;10, "Insuffisant")</f>
        <v>Bien</v>
      </c>
      <c r="I252" s="14" t="str">
        <f t="shared" si="9"/>
        <v>RAS</v>
      </c>
      <c r="J252" s="14" t="str">
        <f t="shared" si="10"/>
        <v>Autre filière</v>
      </c>
      <c r="K252" s="15"/>
      <c r="L252" s="16"/>
    </row>
    <row r="253" spans="1:12">
      <c r="A253" t="s">
        <v>130</v>
      </c>
      <c r="B253" t="s">
        <v>131</v>
      </c>
      <c r="C253" t="s">
        <v>48</v>
      </c>
      <c r="D253">
        <v>13.04</v>
      </c>
      <c r="E253">
        <v>13.14</v>
      </c>
      <c r="F253" s="11">
        <v>0.9385</v>
      </c>
      <c r="G253" t="str">
        <f t="shared" si="11"/>
        <v>Admis</v>
      </c>
      <c r="H253" t="str" cm="1">
        <f t="array" ref="H253">_xlfn.IFS(E253&gt;=16, "Excellent",E253&gt;=14, "Très bien", E253&gt;=12, "Bien", E253&gt;=10, "Passable", E253&lt;10, "Insuffisant")</f>
        <v>Bien</v>
      </c>
      <c r="I253" s="14" t="str">
        <f t="shared" si="9"/>
        <v>RAS</v>
      </c>
      <c r="J253" s="14" t="str">
        <f t="shared" si="10"/>
        <v>Autre filière</v>
      </c>
      <c r="L253" s="16"/>
    </row>
    <row r="254" spans="1:12">
      <c r="A254" t="s">
        <v>713</v>
      </c>
      <c r="B254" t="s">
        <v>378</v>
      </c>
      <c r="C254" t="s">
        <v>27</v>
      </c>
      <c r="D254">
        <v>18.52</v>
      </c>
      <c r="E254">
        <v>12.57</v>
      </c>
      <c r="F254" s="11">
        <v>0.98099999999999998</v>
      </c>
      <c r="G254" t="str">
        <f t="shared" si="11"/>
        <v>Admis</v>
      </c>
      <c r="H254" t="str" cm="1">
        <f t="array" ref="H254">_xlfn.IFS(E254&gt;=16, "Excellent",E254&gt;=14, "Très bien", E254&gt;=12, "Bien", E254&gt;=10, "Passable", E254&lt;10, "Insuffisant")</f>
        <v>Bien</v>
      </c>
      <c r="I254" s="14" t="str">
        <f t="shared" si="9"/>
        <v>RAS</v>
      </c>
      <c r="J254" s="14" t="str">
        <f t="shared" si="10"/>
        <v>Autre filière</v>
      </c>
      <c r="L254" s="16"/>
    </row>
    <row r="255" spans="1:12">
      <c r="A255" t="s">
        <v>1297</v>
      </c>
      <c r="B255" t="s">
        <v>777</v>
      </c>
      <c r="C255" t="s">
        <v>27</v>
      </c>
      <c r="D255">
        <v>14.17</v>
      </c>
      <c r="E255">
        <v>17.5</v>
      </c>
      <c r="F255" s="11">
        <v>0.87539999999999996</v>
      </c>
      <c r="G255" t="str">
        <f t="shared" si="11"/>
        <v>Admis</v>
      </c>
      <c r="H255" t="str" cm="1">
        <f t="array" ref="H255">_xlfn.IFS(E255&gt;=16, "Excellent",E255&gt;=14, "Très bien", E255&gt;=12, "Bien", E255&gt;=10, "Passable", E255&lt;10, "Insuffisant")</f>
        <v>Excellent</v>
      </c>
      <c r="I255" s="14" t="str">
        <f t="shared" si="9"/>
        <v>RAS</v>
      </c>
      <c r="J255" s="14" t="str">
        <f t="shared" si="10"/>
        <v>Autre filière</v>
      </c>
      <c r="K255" s="15"/>
      <c r="L255" s="16"/>
    </row>
    <row r="256" spans="1:12">
      <c r="A256" t="s">
        <v>918</v>
      </c>
      <c r="B256" t="s">
        <v>380</v>
      </c>
      <c r="C256" t="s">
        <v>22</v>
      </c>
      <c r="D256">
        <v>18.38</v>
      </c>
      <c r="E256">
        <v>15.94</v>
      </c>
      <c r="F256" s="11">
        <v>0.55000000000000004</v>
      </c>
      <c r="G256" t="str">
        <f t="shared" si="11"/>
        <v>Admis sous condition</v>
      </c>
      <c r="H256" t="str" cm="1">
        <f t="array" ref="H256">_xlfn.IFS(E256&gt;=16, "Excellent",E256&gt;=14, "Très bien", E256&gt;=12, "Bien", E256&gt;=10, "Passable", E256&lt;10, "Insuffisant")</f>
        <v>Très bien</v>
      </c>
      <c r="I256" s="14" t="str">
        <f t="shared" si="9"/>
        <v>A surveiller</v>
      </c>
      <c r="J256" s="14" t="str">
        <f t="shared" si="10"/>
        <v>Data</v>
      </c>
      <c r="L256" s="16"/>
    </row>
    <row r="257" spans="1:12">
      <c r="A257" t="s">
        <v>343</v>
      </c>
      <c r="B257" t="s">
        <v>344</v>
      </c>
      <c r="C257" t="s">
        <v>22</v>
      </c>
      <c r="D257">
        <v>14.34</v>
      </c>
      <c r="E257">
        <v>14.93</v>
      </c>
      <c r="F257" s="11">
        <v>0.74880000000000002</v>
      </c>
      <c r="G257" t="str">
        <f t="shared" si="11"/>
        <v>Admis sous condition</v>
      </c>
      <c r="H257" t="str" cm="1">
        <f t="array" ref="H257">_xlfn.IFS(E257&gt;=16, "Excellent",E257&gt;=14, "Très bien", E257&gt;=12, "Bien", E257&gt;=10, "Passable", E257&lt;10, "Insuffisant")</f>
        <v>Très bien</v>
      </c>
      <c r="I257" s="14" t="str">
        <f t="shared" si="9"/>
        <v>RAS</v>
      </c>
      <c r="J257" s="14" t="str">
        <f t="shared" si="10"/>
        <v>Data</v>
      </c>
      <c r="L257" s="16"/>
    </row>
    <row r="258" spans="1:12">
      <c r="A258" t="s">
        <v>1268</v>
      </c>
      <c r="B258" t="s">
        <v>69</v>
      </c>
      <c r="C258" t="s">
        <v>27</v>
      </c>
      <c r="D258">
        <v>15.98</v>
      </c>
      <c r="E258">
        <v>15.78</v>
      </c>
      <c r="F258" s="11">
        <v>0.82989999999999997</v>
      </c>
      <c r="G258" t="str">
        <f t="shared" si="11"/>
        <v>Admis</v>
      </c>
      <c r="H258" t="str" cm="1">
        <f t="array" ref="H258">_xlfn.IFS(E258&gt;=16, "Excellent",E258&gt;=14, "Très bien", E258&gt;=12, "Bien", E258&gt;=10, "Passable", E258&lt;10, "Insuffisant")</f>
        <v>Très bien</v>
      </c>
      <c r="I258" s="14" t="str">
        <f t="shared" si="9"/>
        <v>RAS</v>
      </c>
      <c r="J258" s="14" t="str">
        <f t="shared" si="10"/>
        <v>Autre filière</v>
      </c>
      <c r="K258" s="15"/>
      <c r="L258" s="16"/>
    </row>
    <row r="259" spans="1:12">
      <c r="A259" t="s">
        <v>287</v>
      </c>
      <c r="B259" t="s">
        <v>288</v>
      </c>
      <c r="C259" t="s">
        <v>35</v>
      </c>
      <c r="D259">
        <v>19.489999999999998</v>
      </c>
      <c r="E259">
        <v>15.43</v>
      </c>
      <c r="F259" s="11">
        <v>0.85609999999999997</v>
      </c>
      <c r="G259" t="str">
        <f t="shared" si="11"/>
        <v>Admis</v>
      </c>
      <c r="H259" t="str" cm="1">
        <f t="array" ref="H259">_xlfn.IFS(E259&gt;=16, "Excellent",E259&gt;=14, "Très bien", E259&gt;=12, "Bien", E259&gt;=10, "Passable", E259&lt;10, "Insuffisant")</f>
        <v>Très bien</v>
      </c>
      <c r="I259" s="14" t="str">
        <f t="shared" ref="I259:I322" si="12">IF(OR(D259&lt;10,E259&lt;10,F259&lt;70%), "A surveiller", "RAS")</f>
        <v>RAS</v>
      </c>
      <c r="J259" s="14" t="str">
        <f t="shared" ref="J259:J322" si="13">IF(NOT(C259="Data"), "Autre filière", "Data")</f>
        <v>Autre filière</v>
      </c>
      <c r="K259" s="15"/>
      <c r="L259" s="16"/>
    </row>
    <row r="260" spans="1:12">
      <c r="A260" t="s">
        <v>1026</v>
      </c>
      <c r="B260" t="s">
        <v>555</v>
      </c>
      <c r="C260" t="s">
        <v>48</v>
      </c>
      <c r="D260">
        <v>13.99</v>
      </c>
      <c r="E260">
        <v>15.03</v>
      </c>
      <c r="F260" s="11">
        <v>0.8448</v>
      </c>
      <c r="G260" t="str">
        <f t="shared" si="11"/>
        <v>Admis</v>
      </c>
      <c r="H260" t="str" cm="1">
        <f t="array" ref="H260">_xlfn.IFS(E260&gt;=16, "Excellent",E260&gt;=14, "Très bien", E260&gt;=12, "Bien", E260&gt;=10, "Passable", E260&lt;10, "Insuffisant")</f>
        <v>Très bien</v>
      </c>
      <c r="I260" s="14" t="str">
        <f t="shared" si="12"/>
        <v>RAS</v>
      </c>
      <c r="J260" s="14" t="str">
        <f t="shared" si="13"/>
        <v>Autre filière</v>
      </c>
      <c r="K260" s="15"/>
      <c r="L260" s="16"/>
    </row>
    <row r="261" spans="1:12">
      <c r="A261" t="s">
        <v>1151</v>
      </c>
      <c r="B261" t="s">
        <v>651</v>
      </c>
      <c r="C261" t="s">
        <v>35</v>
      </c>
      <c r="D261">
        <v>14.1</v>
      </c>
      <c r="E261">
        <v>17.79</v>
      </c>
      <c r="F261" s="11">
        <v>0.96679999999999999</v>
      </c>
      <c r="G261" t="str">
        <f t="shared" si="11"/>
        <v>Admis</v>
      </c>
      <c r="H261" t="str" cm="1">
        <f t="array" ref="H261">_xlfn.IFS(E261&gt;=16, "Excellent",E261&gt;=14, "Très bien", E261&gt;=12, "Bien", E261&gt;=10, "Passable", E261&lt;10, "Insuffisant")</f>
        <v>Excellent</v>
      </c>
      <c r="I261" s="14" t="str">
        <f t="shared" si="12"/>
        <v>RAS</v>
      </c>
      <c r="J261" s="14" t="str">
        <f t="shared" si="13"/>
        <v>Autre filière</v>
      </c>
      <c r="L261" s="16"/>
    </row>
    <row r="262" spans="1:12">
      <c r="A262" t="s">
        <v>857</v>
      </c>
      <c r="B262" t="s">
        <v>858</v>
      </c>
      <c r="C262" t="s">
        <v>35</v>
      </c>
      <c r="D262">
        <v>17.71</v>
      </c>
      <c r="E262">
        <v>16.510000000000002</v>
      </c>
      <c r="F262" s="11">
        <v>0.8669</v>
      </c>
      <c r="G262" t="str">
        <f t="shared" si="11"/>
        <v>Admis</v>
      </c>
      <c r="H262" t="str" cm="1">
        <f t="array" ref="H262">_xlfn.IFS(E262&gt;=16, "Excellent",E262&gt;=14, "Très bien", E262&gt;=12, "Bien", E262&gt;=10, "Passable", E262&lt;10, "Insuffisant")</f>
        <v>Excellent</v>
      </c>
      <c r="I262" s="14" t="str">
        <f t="shared" si="12"/>
        <v>RAS</v>
      </c>
      <c r="J262" s="14" t="str">
        <f t="shared" si="13"/>
        <v>Autre filière</v>
      </c>
      <c r="K262" s="15"/>
      <c r="L262" s="16"/>
    </row>
    <row r="263" spans="1:12">
      <c r="A263" t="s">
        <v>236</v>
      </c>
      <c r="B263" t="s">
        <v>237</v>
      </c>
      <c r="C263" t="s">
        <v>35</v>
      </c>
      <c r="D263">
        <v>10.84</v>
      </c>
      <c r="E263">
        <v>15.62</v>
      </c>
      <c r="F263" s="11">
        <v>0.89270000000000005</v>
      </c>
      <c r="G263" t="str">
        <f t="shared" si="11"/>
        <v>Admis sous condition</v>
      </c>
      <c r="H263" t="str" cm="1">
        <f t="array" ref="H263">_xlfn.IFS(E263&gt;=16, "Excellent",E263&gt;=14, "Très bien", E263&gt;=12, "Bien", E263&gt;=10, "Passable", E263&lt;10, "Insuffisant")</f>
        <v>Très bien</v>
      </c>
      <c r="I263" s="14" t="str">
        <f t="shared" si="12"/>
        <v>RAS</v>
      </c>
      <c r="J263" s="14" t="str">
        <f t="shared" si="13"/>
        <v>Autre filière</v>
      </c>
      <c r="K263" s="15"/>
      <c r="L263" s="16"/>
    </row>
    <row r="264" spans="1:12">
      <c r="A264" t="s">
        <v>684</v>
      </c>
      <c r="B264" t="s">
        <v>148</v>
      </c>
      <c r="C264" t="s">
        <v>35</v>
      </c>
      <c r="D264">
        <v>10.73</v>
      </c>
      <c r="E264">
        <v>8.77</v>
      </c>
      <c r="F264" s="11">
        <v>0.80400000000000005</v>
      </c>
      <c r="G264" t="str">
        <f t="shared" si="11"/>
        <v>Refusé</v>
      </c>
      <c r="H264" t="str" cm="1">
        <f t="array" ref="H264">_xlfn.IFS(E264&gt;=16, "Excellent",E264&gt;=14, "Très bien", E264&gt;=12, "Bien", E264&gt;=10, "Passable", E264&lt;10, "Insuffisant")</f>
        <v>Insuffisant</v>
      </c>
      <c r="I264" s="14" t="str">
        <f t="shared" si="12"/>
        <v>A surveiller</v>
      </c>
      <c r="J264" s="14" t="str">
        <f t="shared" si="13"/>
        <v>Autre filière</v>
      </c>
      <c r="K264" s="15"/>
      <c r="L264" s="16"/>
    </row>
    <row r="265" spans="1:12">
      <c r="A265" t="s">
        <v>779</v>
      </c>
      <c r="B265" t="s">
        <v>653</v>
      </c>
      <c r="C265" t="s">
        <v>35</v>
      </c>
      <c r="D265">
        <v>16.899999999999999</v>
      </c>
      <c r="E265">
        <v>17.82</v>
      </c>
      <c r="F265" s="11">
        <v>0.59540000000000004</v>
      </c>
      <c r="G265" t="str">
        <f t="shared" si="11"/>
        <v>Admis sous condition</v>
      </c>
      <c r="H265" t="str" cm="1">
        <f t="array" ref="H265">_xlfn.IFS(E265&gt;=16, "Excellent",E265&gt;=14, "Très bien", E265&gt;=12, "Bien", E265&gt;=10, "Passable", E265&lt;10, "Insuffisant")</f>
        <v>Excellent</v>
      </c>
      <c r="I265" s="14" t="str">
        <f t="shared" si="12"/>
        <v>A surveiller</v>
      </c>
      <c r="J265" s="14" t="str">
        <f t="shared" si="13"/>
        <v>Autre filière</v>
      </c>
      <c r="L265" s="16"/>
    </row>
    <row r="266" spans="1:12">
      <c r="A266" t="s">
        <v>1141</v>
      </c>
      <c r="B266" t="s">
        <v>1106</v>
      </c>
      <c r="C266" t="s">
        <v>35</v>
      </c>
      <c r="D266">
        <v>20</v>
      </c>
      <c r="E266">
        <v>17.07</v>
      </c>
      <c r="F266" s="11">
        <v>0.91690000000000005</v>
      </c>
      <c r="G266" t="str">
        <f t="shared" si="11"/>
        <v>Admis</v>
      </c>
      <c r="H266" t="str" cm="1">
        <f t="array" ref="H266">_xlfn.IFS(E266&gt;=16, "Excellent",E266&gt;=14, "Très bien", E266&gt;=12, "Bien", E266&gt;=10, "Passable", E266&lt;10, "Insuffisant")</f>
        <v>Excellent</v>
      </c>
      <c r="I266" s="14" t="str">
        <f t="shared" si="12"/>
        <v>RAS</v>
      </c>
      <c r="J266" s="14" t="str">
        <f t="shared" si="13"/>
        <v>Autre filière</v>
      </c>
      <c r="L266" s="16"/>
    </row>
    <row r="267" spans="1:12">
      <c r="A267" t="s">
        <v>861</v>
      </c>
      <c r="B267" t="s">
        <v>662</v>
      </c>
      <c r="C267" t="s">
        <v>27</v>
      </c>
      <c r="D267">
        <v>16.18</v>
      </c>
      <c r="E267">
        <v>14.68</v>
      </c>
      <c r="F267" s="11">
        <v>0.76170000000000004</v>
      </c>
      <c r="G267" t="str">
        <f t="shared" si="11"/>
        <v>Admis sous condition</v>
      </c>
      <c r="H267" t="str" cm="1">
        <f t="array" ref="H267">_xlfn.IFS(E267&gt;=16, "Excellent",E267&gt;=14, "Très bien", E267&gt;=12, "Bien", E267&gt;=10, "Passable", E267&lt;10, "Insuffisant")</f>
        <v>Très bien</v>
      </c>
      <c r="I267" s="14" t="str">
        <f t="shared" si="12"/>
        <v>RAS</v>
      </c>
      <c r="J267" s="14" t="str">
        <f t="shared" si="13"/>
        <v>Autre filière</v>
      </c>
      <c r="L267" s="16"/>
    </row>
    <row r="268" spans="1:12">
      <c r="A268" t="s">
        <v>360</v>
      </c>
      <c r="B268" t="s">
        <v>270</v>
      </c>
      <c r="C268" t="s">
        <v>22</v>
      </c>
      <c r="D268">
        <v>18.850000000000001</v>
      </c>
      <c r="E268">
        <v>17.22</v>
      </c>
      <c r="F268" s="11">
        <v>0.6754</v>
      </c>
      <c r="G268" t="str">
        <f t="shared" si="11"/>
        <v>Admis sous condition</v>
      </c>
      <c r="H268" t="str" cm="1">
        <f t="array" ref="H268">_xlfn.IFS(E268&gt;=16, "Excellent",E268&gt;=14, "Très bien", E268&gt;=12, "Bien", E268&gt;=10, "Passable", E268&lt;10, "Insuffisant")</f>
        <v>Excellent</v>
      </c>
      <c r="I268" s="14" t="str">
        <f t="shared" si="12"/>
        <v>A surveiller</v>
      </c>
      <c r="J268" s="14" t="str">
        <f t="shared" si="13"/>
        <v>Data</v>
      </c>
      <c r="L268" s="16"/>
    </row>
    <row r="269" spans="1:12">
      <c r="A269" t="s">
        <v>1185</v>
      </c>
      <c r="B269" t="s">
        <v>930</v>
      </c>
      <c r="C269" t="s">
        <v>27</v>
      </c>
      <c r="D269">
        <v>15.13</v>
      </c>
      <c r="E269">
        <v>13.28</v>
      </c>
      <c r="F269" s="11">
        <v>0.8266</v>
      </c>
      <c r="G269" t="str">
        <f t="shared" ref="G269:G332" si="14">IF(AND(D269&gt;=12,E269&gt;=12,F269&gt;=80%),"Admis",IF(AND(D269&gt;=10,E269&gt;=10),"Admis sous condition","Refusé"))</f>
        <v>Admis</v>
      </c>
      <c r="H269" t="str" cm="1">
        <f t="array" ref="H269">_xlfn.IFS(E269&gt;=16, "Excellent",E269&gt;=14, "Très bien", E269&gt;=12, "Bien", E269&gt;=10, "Passable", E269&lt;10, "Insuffisant")</f>
        <v>Bien</v>
      </c>
      <c r="I269" s="14" t="str">
        <f t="shared" si="12"/>
        <v>RAS</v>
      </c>
      <c r="J269" s="14" t="str">
        <f t="shared" si="13"/>
        <v>Autre filière</v>
      </c>
      <c r="K269" s="15"/>
      <c r="L269" s="16"/>
    </row>
    <row r="270" spans="1:12">
      <c r="A270" t="s">
        <v>151</v>
      </c>
      <c r="B270" t="s">
        <v>152</v>
      </c>
      <c r="C270" t="s">
        <v>35</v>
      </c>
      <c r="D270">
        <v>15.64</v>
      </c>
      <c r="E270">
        <v>16.170000000000002</v>
      </c>
      <c r="F270" s="11">
        <v>0.84250000000000003</v>
      </c>
      <c r="G270" t="str">
        <f t="shared" si="14"/>
        <v>Admis</v>
      </c>
      <c r="H270" t="str" cm="1">
        <f t="array" ref="H270">_xlfn.IFS(E270&gt;=16, "Excellent",E270&gt;=14, "Très bien", E270&gt;=12, "Bien", E270&gt;=10, "Passable", E270&lt;10, "Insuffisant")</f>
        <v>Excellent</v>
      </c>
      <c r="I270" s="14" t="str">
        <f t="shared" si="12"/>
        <v>RAS</v>
      </c>
      <c r="J270" s="14" t="str">
        <f t="shared" si="13"/>
        <v>Autre filière</v>
      </c>
      <c r="K270" s="15"/>
      <c r="L270" s="16"/>
    </row>
    <row r="271" spans="1:12">
      <c r="A271" t="s">
        <v>1023</v>
      </c>
      <c r="B271" t="s">
        <v>625</v>
      </c>
      <c r="C271" t="s">
        <v>48</v>
      </c>
      <c r="D271">
        <v>13.57</v>
      </c>
      <c r="E271">
        <v>16.079999999999998</v>
      </c>
      <c r="F271" s="11">
        <v>0.65720000000000001</v>
      </c>
      <c r="G271" t="str">
        <f t="shared" si="14"/>
        <v>Admis sous condition</v>
      </c>
      <c r="H271" t="str" cm="1">
        <f t="array" ref="H271">_xlfn.IFS(E271&gt;=16, "Excellent",E271&gt;=14, "Très bien", E271&gt;=12, "Bien", E271&gt;=10, "Passable", E271&lt;10, "Insuffisant")</f>
        <v>Excellent</v>
      </c>
      <c r="I271" s="14" t="str">
        <f t="shared" si="12"/>
        <v>A surveiller</v>
      </c>
      <c r="J271" s="14" t="str">
        <f t="shared" si="13"/>
        <v>Autre filière</v>
      </c>
      <c r="L271" s="16"/>
    </row>
    <row r="272" spans="1:12">
      <c r="A272" t="s">
        <v>1233</v>
      </c>
      <c r="B272" t="s">
        <v>939</v>
      </c>
      <c r="C272" t="s">
        <v>22</v>
      </c>
      <c r="D272">
        <v>14.36</v>
      </c>
      <c r="E272">
        <v>15.32</v>
      </c>
      <c r="F272" s="11">
        <v>0.7581</v>
      </c>
      <c r="G272" t="str">
        <f t="shared" si="14"/>
        <v>Admis sous condition</v>
      </c>
      <c r="H272" t="str" cm="1">
        <f t="array" ref="H272">_xlfn.IFS(E272&gt;=16, "Excellent",E272&gt;=14, "Très bien", E272&gt;=12, "Bien", E272&gt;=10, "Passable", E272&lt;10, "Insuffisant")</f>
        <v>Très bien</v>
      </c>
      <c r="I272" s="14" t="str">
        <f t="shared" si="12"/>
        <v>RAS</v>
      </c>
      <c r="J272" s="14" t="str">
        <f t="shared" si="13"/>
        <v>Data</v>
      </c>
      <c r="L272" s="16"/>
    </row>
    <row r="273" spans="1:12">
      <c r="A273" t="s">
        <v>942</v>
      </c>
      <c r="B273" t="s">
        <v>833</v>
      </c>
      <c r="C273" t="s">
        <v>35</v>
      </c>
      <c r="D273">
        <v>12.6</v>
      </c>
      <c r="E273">
        <v>12.49</v>
      </c>
      <c r="F273" s="11">
        <v>0.80720000000000003</v>
      </c>
      <c r="G273" t="str">
        <f t="shared" si="14"/>
        <v>Admis</v>
      </c>
      <c r="H273" t="str" cm="1">
        <f t="array" ref="H273">_xlfn.IFS(E273&gt;=16, "Excellent",E273&gt;=14, "Très bien", E273&gt;=12, "Bien", E273&gt;=10, "Passable", E273&lt;10, "Insuffisant")</f>
        <v>Bien</v>
      </c>
      <c r="I273" s="14" t="str">
        <f t="shared" si="12"/>
        <v>RAS</v>
      </c>
      <c r="J273" s="14" t="str">
        <f t="shared" si="13"/>
        <v>Autre filière</v>
      </c>
      <c r="K273" s="15"/>
      <c r="L273" s="16"/>
    </row>
    <row r="274" spans="1:12">
      <c r="A274" t="s">
        <v>1164</v>
      </c>
      <c r="B274" t="s">
        <v>141</v>
      </c>
      <c r="C274" t="s">
        <v>22</v>
      </c>
      <c r="D274">
        <v>18.670000000000002</v>
      </c>
      <c r="E274">
        <v>14.8</v>
      </c>
      <c r="F274" s="11">
        <v>0.84540000000000004</v>
      </c>
      <c r="G274" t="str">
        <f t="shared" si="14"/>
        <v>Admis</v>
      </c>
      <c r="H274" t="str" cm="1">
        <f t="array" ref="H274">_xlfn.IFS(E274&gt;=16, "Excellent",E274&gt;=14, "Très bien", E274&gt;=12, "Bien", E274&gt;=10, "Passable", E274&lt;10, "Insuffisant")</f>
        <v>Très bien</v>
      </c>
      <c r="I274" s="14" t="str">
        <f t="shared" si="12"/>
        <v>RAS</v>
      </c>
      <c r="J274" s="14" t="str">
        <f t="shared" si="13"/>
        <v>Data</v>
      </c>
      <c r="K274" s="15"/>
      <c r="L274" s="16"/>
    </row>
    <row r="275" spans="1:12">
      <c r="A275" t="s">
        <v>513</v>
      </c>
      <c r="B275" t="s">
        <v>514</v>
      </c>
      <c r="C275" t="s">
        <v>27</v>
      </c>
      <c r="D275">
        <v>16.010000000000002</v>
      </c>
      <c r="E275">
        <v>16.96</v>
      </c>
      <c r="F275" s="11">
        <v>0.92490000000000006</v>
      </c>
      <c r="G275" t="str">
        <f t="shared" si="14"/>
        <v>Admis</v>
      </c>
      <c r="H275" t="str" cm="1">
        <f t="array" ref="H275">_xlfn.IFS(E275&gt;=16, "Excellent",E275&gt;=14, "Très bien", E275&gt;=12, "Bien", E275&gt;=10, "Passable", E275&lt;10, "Insuffisant")</f>
        <v>Excellent</v>
      </c>
      <c r="I275" s="14" t="str">
        <f t="shared" si="12"/>
        <v>RAS</v>
      </c>
      <c r="J275" s="14" t="str">
        <f t="shared" si="13"/>
        <v>Autre filière</v>
      </c>
      <c r="L275" s="16"/>
    </row>
    <row r="276" spans="1:12">
      <c r="A276" t="s">
        <v>802</v>
      </c>
      <c r="B276" t="s">
        <v>803</v>
      </c>
      <c r="C276" t="s">
        <v>35</v>
      </c>
      <c r="D276">
        <v>8.76</v>
      </c>
      <c r="E276">
        <v>13.04</v>
      </c>
      <c r="F276" s="11">
        <v>0.95030000000000003</v>
      </c>
      <c r="G276" t="str">
        <f t="shared" si="14"/>
        <v>Refusé</v>
      </c>
      <c r="H276" t="str" cm="1">
        <f t="array" ref="H276">_xlfn.IFS(E276&gt;=16, "Excellent",E276&gt;=14, "Très bien", E276&gt;=12, "Bien", E276&gt;=10, "Passable", E276&lt;10, "Insuffisant")</f>
        <v>Bien</v>
      </c>
      <c r="I276" s="14" t="str">
        <f t="shared" si="12"/>
        <v>A surveiller</v>
      </c>
      <c r="J276" s="14" t="str">
        <f t="shared" si="13"/>
        <v>Autre filière</v>
      </c>
      <c r="L276" s="16"/>
    </row>
    <row r="277" spans="1:12">
      <c r="A277" t="s">
        <v>192</v>
      </c>
      <c r="B277" t="s">
        <v>79</v>
      </c>
      <c r="C277" t="s">
        <v>35</v>
      </c>
      <c r="D277">
        <v>13.13</v>
      </c>
      <c r="E277">
        <v>15.21</v>
      </c>
      <c r="F277" s="11">
        <v>0.74470000000000003</v>
      </c>
      <c r="G277" t="str">
        <f t="shared" si="14"/>
        <v>Admis sous condition</v>
      </c>
      <c r="H277" t="str" cm="1">
        <f t="array" ref="H277">_xlfn.IFS(E277&gt;=16, "Excellent",E277&gt;=14, "Très bien", E277&gt;=12, "Bien", E277&gt;=10, "Passable", E277&lt;10, "Insuffisant")</f>
        <v>Très bien</v>
      </c>
      <c r="I277" s="14" t="str">
        <f t="shared" si="12"/>
        <v>RAS</v>
      </c>
      <c r="J277" s="14" t="str">
        <f t="shared" si="13"/>
        <v>Autre filière</v>
      </c>
      <c r="L277" s="16"/>
    </row>
    <row r="278" spans="1:12">
      <c r="A278" t="s">
        <v>544</v>
      </c>
      <c r="B278" t="s">
        <v>511</v>
      </c>
      <c r="C278" t="s">
        <v>35</v>
      </c>
      <c r="D278">
        <v>19.940000000000001</v>
      </c>
      <c r="E278">
        <v>20</v>
      </c>
      <c r="F278" s="11">
        <v>0.78210000000000002</v>
      </c>
      <c r="G278" t="str">
        <f t="shared" si="14"/>
        <v>Admis sous condition</v>
      </c>
      <c r="H278" t="str" cm="1">
        <f t="array" ref="H278">_xlfn.IFS(E278&gt;=16, "Excellent",E278&gt;=14, "Très bien", E278&gt;=12, "Bien", E278&gt;=10, "Passable", E278&lt;10, "Insuffisant")</f>
        <v>Excellent</v>
      </c>
      <c r="I278" s="14" t="str">
        <f t="shared" si="12"/>
        <v>RAS</v>
      </c>
      <c r="J278" s="14" t="str">
        <f t="shared" si="13"/>
        <v>Autre filière</v>
      </c>
      <c r="L278" s="16"/>
    </row>
    <row r="279" spans="1:12">
      <c r="A279" t="s">
        <v>333</v>
      </c>
      <c r="B279" t="s">
        <v>313</v>
      </c>
      <c r="C279" t="s">
        <v>35</v>
      </c>
      <c r="D279">
        <v>11.83</v>
      </c>
      <c r="E279">
        <v>12.97</v>
      </c>
      <c r="F279" s="11">
        <v>0.94269999999999998</v>
      </c>
      <c r="G279" t="str">
        <f t="shared" si="14"/>
        <v>Admis sous condition</v>
      </c>
      <c r="H279" t="str" cm="1">
        <f t="array" ref="H279">_xlfn.IFS(E279&gt;=16, "Excellent",E279&gt;=14, "Très bien", E279&gt;=12, "Bien", E279&gt;=10, "Passable", E279&lt;10, "Insuffisant")</f>
        <v>Bien</v>
      </c>
      <c r="I279" s="14" t="str">
        <f t="shared" si="12"/>
        <v>RAS</v>
      </c>
      <c r="J279" s="14" t="str">
        <f t="shared" si="13"/>
        <v>Autre filière</v>
      </c>
      <c r="L279" s="16"/>
    </row>
    <row r="280" spans="1:12">
      <c r="A280" t="s">
        <v>624</v>
      </c>
      <c r="B280" t="s">
        <v>625</v>
      </c>
      <c r="C280" t="s">
        <v>35</v>
      </c>
      <c r="D280">
        <v>15.72</v>
      </c>
      <c r="E280">
        <v>10.81</v>
      </c>
      <c r="F280" s="11">
        <v>0.95150000000000001</v>
      </c>
      <c r="G280" t="str">
        <f t="shared" si="14"/>
        <v>Admis sous condition</v>
      </c>
      <c r="H280" t="str" cm="1">
        <f t="array" ref="H280">_xlfn.IFS(E280&gt;=16, "Excellent",E280&gt;=14, "Très bien", E280&gt;=12, "Bien", E280&gt;=10, "Passable", E280&lt;10, "Insuffisant")</f>
        <v>Passable</v>
      </c>
      <c r="I280" s="14" t="str">
        <f t="shared" si="12"/>
        <v>RAS</v>
      </c>
      <c r="J280" s="14" t="str">
        <f t="shared" si="13"/>
        <v>Autre filière</v>
      </c>
      <c r="L280" s="16"/>
    </row>
    <row r="281" spans="1:12">
      <c r="A281" t="s">
        <v>841</v>
      </c>
      <c r="B281" t="s">
        <v>191</v>
      </c>
      <c r="C281" t="s">
        <v>35</v>
      </c>
      <c r="D281">
        <v>17.2</v>
      </c>
      <c r="E281">
        <v>15.41</v>
      </c>
      <c r="F281" s="11">
        <v>0.65920000000000001</v>
      </c>
      <c r="G281" t="str">
        <f t="shared" si="14"/>
        <v>Admis sous condition</v>
      </c>
      <c r="H281" t="str" cm="1">
        <f t="array" ref="H281">_xlfn.IFS(E281&gt;=16, "Excellent",E281&gt;=14, "Très bien", E281&gt;=12, "Bien", E281&gt;=10, "Passable", E281&lt;10, "Insuffisant")</f>
        <v>Très bien</v>
      </c>
      <c r="I281" s="14" t="str">
        <f t="shared" si="12"/>
        <v>A surveiller</v>
      </c>
      <c r="J281" s="14" t="str">
        <f t="shared" si="13"/>
        <v>Autre filière</v>
      </c>
      <c r="L281" s="16"/>
    </row>
    <row r="282" spans="1:12">
      <c r="A282" t="s">
        <v>992</v>
      </c>
      <c r="B282" t="s">
        <v>226</v>
      </c>
      <c r="C282" t="s">
        <v>48</v>
      </c>
      <c r="D282">
        <v>14.52</v>
      </c>
      <c r="E282">
        <v>15</v>
      </c>
      <c r="F282" s="11">
        <v>0.93310000000000004</v>
      </c>
      <c r="G282" t="str">
        <f t="shared" si="14"/>
        <v>Admis</v>
      </c>
      <c r="H282" t="str" cm="1">
        <f t="array" ref="H282">_xlfn.IFS(E282&gt;=16, "Excellent",E282&gt;=14, "Très bien", E282&gt;=12, "Bien", E282&gt;=10, "Passable", E282&lt;10, "Insuffisant")</f>
        <v>Très bien</v>
      </c>
      <c r="I282" s="14" t="str">
        <f t="shared" si="12"/>
        <v>RAS</v>
      </c>
      <c r="J282" s="14" t="str">
        <f t="shared" si="13"/>
        <v>Autre filière</v>
      </c>
      <c r="L282" s="16"/>
    </row>
    <row r="283" spans="1:12">
      <c r="A283" t="s">
        <v>1080</v>
      </c>
      <c r="B283" t="s">
        <v>1081</v>
      </c>
      <c r="C283" t="s">
        <v>22</v>
      </c>
      <c r="D283">
        <v>18.41</v>
      </c>
      <c r="E283">
        <v>15.98</v>
      </c>
      <c r="F283" s="11">
        <v>0.83409999999999995</v>
      </c>
      <c r="G283" t="str">
        <f t="shared" si="14"/>
        <v>Admis</v>
      </c>
      <c r="H283" t="str" cm="1">
        <f t="array" ref="H283">_xlfn.IFS(E283&gt;=16, "Excellent",E283&gt;=14, "Très bien", E283&gt;=12, "Bien", E283&gt;=10, "Passable", E283&lt;10, "Insuffisant")</f>
        <v>Très bien</v>
      </c>
      <c r="I283" s="14" t="str">
        <f t="shared" si="12"/>
        <v>RAS</v>
      </c>
      <c r="J283" s="14" t="str">
        <f t="shared" si="13"/>
        <v>Data</v>
      </c>
      <c r="K283" s="15"/>
      <c r="L283" s="16"/>
    </row>
    <row r="284" spans="1:12">
      <c r="A284" t="s">
        <v>1271</v>
      </c>
      <c r="B284" t="s">
        <v>295</v>
      </c>
      <c r="C284" t="s">
        <v>22</v>
      </c>
      <c r="D284">
        <v>13.82</v>
      </c>
      <c r="E284">
        <v>19.059999999999999</v>
      </c>
      <c r="F284" s="11">
        <v>0.85319999999999996</v>
      </c>
      <c r="G284" t="str">
        <f t="shared" si="14"/>
        <v>Admis</v>
      </c>
      <c r="H284" t="str" cm="1">
        <f t="array" ref="H284">_xlfn.IFS(E284&gt;=16, "Excellent",E284&gt;=14, "Très bien", E284&gt;=12, "Bien", E284&gt;=10, "Passable", E284&lt;10, "Insuffisant")</f>
        <v>Excellent</v>
      </c>
      <c r="I284" s="14" t="str">
        <f t="shared" si="12"/>
        <v>RAS</v>
      </c>
      <c r="J284" s="14" t="str">
        <f t="shared" si="13"/>
        <v>Data</v>
      </c>
      <c r="K284" s="15"/>
      <c r="L284" s="16"/>
    </row>
    <row r="285" spans="1:12">
      <c r="A285" t="s">
        <v>263</v>
      </c>
      <c r="B285" t="s">
        <v>264</v>
      </c>
      <c r="C285" t="s">
        <v>48</v>
      </c>
      <c r="D285">
        <v>13.64</v>
      </c>
      <c r="E285">
        <v>16.13</v>
      </c>
      <c r="F285" s="11">
        <v>0.83150000000000002</v>
      </c>
      <c r="G285" t="str">
        <f t="shared" si="14"/>
        <v>Admis</v>
      </c>
      <c r="H285" t="str" cm="1">
        <f t="array" ref="H285">_xlfn.IFS(E285&gt;=16, "Excellent",E285&gt;=14, "Très bien", E285&gt;=12, "Bien", E285&gt;=10, "Passable", E285&lt;10, "Insuffisant")</f>
        <v>Excellent</v>
      </c>
      <c r="I285" s="14" t="str">
        <f t="shared" si="12"/>
        <v>RAS</v>
      </c>
      <c r="J285" s="14" t="str">
        <f t="shared" si="13"/>
        <v>Autre filière</v>
      </c>
      <c r="K285" s="15"/>
      <c r="L285" s="16"/>
    </row>
    <row r="286" spans="1:12">
      <c r="A286" t="s">
        <v>821</v>
      </c>
      <c r="B286" t="s">
        <v>822</v>
      </c>
      <c r="C286" t="s">
        <v>35</v>
      </c>
      <c r="D286">
        <v>12.55</v>
      </c>
      <c r="E286">
        <v>12.69</v>
      </c>
      <c r="F286" s="11">
        <v>0.84360000000000002</v>
      </c>
      <c r="G286" t="str">
        <f t="shared" si="14"/>
        <v>Admis</v>
      </c>
      <c r="H286" t="str" cm="1">
        <f t="array" ref="H286">_xlfn.IFS(E286&gt;=16, "Excellent",E286&gt;=14, "Très bien", E286&gt;=12, "Bien", E286&gt;=10, "Passable", E286&lt;10, "Insuffisant")</f>
        <v>Bien</v>
      </c>
      <c r="I286" s="14" t="str">
        <f t="shared" si="12"/>
        <v>RAS</v>
      </c>
      <c r="J286" s="14" t="str">
        <f t="shared" si="13"/>
        <v>Autre filière</v>
      </c>
      <c r="K286" s="15"/>
      <c r="L286" s="16"/>
    </row>
    <row r="287" spans="1:12">
      <c r="A287" t="s">
        <v>740</v>
      </c>
      <c r="B287" t="s">
        <v>285</v>
      </c>
      <c r="C287" t="s">
        <v>22</v>
      </c>
      <c r="D287">
        <v>12.89</v>
      </c>
      <c r="E287">
        <v>15.88</v>
      </c>
      <c r="F287" s="11">
        <v>0.99160000000000004</v>
      </c>
      <c r="G287" t="str">
        <f t="shared" si="14"/>
        <v>Admis</v>
      </c>
      <c r="H287" t="str" cm="1">
        <f t="array" ref="H287">_xlfn.IFS(E287&gt;=16, "Excellent",E287&gt;=14, "Très bien", E287&gt;=12, "Bien", E287&gt;=10, "Passable", E287&lt;10, "Insuffisant")</f>
        <v>Très bien</v>
      </c>
      <c r="I287" s="14" t="str">
        <f t="shared" si="12"/>
        <v>RAS</v>
      </c>
      <c r="J287" s="14" t="str">
        <f t="shared" si="13"/>
        <v>Data</v>
      </c>
      <c r="L287" s="16"/>
    </row>
    <row r="288" spans="1:12">
      <c r="A288" t="s">
        <v>1189</v>
      </c>
      <c r="B288" t="s">
        <v>43</v>
      </c>
      <c r="C288" t="s">
        <v>27</v>
      </c>
      <c r="D288">
        <v>15.23</v>
      </c>
      <c r="E288">
        <v>12.87</v>
      </c>
      <c r="F288" s="11">
        <v>0.97829999999999995</v>
      </c>
      <c r="G288" t="str">
        <f t="shared" si="14"/>
        <v>Admis</v>
      </c>
      <c r="H288" t="str" cm="1">
        <f t="array" ref="H288">_xlfn.IFS(E288&gt;=16, "Excellent",E288&gt;=14, "Très bien", E288&gt;=12, "Bien", E288&gt;=10, "Passable", E288&lt;10, "Insuffisant")</f>
        <v>Bien</v>
      </c>
      <c r="I288" s="14" t="str">
        <f t="shared" si="12"/>
        <v>RAS</v>
      </c>
      <c r="J288" s="14" t="str">
        <f t="shared" si="13"/>
        <v>Autre filière</v>
      </c>
      <c r="L288" s="16"/>
    </row>
    <row r="289" spans="1:12">
      <c r="A289" t="s">
        <v>869</v>
      </c>
      <c r="B289" t="s">
        <v>825</v>
      </c>
      <c r="C289" t="s">
        <v>48</v>
      </c>
      <c r="D289">
        <v>14.89</v>
      </c>
      <c r="E289">
        <v>14.11</v>
      </c>
      <c r="F289" s="11">
        <v>0.91149999999999998</v>
      </c>
      <c r="G289" t="str">
        <f t="shared" si="14"/>
        <v>Admis</v>
      </c>
      <c r="H289" t="str" cm="1">
        <f t="array" ref="H289">_xlfn.IFS(E289&gt;=16, "Excellent",E289&gt;=14, "Très bien", E289&gt;=12, "Bien", E289&gt;=10, "Passable", E289&lt;10, "Insuffisant")</f>
        <v>Très bien</v>
      </c>
      <c r="I289" s="14" t="str">
        <f t="shared" si="12"/>
        <v>RAS</v>
      </c>
      <c r="J289" s="14" t="str">
        <f t="shared" si="13"/>
        <v>Autre filière</v>
      </c>
      <c r="L289" s="16"/>
    </row>
    <row r="290" spans="1:12">
      <c r="A290" t="s">
        <v>1179</v>
      </c>
      <c r="B290" t="s">
        <v>748</v>
      </c>
      <c r="C290" t="s">
        <v>35</v>
      </c>
      <c r="D290">
        <v>18.88</v>
      </c>
      <c r="E290">
        <v>12.48</v>
      </c>
      <c r="F290" s="11">
        <v>0.55000000000000004</v>
      </c>
      <c r="G290" t="str">
        <f t="shared" si="14"/>
        <v>Admis sous condition</v>
      </c>
      <c r="H290" t="str" cm="1">
        <f t="array" ref="H290">_xlfn.IFS(E290&gt;=16, "Excellent",E290&gt;=14, "Très bien", E290&gt;=12, "Bien", E290&gt;=10, "Passable", E290&lt;10, "Insuffisant")</f>
        <v>Bien</v>
      </c>
      <c r="I290" s="14" t="str">
        <f t="shared" si="12"/>
        <v>A surveiller</v>
      </c>
      <c r="J290" s="14" t="str">
        <f t="shared" si="13"/>
        <v>Autre filière</v>
      </c>
      <c r="L290" s="16"/>
    </row>
    <row r="291" spans="1:12">
      <c r="A291" t="s">
        <v>56</v>
      </c>
      <c r="B291" t="s">
        <v>57</v>
      </c>
      <c r="C291" t="s">
        <v>48</v>
      </c>
      <c r="D291">
        <v>17.22</v>
      </c>
      <c r="E291">
        <v>14.95</v>
      </c>
      <c r="F291" s="11">
        <v>0.73260000000000003</v>
      </c>
      <c r="G291" t="str">
        <f t="shared" si="14"/>
        <v>Admis sous condition</v>
      </c>
      <c r="H291" t="str" cm="1">
        <f t="array" ref="H291">_xlfn.IFS(E291&gt;=16, "Excellent",E291&gt;=14, "Très bien", E291&gt;=12, "Bien", E291&gt;=10, "Passable", E291&lt;10, "Insuffisant")</f>
        <v>Très bien</v>
      </c>
      <c r="I291" s="14" t="str">
        <f t="shared" si="12"/>
        <v>RAS</v>
      </c>
      <c r="J291" s="14" t="str">
        <f t="shared" si="13"/>
        <v>Autre filière</v>
      </c>
      <c r="L291" s="16"/>
    </row>
    <row r="292" spans="1:12">
      <c r="A292" t="s">
        <v>969</v>
      </c>
      <c r="B292" t="s">
        <v>50</v>
      </c>
      <c r="C292" t="s">
        <v>35</v>
      </c>
      <c r="D292">
        <v>16.43</v>
      </c>
      <c r="E292">
        <v>15.67</v>
      </c>
      <c r="F292" s="11">
        <v>0.88429999999999997</v>
      </c>
      <c r="G292" t="str">
        <f t="shared" si="14"/>
        <v>Admis</v>
      </c>
      <c r="H292" t="str" cm="1">
        <f t="array" ref="H292">_xlfn.IFS(E292&gt;=16, "Excellent",E292&gt;=14, "Très bien", E292&gt;=12, "Bien", E292&gt;=10, "Passable", E292&lt;10, "Insuffisant")</f>
        <v>Très bien</v>
      </c>
      <c r="I292" s="14" t="str">
        <f t="shared" si="12"/>
        <v>RAS</v>
      </c>
      <c r="J292" s="14" t="str">
        <f t="shared" si="13"/>
        <v>Autre filière</v>
      </c>
      <c r="K292" s="15"/>
      <c r="L292" s="16"/>
    </row>
    <row r="293" spans="1:12">
      <c r="A293" t="s">
        <v>995</v>
      </c>
      <c r="B293" t="s">
        <v>307</v>
      </c>
      <c r="C293" t="s">
        <v>35</v>
      </c>
      <c r="D293">
        <v>17.329999999999998</v>
      </c>
      <c r="E293">
        <v>16.149999999999999</v>
      </c>
      <c r="F293" s="11">
        <v>0.84740000000000004</v>
      </c>
      <c r="G293" t="str">
        <f t="shared" si="14"/>
        <v>Admis</v>
      </c>
      <c r="H293" t="str" cm="1">
        <f t="array" ref="H293">_xlfn.IFS(E293&gt;=16, "Excellent",E293&gt;=14, "Très bien", E293&gt;=12, "Bien", E293&gt;=10, "Passable", E293&lt;10, "Insuffisant")</f>
        <v>Excellent</v>
      </c>
      <c r="I293" s="14" t="str">
        <f t="shared" si="12"/>
        <v>RAS</v>
      </c>
      <c r="J293" s="14" t="str">
        <f t="shared" si="13"/>
        <v>Autre filière</v>
      </c>
      <c r="K293" s="15"/>
      <c r="L293" s="16"/>
    </row>
    <row r="294" spans="1:12">
      <c r="A294" t="s">
        <v>641</v>
      </c>
      <c r="B294" t="s">
        <v>248</v>
      </c>
      <c r="C294" t="s">
        <v>22</v>
      </c>
      <c r="D294">
        <v>15.06</v>
      </c>
      <c r="E294">
        <v>10.81</v>
      </c>
      <c r="F294" s="11">
        <v>0.60780000000000001</v>
      </c>
      <c r="G294" t="str">
        <f t="shared" si="14"/>
        <v>Admis sous condition</v>
      </c>
      <c r="H294" t="str" cm="1">
        <f t="array" ref="H294">_xlfn.IFS(E294&gt;=16, "Excellent",E294&gt;=14, "Très bien", E294&gt;=12, "Bien", E294&gt;=10, "Passable", E294&lt;10, "Insuffisant")</f>
        <v>Passable</v>
      </c>
      <c r="I294" s="14" t="str">
        <f t="shared" si="12"/>
        <v>A surveiller</v>
      </c>
      <c r="J294" s="14" t="str">
        <f t="shared" si="13"/>
        <v>Data</v>
      </c>
      <c r="L294" s="16"/>
    </row>
    <row r="295" spans="1:12">
      <c r="A295" t="s">
        <v>525</v>
      </c>
      <c r="B295" t="s">
        <v>526</v>
      </c>
      <c r="C295" t="s">
        <v>27</v>
      </c>
      <c r="D295">
        <v>16.510000000000002</v>
      </c>
      <c r="E295">
        <v>14.83</v>
      </c>
      <c r="F295" s="11">
        <v>0.81740000000000002</v>
      </c>
      <c r="G295" t="str">
        <f t="shared" si="14"/>
        <v>Admis</v>
      </c>
      <c r="H295" t="str" cm="1">
        <f t="array" ref="H295">_xlfn.IFS(E295&gt;=16, "Excellent",E295&gt;=14, "Très bien", E295&gt;=12, "Bien", E295&gt;=10, "Passable", E295&lt;10, "Insuffisant")</f>
        <v>Très bien</v>
      </c>
      <c r="I295" s="14" t="str">
        <f t="shared" si="12"/>
        <v>RAS</v>
      </c>
      <c r="J295" s="14" t="str">
        <f t="shared" si="13"/>
        <v>Autre filière</v>
      </c>
      <c r="K295" s="15"/>
      <c r="L295" s="16"/>
    </row>
    <row r="296" spans="1:12">
      <c r="A296" t="s">
        <v>815</v>
      </c>
      <c r="B296" t="s">
        <v>581</v>
      </c>
      <c r="C296" t="s">
        <v>48</v>
      </c>
      <c r="D296">
        <v>13.92</v>
      </c>
      <c r="E296">
        <v>16.93</v>
      </c>
      <c r="F296" s="11">
        <v>0.82799999999999996</v>
      </c>
      <c r="G296" t="str">
        <f t="shared" si="14"/>
        <v>Admis</v>
      </c>
      <c r="H296" t="str" cm="1">
        <f t="array" ref="H296">_xlfn.IFS(E296&gt;=16, "Excellent",E296&gt;=14, "Très bien", E296&gt;=12, "Bien", E296&gt;=10, "Passable", E296&lt;10, "Insuffisant")</f>
        <v>Excellent</v>
      </c>
      <c r="I296" s="14" t="str">
        <f t="shared" si="12"/>
        <v>RAS</v>
      </c>
      <c r="J296" s="14" t="str">
        <f t="shared" si="13"/>
        <v>Autre filière</v>
      </c>
      <c r="K296" s="15"/>
      <c r="L296" s="16"/>
    </row>
    <row r="297" spans="1:12">
      <c r="A297" t="s">
        <v>563</v>
      </c>
      <c r="B297" t="s">
        <v>564</v>
      </c>
      <c r="C297" t="s">
        <v>27</v>
      </c>
      <c r="D297">
        <v>15.32</v>
      </c>
      <c r="E297">
        <v>13.33</v>
      </c>
      <c r="F297" s="11">
        <v>0.80220000000000002</v>
      </c>
      <c r="G297" t="str">
        <f t="shared" si="14"/>
        <v>Admis</v>
      </c>
      <c r="H297" t="str" cm="1">
        <f t="array" ref="H297">_xlfn.IFS(E297&gt;=16, "Excellent",E297&gt;=14, "Très bien", E297&gt;=12, "Bien", E297&gt;=10, "Passable", E297&lt;10, "Insuffisant")</f>
        <v>Bien</v>
      </c>
      <c r="I297" s="14" t="str">
        <f t="shared" si="12"/>
        <v>RAS</v>
      </c>
      <c r="J297" s="14" t="str">
        <f t="shared" si="13"/>
        <v>Autre filière</v>
      </c>
      <c r="K297" s="15"/>
      <c r="L297" s="16"/>
    </row>
    <row r="298" spans="1:12">
      <c r="A298" t="s">
        <v>1017</v>
      </c>
      <c r="B298" t="s">
        <v>362</v>
      </c>
      <c r="C298" t="s">
        <v>27</v>
      </c>
      <c r="D298">
        <v>11.07</v>
      </c>
      <c r="E298">
        <v>13.4</v>
      </c>
      <c r="F298" s="11">
        <v>0.79579999999999995</v>
      </c>
      <c r="G298" t="str">
        <f t="shared" si="14"/>
        <v>Admis sous condition</v>
      </c>
      <c r="H298" t="str" cm="1">
        <f t="array" ref="H298">_xlfn.IFS(E298&gt;=16, "Excellent",E298&gt;=14, "Très bien", E298&gt;=12, "Bien", E298&gt;=10, "Passable", E298&lt;10, "Insuffisant")</f>
        <v>Bien</v>
      </c>
      <c r="I298" s="14" t="str">
        <f t="shared" si="12"/>
        <v>RAS</v>
      </c>
      <c r="J298" s="14" t="str">
        <f t="shared" si="13"/>
        <v>Autre filière</v>
      </c>
      <c r="L298" s="16"/>
    </row>
    <row r="299" spans="1:12">
      <c r="A299" t="s">
        <v>345</v>
      </c>
      <c r="B299" t="s">
        <v>346</v>
      </c>
      <c r="C299" t="s">
        <v>22</v>
      </c>
      <c r="D299">
        <v>13.67</v>
      </c>
      <c r="E299">
        <v>11.91</v>
      </c>
      <c r="F299" s="11">
        <v>0.74060000000000004</v>
      </c>
      <c r="G299" t="str">
        <f t="shared" si="14"/>
        <v>Admis sous condition</v>
      </c>
      <c r="H299" t="str" cm="1">
        <f t="array" ref="H299">_xlfn.IFS(E299&gt;=16, "Excellent",E299&gt;=14, "Très bien", E299&gt;=12, "Bien", E299&gt;=10, "Passable", E299&lt;10, "Insuffisant")</f>
        <v>Passable</v>
      </c>
      <c r="I299" s="14" t="str">
        <f t="shared" si="12"/>
        <v>RAS</v>
      </c>
      <c r="J299" s="14" t="str">
        <f t="shared" si="13"/>
        <v>Data</v>
      </c>
      <c r="L299" s="16"/>
    </row>
    <row r="300" spans="1:12">
      <c r="A300" t="s">
        <v>1266</v>
      </c>
      <c r="B300" t="s">
        <v>291</v>
      </c>
      <c r="C300" t="s">
        <v>48</v>
      </c>
      <c r="D300">
        <v>14.97</v>
      </c>
      <c r="E300">
        <v>10.65</v>
      </c>
      <c r="F300" s="11">
        <v>0.81569999999999998</v>
      </c>
      <c r="G300" t="str">
        <f t="shared" si="14"/>
        <v>Admis sous condition</v>
      </c>
      <c r="H300" t="str" cm="1">
        <f t="array" ref="H300">_xlfn.IFS(E300&gt;=16, "Excellent",E300&gt;=14, "Très bien", E300&gt;=12, "Bien", E300&gt;=10, "Passable", E300&lt;10, "Insuffisant")</f>
        <v>Passable</v>
      </c>
      <c r="I300" s="14" t="str">
        <f t="shared" si="12"/>
        <v>RAS</v>
      </c>
      <c r="J300" s="14" t="str">
        <f t="shared" si="13"/>
        <v>Autre filière</v>
      </c>
      <c r="K300" s="15"/>
      <c r="L300" s="16"/>
    </row>
    <row r="301" spans="1:12">
      <c r="A301" t="s">
        <v>859</v>
      </c>
      <c r="B301" t="s">
        <v>256</v>
      </c>
      <c r="C301" t="s">
        <v>22</v>
      </c>
      <c r="D301">
        <v>13.5</v>
      </c>
      <c r="E301">
        <v>12.75</v>
      </c>
      <c r="F301" s="11">
        <v>0.91290000000000004</v>
      </c>
      <c r="G301" t="str">
        <f t="shared" si="14"/>
        <v>Admis</v>
      </c>
      <c r="H301" t="str" cm="1">
        <f t="array" ref="H301">_xlfn.IFS(E301&gt;=16, "Excellent",E301&gt;=14, "Très bien", E301&gt;=12, "Bien", E301&gt;=10, "Passable", E301&lt;10, "Insuffisant")</f>
        <v>Bien</v>
      </c>
      <c r="I301" s="14" t="str">
        <f t="shared" si="12"/>
        <v>RAS</v>
      </c>
      <c r="J301" s="14" t="str">
        <f t="shared" si="13"/>
        <v>Data</v>
      </c>
      <c r="L301" s="16"/>
    </row>
    <row r="302" spans="1:12">
      <c r="A302" t="s">
        <v>395</v>
      </c>
      <c r="B302" t="s">
        <v>81</v>
      </c>
      <c r="C302" t="s">
        <v>35</v>
      </c>
      <c r="D302">
        <v>13.58</v>
      </c>
      <c r="E302">
        <v>17.71</v>
      </c>
      <c r="F302" s="11">
        <v>0.89070000000000005</v>
      </c>
      <c r="G302" t="str">
        <f t="shared" si="14"/>
        <v>Admis</v>
      </c>
      <c r="H302" t="str" cm="1">
        <f t="array" ref="H302">_xlfn.IFS(E302&gt;=16, "Excellent",E302&gt;=14, "Très bien", E302&gt;=12, "Bien", E302&gt;=10, "Passable", E302&lt;10, "Insuffisant")</f>
        <v>Excellent</v>
      </c>
      <c r="I302" s="14" t="str">
        <f t="shared" si="12"/>
        <v>RAS</v>
      </c>
      <c r="J302" s="14" t="str">
        <f t="shared" si="13"/>
        <v>Autre filière</v>
      </c>
      <c r="K302" s="15"/>
      <c r="L302" s="16"/>
    </row>
    <row r="303" spans="1:12">
      <c r="A303" t="s">
        <v>1281</v>
      </c>
      <c r="B303" t="s">
        <v>1282</v>
      </c>
      <c r="C303" t="s">
        <v>22</v>
      </c>
      <c r="D303">
        <v>16.100000000000001</v>
      </c>
      <c r="E303">
        <v>17.36</v>
      </c>
      <c r="F303" s="11">
        <v>0.97350000000000003</v>
      </c>
      <c r="G303" t="str">
        <f t="shared" si="14"/>
        <v>Admis</v>
      </c>
      <c r="H303" t="str" cm="1">
        <f t="array" ref="H303">_xlfn.IFS(E303&gt;=16, "Excellent",E303&gt;=14, "Très bien", E303&gt;=12, "Bien", E303&gt;=10, "Passable", E303&lt;10, "Insuffisant")</f>
        <v>Excellent</v>
      </c>
      <c r="I303" s="14" t="str">
        <f t="shared" si="12"/>
        <v>RAS</v>
      </c>
      <c r="J303" s="14" t="str">
        <f t="shared" si="13"/>
        <v>Data</v>
      </c>
      <c r="L303" s="16"/>
    </row>
    <row r="304" spans="1:12">
      <c r="A304" t="s">
        <v>1076</v>
      </c>
      <c r="B304" t="s">
        <v>541</v>
      </c>
      <c r="C304" t="s">
        <v>27</v>
      </c>
      <c r="D304">
        <v>16.77</v>
      </c>
      <c r="E304">
        <v>13.01</v>
      </c>
      <c r="F304" s="11">
        <v>0.89139999999999997</v>
      </c>
      <c r="G304" t="str">
        <f t="shared" si="14"/>
        <v>Admis</v>
      </c>
      <c r="H304" t="str" cm="1">
        <f t="array" ref="H304">_xlfn.IFS(E304&gt;=16, "Excellent",E304&gt;=14, "Très bien", E304&gt;=12, "Bien", E304&gt;=10, "Passable", E304&lt;10, "Insuffisant")</f>
        <v>Bien</v>
      </c>
      <c r="I304" s="14" t="str">
        <f t="shared" si="12"/>
        <v>RAS</v>
      </c>
      <c r="J304" s="14" t="str">
        <f t="shared" si="13"/>
        <v>Autre filière</v>
      </c>
      <c r="K304" s="15"/>
      <c r="L304" s="16"/>
    </row>
    <row r="305" spans="1:12">
      <c r="A305" t="s">
        <v>316</v>
      </c>
      <c r="B305" t="s">
        <v>317</v>
      </c>
      <c r="C305" t="s">
        <v>27</v>
      </c>
      <c r="D305">
        <v>14.71</v>
      </c>
      <c r="E305">
        <v>8.17</v>
      </c>
      <c r="F305" s="11">
        <v>0.74680000000000002</v>
      </c>
      <c r="G305" t="str">
        <f t="shared" si="14"/>
        <v>Refusé</v>
      </c>
      <c r="H305" t="str" cm="1">
        <f t="array" ref="H305">_xlfn.IFS(E305&gt;=16, "Excellent",E305&gt;=14, "Très bien", E305&gt;=12, "Bien", E305&gt;=10, "Passable", E305&lt;10, "Insuffisant")</f>
        <v>Insuffisant</v>
      </c>
      <c r="I305" s="14" t="str">
        <f t="shared" si="12"/>
        <v>A surveiller</v>
      </c>
      <c r="J305" s="14" t="str">
        <f t="shared" si="13"/>
        <v>Autre filière</v>
      </c>
      <c r="L305" s="16"/>
    </row>
    <row r="306" spans="1:12">
      <c r="A306" t="s">
        <v>1196</v>
      </c>
      <c r="B306" t="s">
        <v>204</v>
      </c>
      <c r="C306" t="s">
        <v>22</v>
      </c>
      <c r="D306">
        <v>6.95</v>
      </c>
      <c r="E306">
        <v>8.14</v>
      </c>
      <c r="F306" s="11">
        <v>0.88529999999999998</v>
      </c>
      <c r="G306" t="str">
        <f t="shared" si="14"/>
        <v>Refusé</v>
      </c>
      <c r="H306" t="str" cm="1">
        <f t="array" ref="H306">_xlfn.IFS(E306&gt;=16, "Excellent",E306&gt;=14, "Très bien", E306&gt;=12, "Bien", E306&gt;=10, "Passable", E306&lt;10, "Insuffisant")</f>
        <v>Insuffisant</v>
      </c>
      <c r="I306" s="14" t="str">
        <f t="shared" si="12"/>
        <v>A surveiller</v>
      </c>
      <c r="J306" s="14" t="str">
        <f t="shared" si="13"/>
        <v>Data</v>
      </c>
      <c r="K306" s="15"/>
      <c r="L306" s="16"/>
    </row>
    <row r="307" spans="1:12">
      <c r="A307" t="s">
        <v>356</v>
      </c>
      <c r="B307" t="s">
        <v>357</v>
      </c>
      <c r="C307" t="s">
        <v>48</v>
      </c>
      <c r="D307">
        <v>17.04</v>
      </c>
      <c r="E307">
        <v>16.88</v>
      </c>
      <c r="F307" s="11">
        <v>0.90059999999999996</v>
      </c>
      <c r="G307" t="str">
        <f t="shared" si="14"/>
        <v>Admis</v>
      </c>
      <c r="H307" t="str" cm="1">
        <f t="array" ref="H307">_xlfn.IFS(E307&gt;=16, "Excellent",E307&gt;=14, "Très bien", E307&gt;=12, "Bien", E307&gt;=10, "Passable", E307&lt;10, "Insuffisant")</f>
        <v>Excellent</v>
      </c>
      <c r="I307" s="14" t="str">
        <f t="shared" si="12"/>
        <v>RAS</v>
      </c>
      <c r="J307" s="14" t="str">
        <f t="shared" si="13"/>
        <v>Autre filière</v>
      </c>
      <c r="L307" s="16"/>
    </row>
    <row r="308" spans="1:12">
      <c r="A308" t="s">
        <v>764</v>
      </c>
      <c r="B308" t="s">
        <v>607</v>
      </c>
      <c r="C308" t="s">
        <v>22</v>
      </c>
      <c r="D308">
        <v>12.08</v>
      </c>
      <c r="E308">
        <v>10.51</v>
      </c>
      <c r="F308" s="11">
        <v>0.75880000000000003</v>
      </c>
      <c r="G308" t="str">
        <f t="shared" si="14"/>
        <v>Admis sous condition</v>
      </c>
      <c r="H308" t="str" cm="1">
        <f t="array" ref="H308">_xlfn.IFS(E308&gt;=16, "Excellent",E308&gt;=14, "Très bien", E308&gt;=12, "Bien", E308&gt;=10, "Passable", E308&lt;10, "Insuffisant")</f>
        <v>Passable</v>
      </c>
      <c r="I308" s="14" t="str">
        <f t="shared" si="12"/>
        <v>RAS</v>
      </c>
      <c r="J308" s="14" t="str">
        <f t="shared" si="13"/>
        <v>Data</v>
      </c>
      <c r="L308" s="16"/>
    </row>
    <row r="309" spans="1:12">
      <c r="A309" t="s">
        <v>1194</v>
      </c>
      <c r="B309" t="s">
        <v>667</v>
      </c>
      <c r="C309" t="s">
        <v>48</v>
      </c>
      <c r="D309">
        <v>16.28</v>
      </c>
      <c r="E309">
        <v>19.170000000000002</v>
      </c>
      <c r="F309" s="11">
        <v>0.71740000000000004</v>
      </c>
      <c r="G309" t="str">
        <f t="shared" si="14"/>
        <v>Admis sous condition</v>
      </c>
      <c r="H309" t="str" cm="1">
        <f t="array" ref="H309">_xlfn.IFS(E309&gt;=16, "Excellent",E309&gt;=14, "Très bien", E309&gt;=12, "Bien", E309&gt;=10, "Passable", E309&lt;10, "Insuffisant")</f>
        <v>Excellent</v>
      </c>
      <c r="I309" s="14" t="str">
        <f t="shared" si="12"/>
        <v>RAS</v>
      </c>
      <c r="J309" s="14" t="str">
        <f t="shared" si="13"/>
        <v>Autre filière</v>
      </c>
      <c r="L309" s="16"/>
    </row>
    <row r="310" spans="1:12">
      <c r="A310" t="s">
        <v>736</v>
      </c>
      <c r="B310" t="s">
        <v>737</v>
      </c>
      <c r="C310" t="s">
        <v>48</v>
      </c>
      <c r="D310">
        <v>14.09</v>
      </c>
      <c r="E310">
        <v>13.72</v>
      </c>
      <c r="F310" s="11">
        <v>0.67410000000000003</v>
      </c>
      <c r="G310" t="str">
        <f t="shared" si="14"/>
        <v>Admis sous condition</v>
      </c>
      <c r="H310" t="str" cm="1">
        <f t="array" ref="H310">_xlfn.IFS(E310&gt;=16, "Excellent",E310&gt;=14, "Très bien", E310&gt;=12, "Bien", E310&gt;=10, "Passable", E310&lt;10, "Insuffisant")</f>
        <v>Bien</v>
      </c>
      <c r="I310" s="14" t="str">
        <f t="shared" si="12"/>
        <v>A surveiller</v>
      </c>
      <c r="J310" s="14" t="str">
        <f t="shared" si="13"/>
        <v>Autre filière</v>
      </c>
      <c r="L310" s="16"/>
    </row>
    <row r="311" spans="1:12">
      <c r="A311" t="s">
        <v>341</v>
      </c>
      <c r="B311" t="s">
        <v>342</v>
      </c>
      <c r="C311" t="s">
        <v>35</v>
      </c>
      <c r="D311">
        <v>16.39</v>
      </c>
      <c r="E311">
        <v>17.829999999999998</v>
      </c>
      <c r="F311" s="11">
        <v>0.77470000000000006</v>
      </c>
      <c r="G311" t="str">
        <f t="shared" si="14"/>
        <v>Admis sous condition</v>
      </c>
      <c r="H311" t="str" cm="1">
        <f t="array" ref="H311">_xlfn.IFS(E311&gt;=16, "Excellent",E311&gt;=14, "Très bien", E311&gt;=12, "Bien", E311&gt;=10, "Passable", E311&lt;10, "Insuffisant")</f>
        <v>Excellent</v>
      </c>
      <c r="I311" s="14" t="str">
        <f t="shared" si="12"/>
        <v>RAS</v>
      </c>
      <c r="J311" s="14" t="str">
        <f t="shared" si="13"/>
        <v>Autre filière</v>
      </c>
      <c r="L311" s="16"/>
    </row>
    <row r="312" spans="1:12">
      <c r="A312" t="s">
        <v>217</v>
      </c>
      <c r="B312" t="s">
        <v>218</v>
      </c>
      <c r="C312" t="s">
        <v>22</v>
      </c>
      <c r="D312">
        <v>15.2</v>
      </c>
      <c r="E312">
        <v>14.76</v>
      </c>
      <c r="F312" s="11">
        <v>0.80259999999999998</v>
      </c>
      <c r="G312" t="str">
        <f t="shared" si="14"/>
        <v>Admis</v>
      </c>
      <c r="H312" t="str" cm="1">
        <f t="array" ref="H312">_xlfn.IFS(E312&gt;=16, "Excellent",E312&gt;=14, "Très bien", E312&gt;=12, "Bien", E312&gt;=10, "Passable", E312&lt;10, "Insuffisant")</f>
        <v>Très bien</v>
      </c>
      <c r="I312" s="14" t="str">
        <f t="shared" si="12"/>
        <v>RAS</v>
      </c>
      <c r="J312" s="14" t="str">
        <f t="shared" si="13"/>
        <v>Data</v>
      </c>
      <c r="K312" s="15"/>
      <c r="L312" s="16"/>
    </row>
    <row r="313" spans="1:12">
      <c r="A313" t="s">
        <v>717</v>
      </c>
      <c r="B313" t="s">
        <v>718</v>
      </c>
      <c r="C313" t="s">
        <v>48</v>
      </c>
      <c r="D313">
        <v>11.02</v>
      </c>
      <c r="E313">
        <v>12.6</v>
      </c>
      <c r="F313" s="11">
        <v>0.89570000000000005</v>
      </c>
      <c r="G313" t="str">
        <f t="shared" si="14"/>
        <v>Admis sous condition</v>
      </c>
      <c r="H313" t="str" cm="1">
        <f t="array" ref="H313">_xlfn.IFS(E313&gt;=16, "Excellent",E313&gt;=14, "Très bien", E313&gt;=12, "Bien", E313&gt;=10, "Passable", E313&lt;10, "Insuffisant")</f>
        <v>Bien</v>
      </c>
      <c r="I313" s="14" t="str">
        <f t="shared" si="12"/>
        <v>RAS</v>
      </c>
      <c r="J313" s="14" t="str">
        <f t="shared" si="13"/>
        <v>Autre filière</v>
      </c>
      <c r="K313" s="15"/>
      <c r="L313" s="16"/>
    </row>
    <row r="314" spans="1:12">
      <c r="A314" t="s">
        <v>981</v>
      </c>
      <c r="B314" t="s">
        <v>420</v>
      </c>
      <c r="C314" t="s">
        <v>27</v>
      </c>
      <c r="D314">
        <v>14.57</v>
      </c>
      <c r="E314">
        <v>15.51</v>
      </c>
      <c r="F314" s="11">
        <v>0.80459999999999998</v>
      </c>
      <c r="G314" t="str">
        <f t="shared" si="14"/>
        <v>Admis</v>
      </c>
      <c r="H314" t="str" cm="1">
        <f t="array" ref="H314">_xlfn.IFS(E314&gt;=16, "Excellent",E314&gt;=14, "Très bien", E314&gt;=12, "Bien", E314&gt;=10, "Passable", E314&lt;10, "Insuffisant")</f>
        <v>Très bien</v>
      </c>
      <c r="I314" s="14" t="str">
        <f t="shared" si="12"/>
        <v>RAS</v>
      </c>
      <c r="J314" s="14" t="str">
        <f t="shared" si="13"/>
        <v>Autre filière</v>
      </c>
      <c r="K314" s="15"/>
      <c r="L314" s="16"/>
    </row>
    <row r="315" spans="1:12">
      <c r="A315" t="s">
        <v>1214</v>
      </c>
      <c r="B315" t="s">
        <v>833</v>
      </c>
      <c r="C315" t="s">
        <v>27</v>
      </c>
      <c r="D315">
        <v>15.32</v>
      </c>
      <c r="E315">
        <v>15.28</v>
      </c>
      <c r="F315" s="11">
        <v>0.61939999999999995</v>
      </c>
      <c r="G315" t="str">
        <f t="shared" si="14"/>
        <v>Admis sous condition</v>
      </c>
      <c r="H315" t="str" cm="1">
        <f t="array" ref="H315">_xlfn.IFS(E315&gt;=16, "Excellent",E315&gt;=14, "Très bien", E315&gt;=12, "Bien", E315&gt;=10, "Passable", E315&lt;10, "Insuffisant")</f>
        <v>Très bien</v>
      </c>
      <c r="I315" s="14" t="str">
        <f t="shared" si="12"/>
        <v>A surveiller</v>
      </c>
      <c r="J315" s="14" t="str">
        <f t="shared" si="13"/>
        <v>Autre filière</v>
      </c>
      <c r="L315" s="16"/>
    </row>
    <row r="316" spans="1:12">
      <c r="A316" t="s">
        <v>582</v>
      </c>
      <c r="B316" t="s">
        <v>243</v>
      </c>
      <c r="C316" t="s">
        <v>48</v>
      </c>
      <c r="D316">
        <v>11.5</v>
      </c>
      <c r="E316">
        <v>12.02</v>
      </c>
      <c r="F316" s="11">
        <v>0.67269999999999996</v>
      </c>
      <c r="G316" t="str">
        <f t="shared" si="14"/>
        <v>Admis sous condition</v>
      </c>
      <c r="H316" t="str" cm="1">
        <f t="array" ref="H316">_xlfn.IFS(E316&gt;=16, "Excellent",E316&gt;=14, "Très bien", E316&gt;=12, "Bien", E316&gt;=10, "Passable", E316&lt;10, "Insuffisant")</f>
        <v>Bien</v>
      </c>
      <c r="I316" s="14" t="str">
        <f t="shared" si="12"/>
        <v>A surveiller</v>
      </c>
      <c r="J316" s="14" t="str">
        <f t="shared" si="13"/>
        <v>Autre filière</v>
      </c>
      <c r="L316" s="16"/>
    </row>
    <row r="317" spans="1:12">
      <c r="A317" t="s">
        <v>30</v>
      </c>
      <c r="B317" t="s">
        <v>31</v>
      </c>
      <c r="C317" t="s">
        <v>27</v>
      </c>
      <c r="D317">
        <v>14.17</v>
      </c>
      <c r="E317">
        <v>10.26</v>
      </c>
      <c r="F317" s="11">
        <v>0.76400000000000001</v>
      </c>
      <c r="G317" t="str">
        <f t="shared" si="14"/>
        <v>Admis sous condition</v>
      </c>
      <c r="H317" t="str" cm="1">
        <f t="array" ref="H317">_xlfn.IFS(E317&gt;=16, "Excellent",E317&gt;=14, "Très bien", E317&gt;=12, "Bien", E317&gt;=10, "Passable", E317&lt;10, "Insuffisant")</f>
        <v>Passable</v>
      </c>
      <c r="I317" s="14" t="str">
        <f t="shared" si="12"/>
        <v>RAS</v>
      </c>
      <c r="J317" s="14" t="str">
        <f t="shared" si="13"/>
        <v>Autre filière</v>
      </c>
      <c r="L317" s="16"/>
    </row>
    <row r="318" spans="1:12">
      <c r="A318" t="s">
        <v>652</v>
      </c>
      <c r="B318" t="s">
        <v>653</v>
      </c>
      <c r="C318" t="s">
        <v>27</v>
      </c>
      <c r="D318">
        <v>16</v>
      </c>
      <c r="E318">
        <v>20</v>
      </c>
      <c r="F318" s="11">
        <v>0.89339999999999997</v>
      </c>
      <c r="G318" t="str">
        <f t="shared" si="14"/>
        <v>Admis</v>
      </c>
      <c r="H318" t="str" cm="1">
        <f t="array" ref="H318">_xlfn.IFS(E318&gt;=16, "Excellent",E318&gt;=14, "Très bien", E318&gt;=12, "Bien", E318&gt;=10, "Passable", E318&lt;10, "Insuffisant")</f>
        <v>Excellent</v>
      </c>
      <c r="I318" s="14" t="str">
        <f t="shared" si="12"/>
        <v>RAS</v>
      </c>
      <c r="J318" s="14" t="str">
        <f t="shared" si="13"/>
        <v>Autre filière</v>
      </c>
      <c r="K318" s="15"/>
      <c r="L318" s="16"/>
    </row>
    <row r="319" spans="1:12">
      <c r="A319" t="s">
        <v>756</v>
      </c>
      <c r="B319" t="s">
        <v>757</v>
      </c>
      <c r="C319" t="s">
        <v>27</v>
      </c>
      <c r="D319">
        <v>14.27</v>
      </c>
      <c r="E319">
        <v>17.690000000000001</v>
      </c>
      <c r="F319" s="11">
        <v>0.93049999999999999</v>
      </c>
      <c r="G319" t="str">
        <f t="shared" si="14"/>
        <v>Admis</v>
      </c>
      <c r="H319" t="str" cm="1">
        <f t="array" ref="H319">_xlfn.IFS(E319&gt;=16, "Excellent",E319&gt;=14, "Très bien", E319&gt;=12, "Bien", E319&gt;=10, "Passable", E319&lt;10, "Insuffisant")</f>
        <v>Excellent</v>
      </c>
      <c r="I319" s="14" t="str">
        <f t="shared" si="12"/>
        <v>RAS</v>
      </c>
      <c r="J319" s="14" t="str">
        <f t="shared" si="13"/>
        <v>Autre filière</v>
      </c>
      <c r="L319" s="16"/>
    </row>
    <row r="320" spans="1:12">
      <c r="A320" t="s">
        <v>54</v>
      </c>
      <c r="B320" t="s">
        <v>55</v>
      </c>
      <c r="C320" t="s">
        <v>22</v>
      </c>
      <c r="D320">
        <v>15.52</v>
      </c>
      <c r="E320">
        <v>14.41</v>
      </c>
      <c r="F320" s="11">
        <v>0.87109999999999999</v>
      </c>
      <c r="G320" t="str">
        <f t="shared" si="14"/>
        <v>Admis</v>
      </c>
      <c r="H320" t="str" cm="1">
        <f t="array" ref="H320">_xlfn.IFS(E320&gt;=16, "Excellent",E320&gt;=14, "Très bien", E320&gt;=12, "Bien", E320&gt;=10, "Passable", E320&lt;10, "Insuffisant")</f>
        <v>Très bien</v>
      </c>
      <c r="I320" s="14" t="str">
        <f t="shared" si="12"/>
        <v>RAS</v>
      </c>
      <c r="J320" s="14" t="str">
        <f t="shared" si="13"/>
        <v>Data</v>
      </c>
      <c r="K320" s="15"/>
      <c r="L320" s="16"/>
    </row>
    <row r="321" spans="1:12">
      <c r="A321" t="s">
        <v>1041</v>
      </c>
      <c r="B321" t="s">
        <v>805</v>
      </c>
      <c r="C321" t="s">
        <v>22</v>
      </c>
      <c r="D321">
        <v>11.75</v>
      </c>
      <c r="E321">
        <v>12.77</v>
      </c>
      <c r="F321" s="11">
        <v>0.9073</v>
      </c>
      <c r="G321" t="str">
        <f t="shared" si="14"/>
        <v>Admis sous condition</v>
      </c>
      <c r="H321" t="str" cm="1">
        <f t="array" ref="H321">_xlfn.IFS(E321&gt;=16, "Excellent",E321&gt;=14, "Très bien", E321&gt;=12, "Bien", E321&gt;=10, "Passable", E321&lt;10, "Insuffisant")</f>
        <v>Bien</v>
      </c>
      <c r="I321" s="14" t="str">
        <f t="shared" si="12"/>
        <v>RAS</v>
      </c>
      <c r="J321" s="14" t="str">
        <f t="shared" si="13"/>
        <v>Data</v>
      </c>
      <c r="L321" s="16"/>
    </row>
    <row r="322" spans="1:12">
      <c r="A322" t="s">
        <v>638</v>
      </c>
      <c r="B322" t="s">
        <v>157</v>
      </c>
      <c r="C322" t="s">
        <v>48</v>
      </c>
      <c r="D322">
        <v>15.1</v>
      </c>
      <c r="E322">
        <v>17.45</v>
      </c>
      <c r="F322" s="11">
        <v>0.73029999999999995</v>
      </c>
      <c r="G322" t="str">
        <f t="shared" si="14"/>
        <v>Admis sous condition</v>
      </c>
      <c r="H322" t="str" cm="1">
        <f t="array" ref="H322">_xlfn.IFS(E322&gt;=16, "Excellent",E322&gt;=14, "Très bien", E322&gt;=12, "Bien", E322&gt;=10, "Passable", E322&lt;10, "Insuffisant")</f>
        <v>Excellent</v>
      </c>
      <c r="I322" s="14" t="str">
        <f t="shared" si="12"/>
        <v>RAS</v>
      </c>
      <c r="J322" s="14" t="str">
        <f t="shared" si="13"/>
        <v>Autre filière</v>
      </c>
      <c r="L322" s="16"/>
    </row>
    <row r="323" spans="1:12">
      <c r="A323" t="s">
        <v>1265</v>
      </c>
      <c r="B323" t="s">
        <v>781</v>
      </c>
      <c r="C323" t="s">
        <v>22</v>
      </c>
      <c r="D323">
        <v>11.8</v>
      </c>
      <c r="E323">
        <v>16.59</v>
      </c>
      <c r="F323" s="11">
        <v>0.55000000000000004</v>
      </c>
      <c r="G323" t="str">
        <f t="shared" si="14"/>
        <v>Admis sous condition</v>
      </c>
      <c r="H323" t="str" cm="1">
        <f t="array" ref="H323">_xlfn.IFS(E323&gt;=16, "Excellent",E323&gt;=14, "Très bien", E323&gt;=12, "Bien", E323&gt;=10, "Passable", E323&lt;10, "Insuffisant")</f>
        <v>Excellent</v>
      </c>
      <c r="I323" s="14" t="str">
        <f t="shared" ref="I323:I386" si="15">IF(OR(D323&lt;10,E323&lt;10,F323&lt;70%), "A surveiller", "RAS")</f>
        <v>A surveiller</v>
      </c>
      <c r="J323" s="14" t="str">
        <f t="shared" ref="J323:J386" si="16">IF(NOT(C323="Data"), "Autre filière", "Data")</f>
        <v>Data</v>
      </c>
      <c r="L323" s="16"/>
    </row>
    <row r="324" spans="1:12">
      <c r="A324" t="s">
        <v>873</v>
      </c>
      <c r="B324" t="s">
        <v>109</v>
      </c>
      <c r="C324" t="s">
        <v>48</v>
      </c>
      <c r="D324">
        <v>16.13</v>
      </c>
      <c r="E324">
        <v>15.54</v>
      </c>
      <c r="F324" s="11">
        <v>0.84619999999999995</v>
      </c>
      <c r="G324" t="str">
        <f t="shared" si="14"/>
        <v>Admis</v>
      </c>
      <c r="H324" t="str" cm="1">
        <f t="array" ref="H324">_xlfn.IFS(E324&gt;=16, "Excellent",E324&gt;=14, "Très bien", E324&gt;=12, "Bien", E324&gt;=10, "Passable", E324&lt;10, "Insuffisant")</f>
        <v>Très bien</v>
      </c>
      <c r="I324" s="14" t="str">
        <f t="shared" si="15"/>
        <v>RAS</v>
      </c>
      <c r="J324" s="14" t="str">
        <f t="shared" si="16"/>
        <v>Autre filière</v>
      </c>
      <c r="K324" s="15"/>
      <c r="L324" s="16"/>
    </row>
    <row r="325" spans="1:12">
      <c r="A325" t="s">
        <v>1230</v>
      </c>
      <c r="B325" t="s">
        <v>100</v>
      </c>
      <c r="C325" t="s">
        <v>48</v>
      </c>
      <c r="D325">
        <v>15.22</v>
      </c>
      <c r="E325">
        <v>14.44</v>
      </c>
      <c r="F325" s="11">
        <v>0.92100000000000004</v>
      </c>
      <c r="G325" t="str">
        <f t="shared" si="14"/>
        <v>Admis</v>
      </c>
      <c r="H325" t="str" cm="1">
        <f t="array" ref="H325">_xlfn.IFS(E325&gt;=16, "Excellent",E325&gt;=14, "Très bien", E325&gt;=12, "Bien", E325&gt;=10, "Passable", E325&lt;10, "Insuffisant")</f>
        <v>Très bien</v>
      </c>
      <c r="I325" s="14" t="str">
        <f t="shared" si="15"/>
        <v>RAS</v>
      </c>
      <c r="J325" s="14" t="str">
        <f t="shared" si="16"/>
        <v>Autre filière</v>
      </c>
      <c r="L325" s="16"/>
    </row>
    <row r="326" spans="1:12">
      <c r="A326" t="s">
        <v>107</v>
      </c>
      <c r="B326" t="s">
        <v>77</v>
      </c>
      <c r="C326" t="s">
        <v>22</v>
      </c>
      <c r="D326">
        <v>13.55</v>
      </c>
      <c r="E326">
        <v>18.309999999999999</v>
      </c>
      <c r="F326" s="11">
        <v>0.95599999999999996</v>
      </c>
      <c r="G326" t="str">
        <f t="shared" si="14"/>
        <v>Admis</v>
      </c>
      <c r="H326" t="str" cm="1">
        <f t="array" ref="H326">_xlfn.IFS(E326&gt;=16, "Excellent",E326&gt;=14, "Très bien", E326&gt;=12, "Bien", E326&gt;=10, "Passable", E326&lt;10, "Insuffisant")</f>
        <v>Excellent</v>
      </c>
      <c r="I326" s="14" t="str">
        <f t="shared" si="15"/>
        <v>RAS</v>
      </c>
      <c r="J326" s="14" t="str">
        <f t="shared" si="16"/>
        <v>Data</v>
      </c>
      <c r="L326" s="16"/>
    </row>
    <row r="327" spans="1:12">
      <c r="A327" t="s">
        <v>954</v>
      </c>
      <c r="B327" t="s">
        <v>148</v>
      </c>
      <c r="C327" t="s">
        <v>27</v>
      </c>
      <c r="D327">
        <v>15.46</v>
      </c>
      <c r="E327">
        <v>14.23</v>
      </c>
      <c r="F327" s="11">
        <v>0.55000000000000004</v>
      </c>
      <c r="G327" t="str">
        <f t="shared" si="14"/>
        <v>Admis sous condition</v>
      </c>
      <c r="H327" t="str" cm="1">
        <f t="array" ref="H327">_xlfn.IFS(E327&gt;=16, "Excellent",E327&gt;=14, "Très bien", E327&gt;=12, "Bien", E327&gt;=10, "Passable", E327&lt;10, "Insuffisant")</f>
        <v>Très bien</v>
      </c>
      <c r="I327" s="14" t="str">
        <f t="shared" si="15"/>
        <v>A surveiller</v>
      </c>
      <c r="J327" s="14" t="str">
        <f t="shared" si="16"/>
        <v>Autre filière</v>
      </c>
      <c r="L327" s="16"/>
    </row>
    <row r="328" spans="1:12">
      <c r="A328" t="s">
        <v>1303</v>
      </c>
      <c r="B328" t="s">
        <v>469</v>
      </c>
      <c r="C328" t="s">
        <v>48</v>
      </c>
      <c r="D328">
        <v>17.61</v>
      </c>
      <c r="E328">
        <v>18.11</v>
      </c>
      <c r="F328" s="11">
        <v>0.80110000000000003</v>
      </c>
      <c r="G328" t="str">
        <f t="shared" si="14"/>
        <v>Admis</v>
      </c>
      <c r="H328" t="str" cm="1">
        <f t="array" ref="H328">_xlfn.IFS(E328&gt;=16, "Excellent",E328&gt;=14, "Très bien", E328&gt;=12, "Bien", E328&gt;=10, "Passable", E328&lt;10, "Insuffisant")</f>
        <v>Excellent</v>
      </c>
      <c r="I328" s="14" t="str">
        <f t="shared" si="15"/>
        <v>RAS</v>
      </c>
      <c r="J328" s="14" t="str">
        <f t="shared" si="16"/>
        <v>Autre filière</v>
      </c>
      <c r="K328" s="15"/>
      <c r="L328" s="16"/>
    </row>
    <row r="329" spans="1:12">
      <c r="A329" t="s">
        <v>484</v>
      </c>
      <c r="B329" t="s">
        <v>485</v>
      </c>
      <c r="C329" t="s">
        <v>22</v>
      </c>
      <c r="D329">
        <v>14.87</v>
      </c>
      <c r="E329">
        <v>16.79</v>
      </c>
      <c r="F329" s="11">
        <v>0.62019999999999997</v>
      </c>
      <c r="G329" t="str">
        <f t="shared" si="14"/>
        <v>Admis sous condition</v>
      </c>
      <c r="H329" t="str" cm="1">
        <f t="array" ref="H329">_xlfn.IFS(E329&gt;=16, "Excellent",E329&gt;=14, "Très bien", E329&gt;=12, "Bien", E329&gt;=10, "Passable", E329&lt;10, "Insuffisant")</f>
        <v>Excellent</v>
      </c>
      <c r="I329" s="14" t="str">
        <f t="shared" si="15"/>
        <v>A surveiller</v>
      </c>
      <c r="J329" s="14" t="str">
        <f t="shared" si="16"/>
        <v>Data</v>
      </c>
      <c r="L329" s="16"/>
    </row>
    <row r="330" spans="1:12">
      <c r="A330" t="s">
        <v>1279</v>
      </c>
      <c r="B330" t="s">
        <v>354</v>
      </c>
      <c r="C330" t="s">
        <v>35</v>
      </c>
      <c r="D330">
        <v>15.24</v>
      </c>
      <c r="E330">
        <v>16.3</v>
      </c>
      <c r="F330" s="11">
        <v>0.79479999999999995</v>
      </c>
      <c r="G330" t="str">
        <f t="shared" si="14"/>
        <v>Admis sous condition</v>
      </c>
      <c r="H330" t="str" cm="1">
        <f t="array" ref="H330">_xlfn.IFS(E330&gt;=16, "Excellent",E330&gt;=14, "Très bien", E330&gt;=12, "Bien", E330&gt;=10, "Passable", E330&lt;10, "Insuffisant")</f>
        <v>Excellent</v>
      </c>
      <c r="I330" s="14" t="str">
        <f t="shared" si="15"/>
        <v>RAS</v>
      </c>
      <c r="J330" s="14" t="str">
        <f t="shared" si="16"/>
        <v>Autre filière</v>
      </c>
      <c r="L330" s="16"/>
    </row>
    <row r="331" spans="1:12">
      <c r="A331" t="s">
        <v>1172</v>
      </c>
      <c r="B331" t="s">
        <v>111</v>
      </c>
      <c r="C331" t="s">
        <v>48</v>
      </c>
      <c r="D331">
        <v>16.850000000000001</v>
      </c>
      <c r="E331">
        <v>15.73</v>
      </c>
      <c r="F331" s="11">
        <v>0.77559999999999996</v>
      </c>
      <c r="G331" t="str">
        <f t="shared" si="14"/>
        <v>Admis sous condition</v>
      </c>
      <c r="H331" t="str" cm="1">
        <f t="array" ref="H331">_xlfn.IFS(E331&gt;=16, "Excellent",E331&gt;=14, "Très bien", E331&gt;=12, "Bien", E331&gt;=10, "Passable", E331&lt;10, "Insuffisant")</f>
        <v>Très bien</v>
      </c>
      <c r="I331" s="14" t="str">
        <f t="shared" si="15"/>
        <v>RAS</v>
      </c>
      <c r="J331" s="14" t="str">
        <f t="shared" si="16"/>
        <v>Autre filière</v>
      </c>
      <c r="L331" s="16"/>
    </row>
    <row r="332" spans="1:12">
      <c r="A332" t="s">
        <v>245</v>
      </c>
      <c r="B332" t="s">
        <v>246</v>
      </c>
      <c r="C332" t="s">
        <v>22</v>
      </c>
      <c r="D332">
        <v>18.510000000000002</v>
      </c>
      <c r="E332">
        <v>13.21</v>
      </c>
      <c r="F332" s="11">
        <v>0.66739999999999999</v>
      </c>
      <c r="G332" t="str">
        <f t="shared" si="14"/>
        <v>Admis sous condition</v>
      </c>
      <c r="H332" t="str" cm="1">
        <f t="array" ref="H332">_xlfn.IFS(E332&gt;=16, "Excellent",E332&gt;=14, "Très bien", E332&gt;=12, "Bien", E332&gt;=10, "Passable", E332&lt;10, "Insuffisant")</f>
        <v>Bien</v>
      </c>
      <c r="I332" s="14" t="str">
        <f t="shared" si="15"/>
        <v>A surveiller</v>
      </c>
      <c r="J332" s="14" t="str">
        <f t="shared" si="16"/>
        <v>Data</v>
      </c>
      <c r="L332" s="16"/>
    </row>
    <row r="333" spans="1:12">
      <c r="A333" t="s">
        <v>95</v>
      </c>
      <c r="B333" t="s">
        <v>96</v>
      </c>
      <c r="C333" t="s">
        <v>27</v>
      </c>
      <c r="D333">
        <v>12.44</v>
      </c>
      <c r="E333">
        <v>14.47</v>
      </c>
      <c r="F333" s="11">
        <v>0.85240000000000005</v>
      </c>
      <c r="G333" t="str">
        <f t="shared" ref="G333:G396" si="17">IF(AND(D333&gt;=12,E333&gt;=12,F333&gt;=80%),"Admis",IF(AND(D333&gt;=10,E333&gt;=10),"Admis sous condition","Refusé"))</f>
        <v>Admis</v>
      </c>
      <c r="H333" t="str" cm="1">
        <f t="array" ref="H333">_xlfn.IFS(E333&gt;=16, "Excellent",E333&gt;=14, "Très bien", E333&gt;=12, "Bien", E333&gt;=10, "Passable", E333&lt;10, "Insuffisant")</f>
        <v>Très bien</v>
      </c>
      <c r="I333" s="14" t="str">
        <f t="shared" si="15"/>
        <v>RAS</v>
      </c>
      <c r="J333" s="14" t="str">
        <f t="shared" si="16"/>
        <v>Autre filière</v>
      </c>
      <c r="K333" s="15"/>
      <c r="L333" s="16"/>
    </row>
    <row r="334" spans="1:12">
      <c r="A334" t="s">
        <v>294</v>
      </c>
      <c r="B334" t="s">
        <v>295</v>
      </c>
      <c r="C334" t="s">
        <v>27</v>
      </c>
      <c r="D334">
        <v>11.01</v>
      </c>
      <c r="E334">
        <v>14.44</v>
      </c>
      <c r="F334" s="11">
        <v>0.81269999999999998</v>
      </c>
      <c r="G334" t="str">
        <f t="shared" si="17"/>
        <v>Admis sous condition</v>
      </c>
      <c r="H334" t="str" cm="1">
        <f t="array" ref="H334">_xlfn.IFS(E334&gt;=16, "Excellent",E334&gt;=14, "Très bien", E334&gt;=12, "Bien", E334&gt;=10, "Passable", E334&lt;10, "Insuffisant")</f>
        <v>Très bien</v>
      </c>
      <c r="I334" s="14" t="str">
        <f t="shared" si="15"/>
        <v>RAS</v>
      </c>
      <c r="J334" s="14" t="str">
        <f t="shared" si="16"/>
        <v>Autre filière</v>
      </c>
      <c r="K334" s="15"/>
      <c r="L334" s="16"/>
    </row>
    <row r="335" spans="1:12">
      <c r="A335" t="s">
        <v>103</v>
      </c>
      <c r="B335" t="s">
        <v>104</v>
      </c>
      <c r="C335" t="s">
        <v>22</v>
      </c>
      <c r="D335">
        <v>15.67</v>
      </c>
      <c r="E335">
        <v>15.43</v>
      </c>
      <c r="F335" s="11">
        <v>0.82920000000000005</v>
      </c>
      <c r="G335" t="str">
        <f t="shared" si="17"/>
        <v>Admis</v>
      </c>
      <c r="H335" t="str" cm="1">
        <f t="array" ref="H335">_xlfn.IFS(E335&gt;=16, "Excellent",E335&gt;=14, "Très bien", E335&gt;=12, "Bien", E335&gt;=10, "Passable", E335&lt;10, "Insuffisant")</f>
        <v>Très bien</v>
      </c>
      <c r="I335" s="14" t="str">
        <f t="shared" si="15"/>
        <v>RAS</v>
      </c>
      <c r="J335" s="14" t="str">
        <f t="shared" si="16"/>
        <v>Data</v>
      </c>
      <c r="K335" s="15"/>
      <c r="L335" s="16"/>
    </row>
    <row r="336" spans="1:12">
      <c r="A336" t="s">
        <v>703</v>
      </c>
      <c r="B336" t="s">
        <v>412</v>
      </c>
      <c r="C336" t="s">
        <v>22</v>
      </c>
      <c r="D336">
        <v>12.59</v>
      </c>
      <c r="E336">
        <v>13.51</v>
      </c>
      <c r="F336" s="11">
        <v>0.76980000000000004</v>
      </c>
      <c r="G336" t="str">
        <f t="shared" si="17"/>
        <v>Admis sous condition</v>
      </c>
      <c r="H336" t="str" cm="1">
        <f t="array" ref="H336">_xlfn.IFS(E336&gt;=16, "Excellent",E336&gt;=14, "Très bien", E336&gt;=12, "Bien", E336&gt;=10, "Passable", E336&lt;10, "Insuffisant")</f>
        <v>Bien</v>
      </c>
      <c r="I336" s="14" t="str">
        <f t="shared" si="15"/>
        <v>RAS</v>
      </c>
      <c r="J336" s="14" t="str">
        <f t="shared" si="16"/>
        <v>Data</v>
      </c>
      <c r="L336" s="16"/>
    </row>
    <row r="337" spans="1:12">
      <c r="A337" t="s">
        <v>1085</v>
      </c>
      <c r="B337" t="s">
        <v>550</v>
      </c>
      <c r="C337" t="s">
        <v>48</v>
      </c>
      <c r="D337">
        <v>13.93</v>
      </c>
      <c r="E337">
        <v>10.56</v>
      </c>
      <c r="F337" s="11">
        <v>0.80189999999999995</v>
      </c>
      <c r="G337" t="str">
        <f t="shared" si="17"/>
        <v>Admis sous condition</v>
      </c>
      <c r="H337" t="str" cm="1">
        <f t="array" ref="H337">_xlfn.IFS(E337&gt;=16, "Excellent",E337&gt;=14, "Très bien", E337&gt;=12, "Bien", E337&gt;=10, "Passable", E337&lt;10, "Insuffisant")</f>
        <v>Passable</v>
      </c>
      <c r="I337" s="14" t="str">
        <f t="shared" si="15"/>
        <v>RAS</v>
      </c>
      <c r="J337" s="14" t="str">
        <f t="shared" si="16"/>
        <v>Autre filière</v>
      </c>
      <c r="K337" s="15"/>
      <c r="L337" s="16"/>
    </row>
    <row r="338" spans="1:12">
      <c r="A338" t="s">
        <v>304</v>
      </c>
      <c r="B338" t="s">
        <v>231</v>
      </c>
      <c r="C338" t="s">
        <v>27</v>
      </c>
      <c r="D338">
        <v>17.88</v>
      </c>
      <c r="E338">
        <v>15.6</v>
      </c>
      <c r="F338" s="11">
        <v>0.84219999999999995</v>
      </c>
      <c r="G338" t="str">
        <f t="shared" si="17"/>
        <v>Admis</v>
      </c>
      <c r="H338" t="str" cm="1">
        <f t="array" ref="H338">_xlfn.IFS(E338&gt;=16, "Excellent",E338&gt;=14, "Très bien", E338&gt;=12, "Bien", E338&gt;=10, "Passable", E338&lt;10, "Insuffisant")</f>
        <v>Très bien</v>
      </c>
      <c r="I338" s="14" t="str">
        <f t="shared" si="15"/>
        <v>RAS</v>
      </c>
      <c r="J338" s="14" t="str">
        <f t="shared" si="16"/>
        <v>Autre filière</v>
      </c>
      <c r="K338" s="15"/>
      <c r="L338" s="16"/>
    </row>
    <row r="339" spans="1:12">
      <c r="A339" t="s">
        <v>642</v>
      </c>
      <c r="B339" t="s">
        <v>552</v>
      </c>
      <c r="C339" t="s">
        <v>22</v>
      </c>
      <c r="D339">
        <v>20</v>
      </c>
      <c r="E339">
        <v>18.29</v>
      </c>
      <c r="F339" s="11">
        <v>0.86929999999999996</v>
      </c>
      <c r="G339" t="str">
        <f t="shared" si="17"/>
        <v>Admis</v>
      </c>
      <c r="H339" t="str" cm="1">
        <f t="array" ref="H339">_xlfn.IFS(E339&gt;=16, "Excellent",E339&gt;=14, "Très bien", E339&gt;=12, "Bien", E339&gt;=10, "Passable", E339&lt;10, "Insuffisant")</f>
        <v>Excellent</v>
      </c>
      <c r="I339" s="14" t="str">
        <f t="shared" si="15"/>
        <v>RAS</v>
      </c>
      <c r="J339" s="14" t="str">
        <f t="shared" si="16"/>
        <v>Data</v>
      </c>
      <c r="K339" s="15"/>
      <c r="L339" s="16"/>
    </row>
    <row r="340" spans="1:12">
      <c r="A340" t="s">
        <v>84</v>
      </c>
      <c r="B340" t="s">
        <v>85</v>
      </c>
      <c r="C340" t="s">
        <v>35</v>
      </c>
      <c r="D340">
        <v>8.86</v>
      </c>
      <c r="E340">
        <v>11.44</v>
      </c>
      <c r="F340" s="11">
        <v>0.81159999999999999</v>
      </c>
      <c r="G340" t="str">
        <f t="shared" si="17"/>
        <v>Refusé</v>
      </c>
      <c r="H340" t="str" cm="1">
        <f t="array" ref="H340">_xlfn.IFS(E340&gt;=16, "Excellent",E340&gt;=14, "Très bien", E340&gt;=12, "Bien", E340&gt;=10, "Passable", E340&lt;10, "Insuffisant")</f>
        <v>Passable</v>
      </c>
      <c r="I340" s="14" t="str">
        <f t="shared" si="15"/>
        <v>A surveiller</v>
      </c>
      <c r="J340" s="14" t="str">
        <f t="shared" si="16"/>
        <v>Autre filière</v>
      </c>
      <c r="K340" s="15"/>
      <c r="L340" s="16"/>
    </row>
    <row r="341" spans="1:12">
      <c r="A341" t="s">
        <v>1252</v>
      </c>
      <c r="B341" t="s">
        <v>449</v>
      </c>
      <c r="C341" t="s">
        <v>48</v>
      </c>
      <c r="D341">
        <v>16.89</v>
      </c>
      <c r="E341">
        <v>17.489999999999998</v>
      </c>
      <c r="F341" s="11">
        <v>0.91790000000000005</v>
      </c>
      <c r="G341" t="str">
        <f t="shared" si="17"/>
        <v>Admis</v>
      </c>
      <c r="H341" t="str" cm="1">
        <f t="array" ref="H341">_xlfn.IFS(E341&gt;=16, "Excellent",E341&gt;=14, "Très bien", E341&gt;=12, "Bien", E341&gt;=10, "Passable", E341&lt;10, "Insuffisant")</f>
        <v>Excellent</v>
      </c>
      <c r="I341" s="14" t="str">
        <f t="shared" si="15"/>
        <v>RAS</v>
      </c>
      <c r="J341" s="14" t="str">
        <f t="shared" si="16"/>
        <v>Autre filière</v>
      </c>
      <c r="L341" s="16"/>
    </row>
    <row r="342" spans="1:12">
      <c r="A342" t="s">
        <v>66</v>
      </c>
      <c r="B342" t="s">
        <v>67</v>
      </c>
      <c r="C342" t="s">
        <v>48</v>
      </c>
      <c r="D342">
        <v>15.42</v>
      </c>
      <c r="E342">
        <v>16.010000000000002</v>
      </c>
      <c r="F342" s="11">
        <v>0.55000000000000004</v>
      </c>
      <c r="G342" t="str">
        <f t="shared" si="17"/>
        <v>Admis sous condition</v>
      </c>
      <c r="H342" t="str" cm="1">
        <f t="array" ref="H342">_xlfn.IFS(E342&gt;=16, "Excellent",E342&gt;=14, "Très bien", E342&gt;=12, "Bien", E342&gt;=10, "Passable", E342&lt;10, "Insuffisant")</f>
        <v>Excellent</v>
      </c>
      <c r="I342" s="14" t="str">
        <f t="shared" si="15"/>
        <v>A surveiller</v>
      </c>
      <c r="J342" s="14" t="str">
        <f t="shared" si="16"/>
        <v>Autre filière</v>
      </c>
      <c r="L342" s="16"/>
    </row>
    <row r="343" spans="1:12">
      <c r="A343" t="s">
        <v>391</v>
      </c>
      <c r="B343" t="s">
        <v>392</v>
      </c>
      <c r="C343" t="s">
        <v>22</v>
      </c>
      <c r="D343">
        <v>12.84</v>
      </c>
      <c r="E343">
        <v>15.1</v>
      </c>
      <c r="F343" s="11">
        <v>0.76449999999999996</v>
      </c>
      <c r="G343" t="str">
        <f t="shared" si="17"/>
        <v>Admis sous condition</v>
      </c>
      <c r="H343" t="str" cm="1">
        <f t="array" ref="H343">_xlfn.IFS(E343&gt;=16, "Excellent",E343&gt;=14, "Très bien", E343&gt;=12, "Bien", E343&gt;=10, "Passable", E343&lt;10, "Insuffisant")</f>
        <v>Très bien</v>
      </c>
      <c r="I343" s="14" t="str">
        <f t="shared" si="15"/>
        <v>RAS</v>
      </c>
      <c r="J343" s="14" t="str">
        <f t="shared" si="16"/>
        <v>Data</v>
      </c>
      <c r="L343" s="16"/>
    </row>
    <row r="344" spans="1:12">
      <c r="A344" t="s">
        <v>946</v>
      </c>
      <c r="B344" t="s">
        <v>19</v>
      </c>
      <c r="C344" t="s">
        <v>27</v>
      </c>
      <c r="D344">
        <v>14.13</v>
      </c>
      <c r="E344">
        <v>13.27</v>
      </c>
      <c r="F344" s="11">
        <v>0.87860000000000005</v>
      </c>
      <c r="G344" t="str">
        <f t="shared" si="17"/>
        <v>Admis</v>
      </c>
      <c r="H344" t="str" cm="1">
        <f t="array" ref="H344">_xlfn.IFS(E344&gt;=16, "Excellent",E344&gt;=14, "Très bien", E344&gt;=12, "Bien", E344&gt;=10, "Passable", E344&lt;10, "Insuffisant")</f>
        <v>Bien</v>
      </c>
      <c r="I344" s="14" t="str">
        <f t="shared" si="15"/>
        <v>RAS</v>
      </c>
      <c r="J344" s="14" t="str">
        <f t="shared" si="16"/>
        <v>Autre filière</v>
      </c>
      <c r="K344" s="15"/>
      <c r="L344" s="16"/>
    </row>
    <row r="345" spans="1:12">
      <c r="A345" t="s">
        <v>990</v>
      </c>
      <c r="B345" t="s">
        <v>589</v>
      </c>
      <c r="C345" t="s">
        <v>22</v>
      </c>
      <c r="D345">
        <v>16.57</v>
      </c>
      <c r="E345">
        <v>13.77</v>
      </c>
      <c r="F345" s="11">
        <v>0.73750000000000004</v>
      </c>
      <c r="G345" t="str">
        <f t="shared" si="17"/>
        <v>Admis sous condition</v>
      </c>
      <c r="H345" t="str" cm="1">
        <f t="array" ref="H345">_xlfn.IFS(E345&gt;=16, "Excellent",E345&gt;=14, "Très bien", E345&gt;=12, "Bien", E345&gt;=10, "Passable", E345&lt;10, "Insuffisant")</f>
        <v>Bien</v>
      </c>
      <c r="I345" s="14" t="str">
        <f t="shared" si="15"/>
        <v>RAS</v>
      </c>
      <c r="J345" s="14" t="str">
        <f t="shared" si="16"/>
        <v>Data</v>
      </c>
      <c r="L345" s="16"/>
    </row>
    <row r="346" spans="1:12">
      <c r="A346" t="s">
        <v>169</v>
      </c>
      <c r="B346" t="s">
        <v>170</v>
      </c>
      <c r="C346" t="s">
        <v>22</v>
      </c>
      <c r="D346">
        <v>14.73</v>
      </c>
      <c r="E346">
        <v>16.13</v>
      </c>
      <c r="F346" s="11">
        <v>0.76880000000000004</v>
      </c>
      <c r="G346" t="str">
        <f t="shared" si="17"/>
        <v>Admis sous condition</v>
      </c>
      <c r="H346" t="str" cm="1">
        <f t="array" ref="H346">_xlfn.IFS(E346&gt;=16, "Excellent",E346&gt;=14, "Très bien", E346&gt;=12, "Bien", E346&gt;=10, "Passable", E346&lt;10, "Insuffisant")</f>
        <v>Excellent</v>
      </c>
      <c r="I346" s="14" t="str">
        <f t="shared" si="15"/>
        <v>RAS</v>
      </c>
      <c r="J346" s="14" t="str">
        <f t="shared" si="16"/>
        <v>Data</v>
      </c>
      <c r="L346" s="16"/>
    </row>
    <row r="347" spans="1:12">
      <c r="A347" t="s">
        <v>1304</v>
      </c>
      <c r="B347" t="s">
        <v>930</v>
      </c>
      <c r="C347" t="s">
        <v>22</v>
      </c>
      <c r="D347">
        <v>16</v>
      </c>
      <c r="E347">
        <v>15.79</v>
      </c>
      <c r="F347" s="11">
        <v>0.87490000000000001</v>
      </c>
      <c r="G347" t="str">
        <f t="shared" si="17"/>
        <v>Admis</v>
      </c>
      <c r="H347" t="str" cm="1">
        <f t="array" ref="H347">_xlfn.IFS(E347&gt;=16, "Excellent",E347&gt;=14, "Très bien", E347&gt;=12, "Bien", E347&gt;=10, "Passable", E347&lt;10, "Insuffisant")</f>
        <v>Très bien</v>
      </c>
      <c r="I347" s="14" t="str">
        <f t="shared" si="15"/>
        <v>RAS</v>
      </c>
      <c r="J347" s="14" t="str">
        <f t="shared" si="16"/>
        <v>Data</v>
      </c>
      <c r="K347" s="15"/>
      <c r="L347" s="16"/>
    </row>
    <row r="348" spans="1:12">
      <c r="A348" t="s">
        <v>943</v>
      </c>
      <c r="B348" t="s">
        <v>518</v>
      </c>
      <c r="C348" t="s">
        <v>22</v>
      </c>
      <c r="D348">
        <v>16.36</v>
      </c>
      <c r="E348">
        <v>14.38</v>
      </c>
      <c r="F348" s="11">
        <v>0.70789999999999997</v>
      </c>
      <c r="G348" t="str">
        <f t="shared" si="17"/>
        <v>Admis sous condition</v>
      </c>
      <c r="H348" t="str" cm="1">
        <f t="array" ref="H348">_xlfn.IFS(E348&gt;=16, "Excellent",E348&gt;=14, "Très bien", E348&gt;=12, "Bien", E348&gt;=10, "Passable", E348&lt;10, "Insuffisant")</f>
        <v>Très bien</v>
      </c>
      <c r="I348" s="14" t="str">
        <f t="shared" si="15"/>
        <v>RAS</v>
      </c>
      <c r="J348" s="14" t="str">
        <f t="shared" si="16"/>
        <v>Data</v>
      </c>
      <c r="L348" s="16"/>
    </row>
    <row r="349" spans="1:12">
      <c r="A349" t="s">
        <v>249</v>
      </c>
      <c r="B349" t="s">
        <v>100</v>
      </c>
      <c r="C349" t="s">
        <v>27</v>
      </c>
      <c r="D349">
        <v>10.83</v>
      </c>
      <c r="E349">
        <v>10.78</v>
      </c>
      <c r="F349" s="11">
        <v>0.82340000000000002</v>
      </c>
      <c r="G349" t="str">
        <f t="shared" si="17"/>
        <v>Admis sous condition</v>
      </c>
      <c r="H349" t="str" cm="1">
        <f t="array" ref="H349">_xlfn.IFS(E349&gt;=16, "Excellent",E349&gt;=14, "Très bien", E349&gt;=12, "Bien", E349&gt;=10, "Passable", E349&lt;10, "Insuffisant")</f>
        <v>Passable</v>
      </c>
      <c r="I349" s="14" t="str">
        <f t="shared" si="15"/>
        <v>RAS</v>
      </c>
      <c r="J349" s="14" t="str">
        <f t="shared" si="16"/>
        <v>Autre filière</v>
      </c>
      <c r="K349" s="15"/>
      <c r="L349" s="16"/>
    </row>
    <row r="350" spans="1:12">
      <c r="A350" t="s">
        <v>634</v>
      </c>
      <c r="B350" t="s">
        <v>509</v>
      </c>
      <c r="C350" t="s">
        <v>48</v>
      </c>
      <c r="D350">
        <v>18.48</v>
      </c>
      <c r="E350">
        <v>14.69</v>
      </c>
      <c r="F350" s="11">
        <v>0.65949999999999998</v>
      </c>
      <c r="G350" t="str">
        <f t="shared" si="17"/>
        <v>Admis sous condition</v>
      </c>
      <c r="H350" t="str" cm="1">
        <f t="array" ref="H350">_xlfn.IFS(E350&gt;=16, "Excellent",E350&gt;=14, "Très bien", E350&gt;=12, "Bien", E350&gt;=10, "Passable", E350&lt;10, "Insuffisant")</f>
        <v>Très bien</v>
      </c>
      <c r="I350" s="14" t="str">
        <f t="shared" si="15"/>
        <v>A surveiller</v>
      </c>
      <c r="J350" s="14" t="str">
        <f t="shared" si="16"/>
        <v>Autre filière</v>
      </c>
      <c r="L350" s="16"/>
    </row>
    <row r="351" spans="1:12">
      <c r="A351" t="s">
        <v>358</v>
      </c>
      <c r="B351" t="s">
        <v>359</v>
      </c>
      <c r="C351" t="s">
        <v>22</v>
      </c>
      <c r="D351">
        <v>13.57</v>
      </c>
      <c r="E351">
        <v>12.12</v>
      </c>
      <c r="F351" s="11">
        <v>0.96360000000000001</v>
      </c>
      <c r="G351" t="str">
        <f t="shared" si="17"/>
        <v>Admis</v>
      </c>
      <c r="H351" t="str" cm="1">
        <f t="array" ref="H351">_xlfn.IFS(E351&gt;=16, "Excellent",E351&gt;=14, "Très bien", E351&gt;=12, "Bien", E351&gt;=10, "Passable", E351&lt;10, "Insuffisant")</f>
        <v>Bien</v>
      </c>
      <c r="I351" s="14" t="str">
        <f t="shared" si="15"/>
        <v>RAS</v>
      </c>
      <c r="J351" s="14" t="str">
        <f t="shared" si="16"/>
        <v>Data</v>
      </c>
      <c r="L351" s="16"/>
    </row>
    <row r="352" spans="1:12">
      <c r="A352" t="s">
        <v>688</v>
      </c>
      <c r="B352" t="s">
        <v>270</v>
      </c>
      <c r="C352" t="s">
        <v>48</v>
      </c>
      <c r="D352">
        <v>16.45</v>
      </c>
      <c r="E352">
        <v>17.260000000000002</v>
      </c>
      <c r="F352" s="11">
        <v>0.89410000000000001</v>
      </c>
      <c r="G352" t="str">
        <f t="shared" si="17"/>
        <v>Admis</v>
      </c>
      <c r="H352" t="str" cm="1">
        <f t="array" ref="H352">_xlfn.IFS(E352&gt;=16, "Excellent",E352&gt;=14, "Très bien", E352&gt;=12, "Bien", E352&gt;=10, "Passable", E352&lt;10, "Insuffisant")</f>
        <v>Excellent</v>
      </c>
      <c r="I352" s="14" t="str">
        <f t="shared" si="15"/>
        <v>RAS</v>
      </c>
      <c r="J352" s="14" t="str">
        <f t="shared" si="16"/>
        <v>Autre filière</v>
      </c>
      <c r="K352" s="15"/>
      <c r="L352" s="16"/>
    </row>
    <row r="353" spans="1:12">
      <c r="A353" t="s">
        <v>1257</v>
      </c>
      <c r="B353" t="s">
        <v>1038</v>
      </c>
      <c r="C353" t="s">
        <v>22</v>
      </c>
      <c r="D353">
        <v>13.86</v>
      </c>
      <c r="E353">
        <v>16.440000000000001</v>
      </c>
      <c r="F353" s="11">
        <v>0.76690000000000003</v>
      </c>
      <c r="G353" t="str">
        <f t="shared" si="17"/>
        <v>Admis sous condition</v>
      </c>
      <c r="H353" t="str" cm="1">
        <f t="array" ref="H353">_xlfn.IFS(E353&gt;=16, "Excellent",E353&gt;=14, "Très bien", E353&gt;=12, "Bien", E353&gt;=10, "Passable", E353&lt;10, "Insuffisant")</f>
        <v>Excellent</v>
      </c>
      <c r="I353" s="14" t="str">
        <f t="shared" si="15"/>
        <v>RAS</v>
      </c>
      <c r="J353" s="14" t="str">
        <f t="shared" si="16"/>
        <v>Data</v>
      </c>
      <c r="L353" s="16"/>
    </row>
    <row r="354" spans="1:12">
      <c r="A354" t="s">
        <v>1007</v>
      </c>
      <c r="B354" t="s">
        <v>908</v>
      </c>
      <c r="C354" t="s">
        <v>35</v>
      </c>
      <c r="D354">
        <v>19.989999999999998</v>
      </c>
      <c r="E354">
        <v>13.43</v>
      </c>
      <c r="F354" s="11">
        <v>0.87280000000000002</v>
      </c>
      <c r="G354" t="str">
        <f t="shared" si="17"/>
        <v>Admis</v>
      </c>
      <c r="H354" t="str" cm="1">
        <f t="array" ref="H354">_xlfn.IFS(E354&gt;=16, "Excellent",E354&gt;=14, "Très bien", E354&gt;=12, "Bien", E354&gt;=10, "Passable", E354&lt;10, "Insuffisant")</f>
        <v>Bien</v>
      </c>
      <c r="I354" s="14" t="str">
        <f t="shared" si="15"/>
        <v>RAS</v>
      </c>
      <c r="J354" s="14" t="str">
        <f t="shared" si="16"/>
        <v>Autre filière</v>
      </c>
      <c r="K354" s="15"/>
      <c r="L354" s="16"/>
    </row>
    <row r="355" spans="1:12">
      <c r="A355" t="s">
        <v>1176</v>
      </c>
      <c r="B355" t="s">
        <v>757</v>
      </c>
      <c r="C355" t="s">
        <v>22</v>
      </c>
      <c r="D355">
        <v>11.3</v>
      </c>
      <c r="E355">
        <v>17.8</v>
      </c>
      <c r="F355" s="11">
        <v>0.83069999999999999</v>
      </c>
      <c r="G355" t="str">
        <f t="shared" si="17"/>
        <v>Admis sous condition</v>
      </c>
      <c r="H355" t="str" cm="1">
        <f t="array" ref="H355">_xlfn.IFS(E355&gt;=16, "Excellent",E355&gt;=14, "Très bien", E355&gt;=12, "Bien", E355&gt;=10, "Passable", E355&lt;10, "Insuffisant")</f>
        <v>Excellent</v>
      </c>
      <c r="I355" s="14" t="str">
        <f t="shared" si="15"/>
        <v>RAS</v>
      </c>
      <c r="J355" s="14" t="str">
        <f t="shared" si="16"/>
        <v>Data</v>
      </c>
      <c r="K355" s="15"/>
      <c r="L355" s="16"/>
    </row>
    <row r="356" spans="1:12">
      <c r="A356" t="s">
        <v>440</v>
      </c>
      <c r="B356" t="s">
        <v>139</v>
      </c>
      <c r="C356" t="s">
        <v>48</v>
      </c>
      <c r="D356">
        <v>13.65</v>
      </c>
      <c r="E356">
        <v>14.38</v>
      </c>
      <c r="F356" s="11">
        <v>0.95069999999999999</v>
      </c>
      <c r="G356" t="str">
        <f t="shared" si="17"/>
        <v>Admis</v>
      </c>
      <c r="H356" t="str" cm="1">
        <f t="array" ref="H356">_xlfn.IFS(E356&gt;=16, "Excellent",E356&gt;=14, "Très bien", E356&gt;=12, "Bien", E356&gt;=10, "Passable", E356&lt;10, "Insuffisant")</f>
        <v>Très bien</v>
      </c>
      <c r="I356" s="14" t="str">
        <f t="shared" si="15"/>
        <v>RAS</v>
      </c>
      <c r="J356" s="14" t="str">
        <f t="shared" si="16"/>
        <v>Autre filière</v>
      </c>
      <c r="L356" s="16"/>
    </row>
    <row r="357" spans="1:12">
      <c r="A357" t="s">
        <v>321</v>
      </c>
      <c r="B357" t="s">
        <v>285</v>
      </c>
      <c r="C357" t="s">
        <v>35</v>
      </c>
      <c r="D357">
        <v>15.02</v>
      </c>
      <c r="E357">
        <v>10.6</v>
      </c>
      <c r="F357" s="11">
        <v>0.55000000000000004</v>
      </c>
      <c r="G357" t="str">
        <f t="shared" si="17"/>
        <v>Admis sous condition</v>
      </c>
      <c r="H357" t="str" cm="1">
        <f t="array" ref="H357">_xlfn.IFS(E357&gt;=16, "Excellent",E357&gt;=14, "Très bien", E357&gt;=12, "Bien", E357&gt;=10, "Passable", E357&lt;10, "Insuffisant")</f>
        <v>Passable</v>
      </c>
      <c r="I357" s="14" t="str">
        <f t="shared" si="15"/>
        <v>A surveiller</v>
      </c>
      <c r="J357" s="14" t="str">
        <f t="shared" si="16"/>
        <v>Autre filière</v>
      </c>
      <c r="L357" s="16"/>
    </row>
    <row r="358" spans="1:12">
      <c r="A358" t="s">
        <v>497</v>
      </c>
      <c r="B358" t="s">
        <v>453</v>
      </c>
      <c r="C358" t="s">
        <v>35</v>
      </c>
      <c r="D358">
        <v>8.64</v>
      </c>
      <c r="E358">
        <v>11.39</v>
      </c>
      <c r="F358" s="11">
        <v>0.74180000000000001</v>
      </c>
      <c r="G358" t="str">
        <f t="shared" si="17"/>
        <v>Refusé</v>
      </c>
      <c r="H358" t="str" cm="1">
        <f t="array" ref="H358">_xlfn.IFS(E358&gt;=16, "Excellent",E358&gt;=14, "Très bien", E358&gt;=12, "Bien", E358&gt;=10, "Passable", E358&lt;10, "Insuffisant")</f>
        <v>Passable</v>
      </c>
      <c r="I358" s="14" t="str">
        <f t="shared" si="15"/>
        <v>A surveiller</v>
      </c>
      <c r="J358" s="14" t="str">
        <f t="shared" si="16"/>
        <v>Autre filière</v>
      </c>
      <c r="L358" s="16"/>
    </row>
    <row r="359" spans="1:12">
      <c r="A359" t="s">
        <v>1234</v>
      </c>
      <c r="B359" t="s">
        <v>320</v>
      </c>
      <c r="C359" t="s">
        <v>48</v>
      </c>
      <c r="D359">
        <v>10.98</v>
      </c>
      <c r="E359">
        <v>10.45</v>
      </c>
      <c r="F359" s="11">
        <v>0.92469999999999997</v>
      </c>
      <c r="G359" t="str">
        <f t="shared" si="17"/>
        <v>Admis sous condition</v>
      </c>
      <c r="H359" t="str" cm="1">
        <f t="array" ref="H359">_xlfn.IFS(E359&gt;=16, "Excellent",E359&gt;=14, "Très bien", E359&gt;=12, "Bien", E359&gt;=10, "Passable", E359&lt;10, "Insuffisant")</f>
        <v>Passable</v>
      </c>
      <c r="I359" s="14" t="str">
        <f t="shared" si="15"/>
        <v>RAS</v>
      </c>
      <c r="J359" s="14" t="str">
        <f t="shared" si="16"/>
        <v>Autre filière</v>
      </c>
      <c r="L359" s="16"/>
    </row>
    <row r="360" spans="1:12">
      <c r="A360" t="s">
        <v>222</v>
      </c>
      <c r="B360" t="s">
        <v>178</v>
      </c>
      <c r="C360" t="s">
        <v>22</v>
      </c>
      <c r="D360">
        <v>9.56</v>
      </c>
      <c r="E360">
        <v>14.5</v>
      </c>
      <c r="F360" s="11">
        <v>0.90580000000000005</v>
      </c>
      <c r="G360" t="str">
        <f t="shared" si="17"/>
        <v>Refusé</v>
      </c>
      <c r="H360" t="str" cm="1">
        <f t="array" ref="H360">_xlfn.IFS(E360&gt;=16, "Excellent",E360&gt;=14, "Très bien", E360&gt;=12, "Bien", E360&gt;=10, "Passable", E360&lt;10, "Insuffisant")</f>
        <v>Très bien</v>
      </c>
      <c r="I360" s="14" t="str">
        <f t="shared" si="15"/>
        <v>A surveiller</v>
      </c>
      <c r="J360" s="14" t="str">
        <f t="shared" si="16"/>
        <v>Data</v>
      </c>
      <c r="L360" s="16"/>
    </row>
    <row r="361" spans="1:12">
      <c r="A361" t="s">
        <v>909</v>
      </c>
      <c r="B361" t="s">
        <v>115</v>
      </c>
      <c r="C361" t="s">
        <v>22</v>
      </c>
      <c r="D361">
        <v>13.74</v>
      </c>
      <c r="E361">
        <v>15.11</v>
      </c>
      <c r="F361" s="11">
        <v>0.91159999999999997</v>
      </c>
      <c r="G361" t="str">
        <f t="shared" si="17"/>
        <v>Admis</v>
      </c>
      <c r="H361" t="str" cm="1">
        <f t="array" ref="H361">_xlfn.IFS(E361&gt;=16, "Excellent",E361&gt;=14, "Très bien", E361&gt;=12, "Bien", E361&gt;=10, "Passable", E361&lt;10, "Insuffisant")</f>
        <v>Très bien</v>
      </c>
      <c r="I361" s="14" t="str">
        <f t="shared" si="15"/>
        <v>RAS</v>
      </c>
      <c r="J361" s="14" t="str">
        <f t="shared" si="16"/>
        <v>Data</v>
      </c>
      <c r="L361" s="16"/>
    </row>
    <row r="362" spans="1:12">
      <c r="A362" t="s">
        <v>787</v>
      </c>
      <c r="B362" t="s">
        <v>100</v>
      </c>
      <c r="C362" t="s">
        <v>27</v>
      </c>
      <c r="D362">
        <v>16.95</v>
      </c>
      <c r="E362">
        <v>16.149999999999999</v>
      </c>
      <c r="F362" s="11">
        <v>0.95950000000000002</v>
      </c>
      <c r="G362" t="str">
        <f t="shared" si="17"/>
        <v>Admis</v>
      </c>
      <c r="H362" t="str" cm="1">
        <f t="array" ref="H362">_xlfn.IFS(E362&gt;=16, "Excellent",E362&gt;=14, "Très bien", E362&gt;=12, "Bien", E362&gt;=10, "Passable", E362&lt;10, "Insuffisant")</f>
        <v>Excellent</v>
      </c>
      <c r="I362" s="14" t="str">
        <f t="shared" si="15"/>
        <v>RAS</v>
      </c>
      <c r="J362" s="14" t="str">
        <f t="shared" si="16"/>
        <v>Autre filière</v>
      </c>
      <c r="L362" s="16"/>
    </row>
    <row r="363" spans="1:12">
      <c r="A363" t="s">
        <v>750</v>
      </c>
      <c r="B363" t="s">
        <v>751</v>
      </c>
      <c r="C363" t="s">
        <v>48</v>
      </c>
      <c r="D363">
        <v>15.51</v>
      </c>
      <c r="E363">
        <v>11.05</v>
      </c>
      <c r="F363" s="11">
        <v>0.94889999999999997</v>
      </c>
      <c r="G363" t="str">
        <f t="shared" si="17"/>
        <v>Admis sous condition</v>
      </c>
      <c r="H363" t="str" cm="1">
        <f t="array" ref="H363">_xlfn.IFS(E363&gt;=16, "Excellent",E363&gt;=14, "Très bien", E363&gt;=12, "Bien", E363&gt;=10, "Passable", E363&lt;10, "Insuffisant")</f>
        <v>Passable</v>
      </c>
      <c r="I363" s="14" t="str">
        <f t="shared" si="15"/>
        <v>RAS</v>
      </c>
      <c r="J363" s="14" t="str">
        <f t="shared" si="16"/>
        <v>Autre filière</v>
      </c>
      <c r="L363" s="16"/>
    </row>
    <row r="364" spans="1:12">
      <c r="A364" t="s">
        <v>1256</v>
      </c>
      <c r="B364" t="s">
        <v>1245</v>
      </c>
      <c r="C364" t="s">
        <v>48</v>
      </c>
      <c r="D364">
        <v>11.64</v>
      </c>
      <c r="E364">
        <v>16.850000000000001</v>
      </c>
      <c r="F364" s="11">
        <v>0.89459999999999995</v>
      </c>
      <c r="G364" t="str">
        <f t="shared" si="17"/>
        <v>Admis sous condition</v>
      </c>
      <c r="H364" t="str" cm="1">
        <f t="array" ref="H364">_xlfn.IFS(E364&gt;=16, "Excellent",E364&gt;=14, "Très bien", E364&gt;=12, "Bien", E364&gt;=10, "Passable", E364&lt;10, "Insuffisant")</f>
        <v>Excellent</v>
      </c>
      <c r="I364" s="14" t="str">
        <f t="shared" si="15"/>
        <v>RAS</v>
      </c>
      <c r="J364" s="14" t="str">
        <f t="shared" si="16"/>
        <v>Autre filière</v>
      </c>
      <c r="K364" s="15"/>
      <c r="L364" s="16"/>
    </row>
    <row r="365" spans="1:12">
      <c r="A365" t="s">
        <v>1242</v>
      </c>
      <c r="B365" t="s">
        <v>649</v>
      </c>
      <c r="C365" t="s">
        <v>35</v>
      </c>
      <c r="D365">
        <v>11.39</v>
      </c>
      <c r="E365">
        <v>12.71</v>
      </c>
      <c r="F365" s="11">
        <v>0.88639999999999997</v>
      </c>
      <c r="G365" t="str">
        <f t="shared" si="17"/>
        <v>Admis sous condition</v>
      </c>
      <c r="H365" t="str" cm="1">
        <f t="array" ref="H365">_xlfn.IFS(E365&gt;=16, "Excellent",E365&gt;=14, "Très bien", E365&gt;=12, "Bien", E365&gt;=10, "Passable", E365&lt;10, "Insuffisant")</f>
        <v>Bien</v>
      </c>
      <c r="I365" s="14" t="str">
        <f t="shared" si="15"/>
        <v>RAS</v>
      </c>
      <c r="J365" s="14" t="str">
        <f t="shared" si="16"/>
        <v>Autre filière</v>
      </c>
      <c r="K365" s="15"/>
      <c r="L365" s="16"/>
    </row>
    <row r="366" spans="1:12">
      <c r="A366" t="s">
        <v>602</v>
      </c>
      <c r="B366" t="s">
        <v>340</v>
      </c>
      <c r="C366" t="s">
        <v>22</v>
      </c>
      <c r="D366">
        <v>15.38</v>
      </c>
      <c r="E366">
        <v>18.55</v>
      </c>
      <c r="F366" s="11">
        <v>0.87829999999999997</v>
      </c>
      <c r="G366" t="str">
        <f t="shared" si="17"/>
        <v>Admis</v>
      </c>
      <c r="H366" t="str" cm="1">
        <f t="array" ref="H366">_xlfn.IFS(E366&gt;=16, "Excellent",E366&gt;=14, "Très bien", E366&gt;=12, "Bien", E366&gt;=10, "Passable", E366&lt;10, "Insuffisant")</f>
        <v>Excellent</v>
      </c>
      <c r="I366" s="14" t="str">
        <f t="shared" si="15"/>
        <v>RAS</v>
      </c>
      <c r="J366" s="14" t="str">
        <f t="shared" si="16"/>
        <v>Data</v>
      </c>
      <c r="K366" s="15"/>
      <c r="L366" s="16"/>
    </row>
    <row r="367" spans="1:12">
      <c r="A367" t="s">
        <v>631</v>
      </c>
      <c r="B367" t="s">
        <v>632</v>
      </c>
      <c r="C367" t="s">
        <v>22</v>
      </c>
      <c r="D367">
        <v>14</v>
      </c>
      <c r="E367">
        <v>13.38</v>
      </c>
      <c r="F367" s="11">
        <v>0.67779999999999996</v>
      </c>
      <c r="G367" t="str">
        <f t="shared" si="17"/>
        <v>Admis sous condition</v>
      </c>
      <c r="H367" t="str" cm="1">
        <f t="array" ref="H367">_xlfn.IFS(E367&gt;=16, "Excellent",E367&gt;=14, "Très bien", E367&gt;=12, "Bien", E367&gt;=10, "Passable", E367&lt;10, "Insuffisant")</f>
        <v>Bien</v>
      </c>
      <c r="I367" s="14" t="str">
        <f t="shared" si="15"/>
        <v>A surveiller</v>
      </c>
      <c r="J367" s="14" t="str">
        <f t="shared" si="16"/>
        <v>Data</v>
      </c>
      <c r="L367" s="16"/>
    </row>
    <row r="368" spans="1:12">
      <c r="A368" t="s">
        <v>1213</v>
      </c>
      <c r="B368" t="s">
        <v>85</v>
      </c>
      <c r="C368" t="s">
        <v>27</v>
      </c>
      <c r="D368">
        <v>13.62</v>
      </c>
      <c r="E368">
        <v>14.93</v>
      </c>
      <c r="F368" s="11">
        <v>0.55000000000000004</v>
      </c>
      <c r="G368" t="str">
        <f t="shared" si="17"/>
        <v>Admis sous condition</v>
      </c>
      <c r="H368" t="str" cm="1">
        <f t="array" ref="H368">_xlfn.IFS(E368&gt;=16, "Excellent",E368&gt;=14, "Très bien", E368&gt;=12, "Bien", E368&gt;=10, "Passable", E368&lt;10, "Insuffisant")</f>
        <v>Très bien</v>
      </c>
      <c r="I368" s="14" t="str">
        <f t="shared" si="15"/>
        <v>A surveiller</v>
      </c>
      <c r="J368" s="14" t="str">
        <f t="shared" si="16"/>
        <v>Autre filière</v>
      </c>
      <c r="L368" s="16"/>
    </row>
    <row r="369" spans="1:12">
      <c r="A369" t="s">
        <v>572</v>
      </c>
      <c r="B369" t="s">
        <v>477</v>
      </c>
      <c r="C369" t="s">
        <v>22</v>
      </c>
      <c r="D369">
        <v>17.38</v>
      </c>
      <c r="E369">
        <v>17.46</v>
      </c>
      <c r="F369" s="11">
        <v>0.84789999999999999</v>
      </c>
      <c r="G369" t="str">
        <f t="shared" si="17"/>
        <v>Admis</v>
      </c>
      <c r="H369" t="str" cm="1">
        <f t="array" ref="H369">_xlfn.IFS(E369&gt;=16, "Excellent",E369&gt;=14, "Très bien", E369&gt;=12, "Bien", E369&gt;=10, "Passable", E369&lt;10, "Insuffisant")</f>
        <v>Excellent</v>
      </c>
      <c r="I369" s="14" t="str">
        <f t="shared" si="15"/>
        <v>RAS</v>
      </c>
      <c r="J369" s="14" t="str">
        <f t="shared" si="16"/>
        <v>Data</v>
      </c>
      <c r="K369" s="15"/>
      <c r="L369" s="16"/>
    </row>
    <row r="370" spans="1:12">
      <c r="A370" t="s">
        <v>1005</v>
      </c>
      <c r="B370" t="s">
        <v>344</v>
      </c>
      <c r="C370" t="s">
        <v>27</v>
      </c>
      <c r="D370">
        <v>13.64</v>
      </c>
      <c r="E370">
        <v>13.41</v>
      </c>
      <c r="F370" s="11">
        <v>0.95199999999999996</v>
      </c>
      <c r="G370" t="str">
        <f t="shared" si="17"/>
        <v>Admis</v>
      </c>
      <c r="H370" t="str" cm="1">
        <f t="array" ref="H370">_xlfn.IFS(E370&gt;=16, "Excellent",E370&gt;=14, "Très bien", E370&gt;=12, "Bien", E370&gt;=10, "Passable", E370&lt;10, "Insuffisant")</f>
        <v>Bien</v>
      </c>
      <c r="I370" s="14" t="str">
        <f t="shared" si="15"/>
        <v>RAS</v>
      </c>
      <c r="J370" s="14" t="str">
        <f t="shared" si="16"/>
        <v>Autre filière</v>
      </c>
      <c r="L370" s="16"/>
    </row>
    <row r="371" spans="1:12">
      <c r="A371" t="s">
        <v>1217</v>
      </c>
      <c r="B371" t="s">
        <v>720</v>
      </c>
      <c r="C371" t="s">
        <v>22</v>
      </c>
      <c r="D371">
        <v>9.74</v>
      </c>
      <c r="E371">
        <v>11.87</v>
      </c>
      <c r="F371" s="11">
        <v>0.66259999999999997</v>
      </c>
      <c r="G371" t="str">
        <f t="shared" si="17"/>
        <v>Refusé</v>
      </c>
      <c r="H371" t="str" cm="1">
        <f t="array" ref="H371">_xlfn.IFS(E371&gt;=16, "Excellent",E371&gt;=14, "Très bien", E371&gt;=12, "Bien", E371&gt;=10, "Passable", E371&lt;10, "Insuffisant")</f>
        <v>Passable</v>
      </c>
      <c r="I371" s="14" t="str">
        <f t="shared" si="15"/>
        <v>A surveiller</v>
      </c>
      <c r="J371" s="14" t="str">
        <f t="shared" si="16"/>
        <v>Data</v>
      </c>
      <c r="L371" s="16"/>
    </row>
    <row r="372" spans="1:12">
      <c r="A372" t="s">
        <v>1156</v>
      </c>
      <c r="B372" t="s">
        <v>412</v>
      </c>
      <c r="C372" t="s">
        <v>35</v>
      </c>
      <c r="D372">
        <v>14.31</v>
      </c>
      <c r="E372">
        <v>12.18</v>
      </c>
      <c r="F372" s="11">
        <v>0.73350000000000004</v>
      </c>
      <c r="G372" t="str">
        <f t="shared" si="17"/>
        <v>Admis sous condition</v>
      </c>
      <c r="H372" t="str" cm="1">
        <f t="array" ref="H372">_xlfn.IFS(E372&gt;=16, "Excellent",E372&gt;=14, "Très bien", E372&gt;=12, "Bien", E372&gt;=10, "Passable", E372&lt;10, "Insuffisant")</f>
        <v>Bien</v>
      </c>
      <c r="I372" s="14" t="str">
        <f t="shared" si="15"/>
        <v>RAS</v>
      </c>
      <c r="J372" s="14" t="str">
        <f t="shared" si="16"/>
        <v>Autre filière</v>
      </c>
      <c r="L372" s="16"/>
    </row>
    <row r="373" spans="1:12">
      <c r="A373" t="s">
        <v>101</v>
      </c>
      <c r="B373" t="s">
        <v>102</v>
      </c>
      <c r="C373" t="s">
        <v>35</v>
      </c>
      <c r="D373">
        <v>13.6</v>
      </c>
      <c r="E373">
        <v>13.47</v>
      </c>
      <c r="F373" s="11">
        <v>0.92279999999999995</v>
      </c>
      <c r="G373" t="str">
        <f t="shared" si="17"/>
        <v>Admis</v>
      </c>
      <c r="H373" t="str" cm="1">
        <f t="array" ref="H373">_xlfn.IFS(E373&gt;=16, "Excellent",E373&gt;=14, "Très bien", E373&gt;=12, "Bien", E373&gt;=10, "Passable", E373&lt;10, "Insuffisant")</f>
        <v>Bien</v>
      </c>
      <c r="I373" s="14" t="str">
        <f t="shared" si="15"/>
        <v>RAS</v>
      </c>
      <c r="J373" s="14" t="str">
        <f t="shared" si="16"/>
        <v>Autre filière</v>
      </c>
      <c r="L373" s="16"/>
    </row>
    <row r="374" spans="1:12">
      <c r="A374" t="s">
        <v>664</v>
      </c>
      <c r="B374" t="s">
        <v>362</v>
      </c>
      <c r="C374" t="s">
        <v>27</v>
      </c>
      <c r="D374">
        <v>17.21</v>
      </c>
      <c r="E374">
        <v>16.63</v>
      </c>
      <c r="F374" s="11">
        <v>0.84499999999999997</v>
      </c>
      <c r="G374" t="str">
        <f t="shared" si="17"/>
        <v>Admis</v>
      </c>
      <c r="H374" t="str" cm="1">
        <f t="array" ref="H374">_xlfn.IFS(E374&gt;=16, "Excellent",E374&gt;=14, "Très bien", E374&gt;=12, "Bien", E374&gt;=10, "Passable", E374&lt;10, "Insuffisant")</f>
        <v>Excellent</v>
      </c>
      <c r="I374" s="14" t="str">
        <f t="shared" si="15"/>
        <v>RAS</v>
      </c>
      <c r="J374" s="14" t="str">
        <f t="shared" si="16"/>
        <v>Autre filière</v>
      </c>
      <c r="K374" s="15"/>
      <c r="L374" s="16"/>
    </row>
    <row r="375" spans="1:12">
      <c r="A375" t="s">
        <v>18</v>
      </c>
      <c r="B375" t="s">
        <v>19</v>
      </c>
      <c r="C375" t="s">
        <v>22</v>
      </c>
      <c r="D375">
        <v>12.13</v>
      </c>
      <c r="E375">
        <v>11.09</v>
      </c>
      <c r="F375" s="11">
        <v>0.91869999999999996</v>
      </c>
      <c r="G375" t="str">
        <f t="shared" si="17"/>
        <v>Admis sous condition</v>
      </c>
      <c r="H375" t="str" cm="1">
        <f t="array" ref="H375">_xlfn.IFS(E375&gt;=16, "Excellent",E375&gt;=14, "Très bien", E375&gt;=12, "Bien", E375&gt;=10, "Passable", E375&lt;10, "Insuffisant")</f>
        <v>Passable</v>
      </c>
      <c r="I375" s="14" t="str">
        <f t="shared" si="15"/>
        <v>RAS</v>
      </c>
      <c r="J375" s="14" t="str">
        <f t="shared" si="16"/>
        <v>Data</v>
      </c>
      <c r="L375" s="16"/>
    </row>
    <row r="376" spans="1:12">
      <c r="A376" t="s">
        <v>1235</v>
      </c>
      <c r="B376" t="s">
        <v>543</v>
      </c>
      <c r="C376" t="s">
        <v>27</v>
      </c>
      <c r="D376">
        <v>17.39</v>
      </c>
      <c r="E376">
        <v>19.52</v>
      </c>
      <c r="F376" s="11">
        <v>0.70069999999999999</v>
      </c>
      <c r="G376" t="str">
        <f t="shared" si="17"/>
        <v>Admis sous condition</v>
      </c>
      <c r="H376" t="str" cm="1">
        <f t="array" ref="H376">_xlfn.IFS(E376&gt;=16, "Excellent",E376&gt;=14, "Très bien", E376&gt;=12, "Bien", E376&gt;=10, "Passable", E376&lt;10, "Insuffisant")</f>
        <v>Excellent</v>
      </c>
      <c r="I376" s="14" t="str">
        <f t="shared" si="15"/>
        <v>RAS</v>
      </c>
      <c r="J376" s="14" t="str">
        <f t="shared" si="16"/>
        <v>Autre filière</v>
      </c>
      <c r="L376" s="16"/>
    </row>
    <row r="377" spans="1:12">
      <c r="A377" t="s">
        <v>1292</v>
      </c>
      <c r="B377" t="s">
        <v>315</v>
      </c>
      <c r="C377" t="s">
        <v>27</v>
      </c>
      <c r="D377">
        <v>14.62</v>
      </c>
      <c r="E377">
        <v>12.48</v>
      </c>
      <c r="F377" s="11">
        <v>0.89080000000000004</v>
      </c>
      <c r="G377" t="str">
        <f t="shared" si="17"/>
        <v>Admis</v>
      </c>
      <c r="H377" t="str" cm="1">
        <f t="array" ref="H377">_xlfn.IFS(E377&gt;=16, "Excellent",E377&gt;=14, "Très bien", E377&gt;=12, "Bien", E377&gt;=10, "Passable", E377&lt;10, "Insuffisant")</f>
        <v>Bien</v>
      </c>
      <c r="I377" s="14" t="str">
        <f t="shared" si="15"/>
        <v>RAS</v>
      </c>
      <c r="J377" s="14" t="str">
        <f t="shared" si="16"/>
        <v>Autre filière</v>
      </c>
      <c r="K377" s="15"/>
      <c r="L377" s="16"/>
    </row>
    <row r="378" spans="1:12">
      <c r="A378" t="s">
        <v>1186</v>
      </c>
      <c r="B378" t="s">
        <v>912</v>
      </c>
      <c r="C378" t="s">
        <v>22</v>
      </c>
      <c r="D378">
        <v>18.489999999999998</v>
      </c>
      <c r="E378">
        <v>19.5</v>
      </c>
      <c r="F378" s="11">
        <v>0.88739999999999997</v>
      </c>
      <c r="G378" t="str">
        <f t="shared" si="17"/>
        <v>Admis</v>
      </c>
      <c r="H378" t="str" cm="1">
        <f t="array" ref="H378">_xlfn.IFS(E378&gt;=16, "Excellent",E378&gt;=14, "Très bien", E378&gt;=12, "Bien", E378&gt;=10, "Passable", E378&lt;10, "Insuffisant")</f>
        <v>Excellent</v>
      </c>
      <c r="I378" s="14" t="str">
        <f t="shared" si="15"/>
        <v>RAS</v>
      </c>
      <c r="J378" s="14" t="str">
        <f t="shared" si="16"/>
        <v>Data</v>
      </c>
      <c r="K378" s="15"/>
      <c r="L378" s="16"/>
    </row>
    <row r="379" spans="1:12">
      <c r="A379" t="s">
        <v>1146</v>
      </c>
      <c r="B379" t="s">
        <v>1147</v>
      </c>
      <c r="C379" t="s">
        <v>22</v>
      </c>
      <c r="D379">
        <v>17.41</v>
      </c>
      <c r="E379">
        <v>17.84</v>
      </c>
      <c r="F379" s="11">
        <v>0.86709999999999998</v>
      </c>
      <c r="G379" t="str">
        <f t="shared" si="17"/>
        <v>Admis</v>
      </c>
      <c r="H379" t="str" cm="1">
        <f t="array" ref="H379">_xlfn.IFS(E379&gt;=16, "Excellent",E379&gt;=14, "Très bien", E379&gt;=12, "Bien", E379&gt;=10, "Passable", E379&lt;10, "Insuffisant")</f>
        <v>Excellent</v>
      </c>
      <c r="I379" s="14" t="str">
        <f t="shared" si="15"/>
        <v>RAS</v>
      </c>
      <c r="J379" s="14" t="str">
        <f t="shared" si="16"/>
        <v>Data</v>
      </c>
      <c r="K379" s="15"/>
      <c r="L379" s="16"/>
    </row>
    <row r="380" spans="1:12">
      <c r="A380" t="s">
        <v>845</v>
      </c>
      <c r="B380" t="s">
        <v>180</v>
      </c>
      <c r="C380" t="s">
        <v>22</v>
      </c>
      <c r="D380">
        <v>19.43</v>
      </c>
      <c r="E380">
        <v>19.989999999999998</v>
      </c>
      <c r="F380" s="11">
        <v>0.96479999999999999</v>
      </c>
      <c r="G380" t="str">
        <f t="shared" si="17"/>
        <v>Admis</v>
      </c>
      <c r="H380" t="str" cm="1">
        <f t="array" ref="H380">_xlfn.IFS(E380&gt;=16, "Excellent",E380&gt;=14, "Très bien", E380&gt;=12, "Bien", E380&gt;=10, "Passable", E380&lt;10, "Insuffisant")</f>
        <v>Excellent</v>
      </c>
      <c r="I380" s="14" t="str">
        <f t="shared" si="15"/>
        <v>RAS</v>
      </c>
      <c r="J380" s="14" t="str">
        <f t="shared" si="16"/>
        <v>Data</v>
      </c>
      <c r="L380" s="16"/>
    </row>
    <row r="381" spans="1:12">
      <c r="A381" t="s">
        <v>824</v>
      </c>
      <c r="B381" t="s">
        <v>825</v>
      </c>
      <c r="C381" t="s">
        <v>48</v>
      </c>
      <c r="D381">
        <v>14.42</v>
      </c>
      <c r="E381">
        <v>17.82</v>
      </c>
      <c r="F381" s="11">
        <v>0.81059999999999999</v>
      </c>
      <c r="G381" t="str">
        <f t="shared" si="17"/>
        <v>Admis</v>
      </c>
      <c r="H381" t="str" cm="1">
        <f t="array" ref="H381">_xlfn.IFS(E381&gt;=16, "Excellent",E381&gt;=14, "Très bien", E381&gt;=12, "Bien", E381&gt;=10, "Passable", E381&lt;10, "Insuffisant")</f>
        <v>Excellent</v>
      </c>
      <c r="I381" s="14" t="str">
        <f t="shared" si="15"/>
        <v>RAS</v>
      </c>
      <c r="J381" s="14" t="str">
        <f t="shared" si="16"/>
        <v>Autre filière</v>
      </c>
      <c r="K381" s="15"/>
      <c r="L381" s="16"/>
    </row>
    <row r="382" spans="1:12">
      <c r="A382" t="s">
        <v>1037</v>
      </c>
      <c r="B382" t="s">
        <v>1038</v>
      </c>
      <c r="C382" t="s">
        <v>27</v>
      </c>
      <c r="D382">
        <v>14.25</v>
      </c>
      <c r="E382">
        <v>17.14</v>
      </c>
      <c r="F382" s="11">
        <v>0.93859999999999999</v>
      </c>
      <c r="G382" t="str">
        <f t="shared" si="17"/>
        <v>Admis</v>
      </c>
      <c r="H382" t="str" cm="1">
        <f t="array" ref="H382">_xlfn.IFS(E382&gt;=16, "Excellent",E382&gt;=14, "Très bien", E382&gt;=12, "Bien", E382&gt;=10, "Passable", E382&lt;10, "Insuffisant")</f>
        <v>Excellent</v>
      </c>
      <c r="I382" s="14" t="str">
        <f t="shared" si="15"/>
        <v>RAS</v>
      </c>
      <c r="J382" s="14" t="str">
        <f t="shared" si="16"/>
        <v>Autre filière</v>
      </c>
      <c r="L382" s="16"/>
    </row>
    <row r="383" spans="1:12">
      <c r="A383" t="s">
        <v>1049</v>
      </c>
      <c r="B383" t="s">
        <v>1050</v>
      </c>
      <c r="C383" t="s">
        <v>22</v>
      </c>
      <c r="D383">
        <v>15.02</v>
      </c>
      <c r="E383">
        <v>12.72</v>
      </c>
      <c r="F383" s="11">
        <v>0.94320000000000004</v>
      </c>
      <c r="G383" t="str">
        <f t="shared" si="17"/>
        <v>Admis</v>
      </c>
      <c r="H383" t="str" cm="1">
        <f t="array" ref="H383">_xlfn.IFS(E383&gt;=16, "Excellent",E383&gt;=14, "Très bien", E383&gt;=12, "Bien", E383&gt;=10, "Passable", E383&lt;10, "Insuffisant")</f>
        <v>Bien</v>
      </c>
      <c r="I383" s="14" t="str">
        <f t="shared" si="15"/>
        <v>RAS</v>
      </c>
      <c r="J383" s="14" t="str">
        <f t="shared" si="16"/>
        <v>Data</v>
      </c>
      <c r="L383" s="16"/>
    </row>
    <row r="384" spans="1:12">
      <c r="A384" t="s">
        <v>383</v>
      </c>
      <c r="B384" t="s">
        <v>378</v>
      </c>
      <c r="C384" t="s">
        <v>48</v>
      </c>
      <c r="D384">
        <v>12.98</v>
      </c>
      <c r="E384">
        <v>10.18</v>
      </c>
      <c r="F384" s="11">
        <v>0.86299999999999999</v>
      </c>
      <c r="G384" t="str">
        <f t="shared" si="17"/>
        <v>Admis sous condition</v>
      </c>
      <c r="H384" t="str" cm="1">
        <f t="array" ref="H384">_xlfn.IFS(E384&gt;=16, "Excellent",E384&gt;=14, "Très bien", E384&gt;=12, "Bien", E384&gt;=10, "Passable", E384&lt;10, "Insuffisant")</f>
        <v>Passable</v>
      </c>
      <c r="I384" s="14" t="str">
        <f t="shared" si="15"/>
        <v>RAS</v>
      </c>
      <c r="J384" s="14" t="str">
        <f t="shared" si="16"/>
        <v>Autre filière</v>
      </c>
      <c r="K384" s="15"/>
      <c r="L384" s="16"/>
    </row>
    <row r="385" spans="1:12">
      <c r="A385" t="s">
        <v>786</v>
      </c>
      <c r="B385" t="s">
        <v>683</v>
      </c>
      <c r="C385" t="s">
        <v>22</v>
      </c>
      <c r="D385">
        <v>17.510000000000002</v>
      </c>
      <c r="E385">
        <v>17.98</v>
      </c>
      <c r="F385" s="11">
        <v>0.80859999999999999</v>
      </c>
      <c r="G385" t="str">
        <f t="shared" si="17"/>
        <v>Admis</v>
      </c>
      <c r="H385" t="str" cm="1">
        <f t="array" ref="H385">_xlfn.IFS(E385&gt;=16, "Excellent",E385&gt;=14, "Très bien", E385&gt;=12, "Bien", E385&gt;=10, "Passable", E385&lt;10, "Insuffisant")</f>
        <v>Excellent</v>
      </c>
      <c r="I385" s="14" t="str">
        <f t="shared" si="15"/>
        <v>RAS</v>
      </c>
      <c r="J385" s="14" t="str">
        <f t="shared" si="16"/>
        <v>Data</v>
      </c>
      <c r="K385" s="15"/>
      <c r="L385" s="16"/>
    </row>
    <row r="386" spans="1:12">
      <c r="A386" t="s">
        <v>393</v>
      </c>
      <c r="B386" t="s">
        <v>113</v>
      </c>
      <c r="C386" t="s">
        <v>27</v>
      </c>
      <c r="D386">
        <v>15.44</v>
      </c>
      <c r="E386">
        <v>16.829999999999998</v>
      </c>
      <c r="F386" s="11">
        <v>0.84589999999999999</v>
      </c>
      <c r="G386" t="str">
        <f t="shared" si="17"/>
        <v>Admis</v>
      </c>
      <c r="H386" t="str" cm="1">
        <f t="array" ref="H386">_xlfn.IFS(E386&gt;=16, "Excellent",E386&gt;=14, "Très bien", E386&gt;=12, "Bien", E386&gt;=10, "Passable", E386&lt;10, "Insuffisant")</f>
        <v>Excellent</v>
      </c>
      <c r="I386" s="14" t="str">
        <f t="shared" si="15"/>
        <v>RAS</v>
      </c>
      <c r="J386" s="14" t="str">
        <f t="shared" si="16"/>
        <v>Autre filière</v>
      </c>
      <c r="K386" s="15"/>
      <c r="L386" s="16"/>
    </row>
    <row r="387" spans="1:12">
      <c r="A387" t="s">
        <v>794</v>
      </c>
      <c r="B387" t="s">
        <v>63</v>
      </c>
      <c r="C387" t="s">
        <v>22</v>
      </c>
      <c r="D387">
        <v>12.28</v>
      </c>
      <c r="E387">
        <v>14.46</v>
      </c>
      <c r="F387" s="11">
        <v>0.55000000000000004</v>
      </c>
      <c r="G387" t="str">
        <f t="shared" si="17"/>
        <v>Admis sous condition</v>
      </c>
      <c r="H387" t="str" cm="1">
        <f t="array" ref="H387">_xlfn.IFS(E387&gt;=16, "Excellent",E387&gt;=14, "Très bien", E387&gt;=12, "Bien", E387&gt;=10, "Passable", E387&lt;10, "Insuffisant")</f>
        <v>Très bien</v>
      </c>
      <c r="I387" s="14" t="str">
        <f t="shared" ref="I387:I450" si="18">IF(OR(D387&lt;10,E387&lt;10,F387&lt;70%), "A surveiller", "RAS")</f>
        <v>A surveiller</v>
      </c>
      <c r="J387" s="14" t="str">
        <f t="shared" ref="J387:J450" si="19">IF(NOT(C387="Data"), "Autre filière", "Data")</f>
        <v>Data</v>
      </c>
      <c r="L387" s="16"/>
    </row>
    <row r="388" spans="1:12">
      <c r="A388" t="s">
        <v>1167</v>
      </c>
      <c r="B388" t="s">
        <v>1036</v>
      </c>
      <c r="C388" t="s">
        <v>48</v>
      </c>
      <c r="D388">
        <v>15.64</v>
      </c>
      <c r="E388">
        <v>11.3</v>
      </c>
      <c r="F388" s="11">
        <v>0.60809999999999997</v>
      </c>
      <c r="G388" t="str">
        <f t="shared" si="17"/>
        <v>Admis sous condition</v>
      </c>
      <c r="H388" t="str" cm="1">
        <f t="array" ref="H388">_xlfn.IFS(E388&gt;=16, "Excellent",E388&gt;=14, "Très bien", E388&gt;=12, "Bien", E388&gt;=10, "Passable", E388&lt;10, "Insuffisant")</f>
        <v>Passable</v>
      </c>
      <c r="I388" s="14" t="str">
        <f t="shared" si="18"/>
        <v>A surveiller</v>
      </c>
      <c r="J388" s="14" t="str">
        <f t="shared" si="19"/>
        <v>Autre filière</v>
      </c>
      <c r="L388" s="16"/>
    </row>
    <row r="389" spans="1:12">
      <c r="A389" t="s">
        <v>852</v>
      </c>
      <c r="B389" t="s">
        <v>853</v>
      </c>
      <c r="C389" t="s">
        <v>48</v>
      </c>
      <c r="D389">
        <v>13.97</v>
      </c>
      <c r="E389">
        <v>11.12</v>
      </c>
      <c r="F389" s="11">
        <v>0.80640000000000001</v>
      </c>
      <c r="G389" t="str">
        <f t="shared" si="17"/>
        <v>Admis sous condition</v>
      </c>
      <c r="H389" t="str" cm="1">
        <f t="array" ref="H389">_xlfn.IFS(E389&gt;=16, "Excellent",E389&gt;=14, "Très bien", E389&gt;=12, "Bien", E389&gt;=10, "Passable", E389&lt;10, "Insuffisant")</f>
        <v>Passable</v>
      </c>
      <c r="I389" s="14" t="str">
        <f t="shared" si="18"/>
        <v>RAS</v>
      </c>
      <c r="J389" s="14" t="str">
        <f t="shared" si="19"/>
        <v>Autre filière</v>
      </c>
      <c r="K389" s="15"/>
      <c r="L389" s="16"/>
    </row>
    <row r="390" spans="1:12">
      <c r="A390" t="s">
        <v>1202</v>
      </c>
      <c r="B390" t="s">
        <v>575</v>
      </c>
      <c r="C390" t="s">
        <v>22</v>
      </c>
      <c r="D390">
        <v>10.8</v>
      </c>
      <c r="E390">
        <v>17.010000000000002</v>
      </c>
      <c r="F390" s="11">
        <v>0.97970000000000002</v>
      </c>
      <c r="G390" t="str">
        <f t="shared" si="17"/>
        <v>Admis sous condition</v>
      </c>
      <c r="H390" t="str" cm="1">
        <f t="array" ref="H390">_xlfn.IFS(E390&gt;=16, "Excellent",E390&gt;=14, "Très bien", E390&gt;=12, "Bien", E390&gt;=10, "Passable", E390&lt;10, "Insuffisant")</f>
        <v>Excellent</v>
      </c>
      <c r="I390" s="14" t="str">
        <f t="shared" si="18"/>
        <v>RAS</v>
      </c>
      <c r="J390" s="14" t="str">
        <f t="shared" si="19"/>
        <v>Data</v>
      </c>
      <c r="L390" s="16"/>
    </row>
    <row r="391" spans="1:12">
      <c r="A391" t="s">
        <v>1313</v>
      </c>
      <c r="B391" t="s">
        <v>96</v>
      </c>
      <c r="C391" t="s">
        <v>48</v>
      </c>
      <c r="D391">
        <v>15.2</v>
      </c>
      <c r="E391">
        <v>9.99</v>
      </c>
      <c r="F391" s="11">
        <v>0.69869999999999999</v>
      </c>
      <c r="G391" t="str">
        <f t="shared" si="17"/>
        <v>Refusé</v>
      </c>
      <c r="H391" t="str" cm="1">
        <f t="array" ref="H391">_xlfn.IFS(E391&gt;=16, "Excellent",E391&gt;=14, "Très bien", E391&gt;=12, "Bien", E391&gt;=10, "Passable", E391&lt;10, "Insuffisant")</f>
        <v>Insuffisant</v>
      </c>
      <c r="I391" s="14" t="str">
        <f t="shared" si="18"/>
        <v>A surveiller</v>
      </c>
      <c r="J391" s="14" t="str">
        <f t="shared" si="19"/>
        <v>Autre filière</v>
      </c>
      <c r="L391" s="16"/>
    </row>
    <row r="392" spans="1:12">
      <c r="A392" t="s">
        <v>1175</v>
      </c>
      <c r="B392" t="s">
        <v>425</v>
      </c>
      <c r="C392" t="s">
        <v>35</v>
      </c>
      <c r="D392">
        <v>15.08</v>
      </c>
      <c r="E392">
        <v>13.08</v>
      </c>
      <c r="F392" s="11">
        <v>0.91039999999999999</v>
      </c>
      <c r="G392" t="str">
        <f t="shared" si="17"/>
        <v>Admis</v>
      </c>
      <c r="H392" t="str" cm="1">
        <f t="array" ref="H392">_xlfn.IFS(E392&gt;=16, "Excellent",E392&gt;=14, "Très bien", E392&gt;=12, "Bien", E392&gt;=10, "Passable", E392&lt;10, "Insuffisant")</f>
        <v>Bien</v>
      </c>
      <c r="I392" s="14" t="str">
        <f t="shared" si="18"/>
        <v>RAS</v>
      </c>
      <c r="J392" s="14" t="str">
        <f t="shared" si="19"/>
        <v>Autre filière</v>
      </c>
      <c r="L392" s="16"/>
    </row>
    <row r="393" spans="1:12">
      <c r="A393" t="s">
        <v>493</v>
      </c>
      <c r="B393" t="s">
        <v>494</v>
      </c>
      <c r="C393" t="s">
        <v>22</v>
      </c>
      <c r="D393">
        <v>13.05</v>
      </c>
      <c r="E393">
        <v>12.85</v>
      </c>
      <c r="F393" s="11">
        <v>0.88490000000000002</v>
      </c>
      <c r="G393" t="str">
        <f t="shared" si="17"/>
        <v>Admis</v>
      </c>
      <c r="H393" t="str" cm="1">
        <f t="array" ref="H393">_xlfn.IFS(E393&gt;=16, "Excellent",E393&gt;=14, "Très bien", E393&gt;=12, "Bien", E393&gt;=10, "Passable", E393&lt;10, "Insuffisant")</f>
        <v>Bien</v>
      </c>
      <c r="I393" s="14" t="str">
        <f t="shared" si="18"/>
        <v>RAS</v>
      </c>
      <c r="J393" s="14" t="str">
        <f t="shared" si="19"/>
        <v>Data</v>
      </c>
      <c r="K393" s="15"/>
      <c r="L393" s="16"/>
    </row>
    <row r="394" spans="1:12">
      <c r="A394" t="s">
        <v>1197</v>
      </c>
      <c r="B394" t="s">
        <v>415</v>
      </c>
      <c r="C394" t="s">
        <v>22</v>
      </c>
      <c r="D394">
        <v>11.76</v>
      </c>
      <c r="E394">
        <v>10.98</v>
      </c>
      <c r="F394" s="11">
        <v>0.9496</v>
      </c>
      <c r="G394" t="str">
        <f t="shared" si="17"/>
        <v>Admis sous condition</v>
      </c>
      <c r="H394" t="str" cm="1">
        <f t="array" ref="H394">_xlfn.IFS(E394&gt;=16, "Excellent",E394&gt;=14, "Très bien", E394&gt;=12, "Bien", E394&gt;=10, "Passable", E394&lt;10, "Insuffisant")</f>
        <v>Passable</v>
      </c>
      <c r="I394" s="14" t="str">
        <f t="shared" si="18"/>
        <v>RAS</v>
      </c>
      <c r="J394" s="14" t="str">
        <f t="shared" si="19"/>
        <v>Data</v>
      </c>
      <c r="L394" s="16"/>
    </row>
    <row r="395" spans="1:12">
      <c r="A395" t="s">
        <v>837</v>
      </c>
      <c r="B395" t="s">
        <v>218</v>
      </c>
      <c r="C395" t="s">
        <v>35</v>
      </c>
      <c r="D395">
        <v>14.22</v>
      </c>
      <c r="E395">
        <v>16.41</v>
      </c>
      <c r="F395" s="11">
        <v>0.88629999999999998</v>
      </c>
      <c r="G395" t="str">
        <f t="shared" si="17"/>
        <v>Admis</v>
      </c>
      <c r="H395" t="str" cm="1">
        <f t="array" ref="H395">_xlfn.IFS(E395&gt;=16, "Excellent",E395&gt;=14, "Très bien", E395&gt;=12, "Bien", E395&gt;=10, "Passable", E395&lt;10, "Insuffisant")</f>
        <v>Excellent</v>
      </c>
      <c r="I395" s="14" t="str">
        <f t="shared" si="18"/>
        <v>RAS</v>
      </c>
      <c r="J395" s="14" t="str">
        <f t="shared" si="19"/>
        <v>Autre filière</v>
      </c>
      <c r="K395" s="15"/>
      <c r="L395" s="16"/>
    </row>
    <row r="396" spans="1:12">
      <c r="A396" t="s">
        <v>818</v>
      </c>
      <c r="B396" t="s">
        <v>137</v>
      </c>
      <c r="C396" t="s">
        <v>27</v>
      </c>
      <c r="D396">
        <v>9.39</v>
      </c>
      <c r="E396">
        <v>15.74</v>
      </c>
      <c r="F396" s="11">
        <v>0.92679999999999996</v>
      </c>
      <c r="G396" t="str">
        <f t="shared" si="17"/>
        <v>Refusé</v>
      </c>
      <c r="H396" t="str" cm="1">
        <f t="array" ref="H396">_xlfn.IFS(E396&gt;=16, "Excellent",E396&gt;=14, "Très bien", E396&gt;=12, "Bien", E396&gt;=10, "Passable", E396&lt;10, "Insuffisant")</f>
        <v>Très bien</v>
      </c>
      <c r="I396" s="14" t="str">
        <f t="shared" si="18"/>
        <v>A surveiller</v>
      </c>
      <c r="J396" s="14" t="str">
        <f t="shared" si="19"/>
        <v>Autre filière</v>
      </c>
      <c r="L396" s="16"/>
    </row>
    <row r="397" spans="1:12">
      <c r="A397" t="s">
        <v>153</v>
      </c>
      <c r="B397" t="s">
        <v>52</v>
      </c>
      <c r="C397" t="s">
        <v>22</v>
      </c>
      <c r="D397">
        <v>13.82</v>
      </c>
      <c r="E397">
        <v>18.579999999999998</v>
      </c>
      <c r="F397" s="11">
        <v>0.9204</v>
      </c>
      <c r="G397" t="str">
        <f t="shared" ref="G397:G460" si="20">IF(AND(D397&gt;=12,E397&gt;=12,F397&gt;=80%),"Admis",IF(AND(D397&gt;=10,E397&gt;=10),"Admis sous condition","Refusé"))</f>
        <v>Admis</v>
      </c>
      <c r="H397" t="str" cm="1">
        <f t="array" ref="H397">_xlfn.IFS(E397&gt;=16, "Excellent",E397&gt;=14, "Très bien", E397&gt;=12, "Bien", E397&gt;=10, "Passable", E397&lt;10, "Insuffisant")</f>
        <v>Excellent</v>
      </c>
      <c r="I397" s="14" t="str">
        <f t="shared" si="18"/>
        <v>RAS</v>
      </c>
      <c r="J397" s="14" t="str">
        <f t="shared" si="19"/>
        <v>Data</v>
      </c>
      <c r="L397" s="16"/>
    </row>
    <row r="398" spans="1:12">
      <c r="A398" t="s">
        <v>308</v>
      </c>
      <c r="B398" t="s">
        <v>152</v>
      </c>
      <c r="C398" t="s">
        <v>35</v>
      </c>
      <c r="D398">
        <v>7.09</v>
      </c>
      <c r="E398">
        <v>17.559999999999999</v>
      </c>
      <c r="F398" s="11">
        <v>0.92930000000000001</v>
      </c>
      <c r="G398" t="str">
        <f t="shared" si="20"/>
        <v>Refusé</v>
      </c>
      <c r="H398" t="str" cm="1">
        <f t="array" ref="H398">_xlfn.IFS(E398&gt;=16, "Excellent",E398&gt;=14, "Très bien", E398&gt;=12, "Bien", E398&gt;=10, "Passable", E398&lt;10, "Insuffisant")</f>
        <v>Excellent</v>
      </c>
      <c r="I398" s="14" t="str">
        <f t="shared" si="18"/>
        <v>A surveiller</v>
      </c>
      <c r="J398" s="14" t="str">
        <f t="shared" si="19"/>
        <v>Autre filière</v>
      </c>
      <c r="L398" s="16"/>
    </row>
    <row r="399" spans="1:12">
      <c r="A399" t="s">
        <v>677</v>
      </c>
      <c r="B399" t="s">
        <v>564</v>
      </c>
      <c r="C399" t="s">
        <v>35</v>
      </c>
      <c r="D399">
        <v>18.04</v>
      </c>
      <c r="E399">
        <v>17.36</v>
      </c>
      <c r="F399" s="11">
        <v>0.77969999999999995</v>
      </c>
      <c r="G399" t="str">
        <f t="shared" si="20"/>
        <v>Admis sous condition</v>
      </c>
      <c r="H399" t="str" cm="1">
        <f t="array" ref="H399">_xlfn.IFS(E399&gt;=16, "Excellent",E399&gt;=14, "Très bien", E399&gt;=12, "Bien", E399&gt;=10, "Passable", E399&lt;10, "Insuffisant")</f>
        <v>Excellent</v>
      </c>
      <c r="I399" s="14" t="str">
        <f t="shared" si="18"/>
        <v>RAS</v>
      </c>
      <c r="J399" s="14" t="str">
        <f t="shared" si="19"/>
        <v>Autre filière</v>
      </c>
      <c r="L399" s="16"/>
    </row>
    <row r="400" spans="1:12">
      <c r="A400" t="s">
        <v>986</v>
      </c>
      <c r="B400" t="s">
        <v>213</v>
      </c>
      <c r="C400" t="s">
        <v>48</v>
      </c>
      <c r="D400">
        <v>18.09</v>
      </c>
      <c r="E400">
        <v>17.27</v>
      </c>
      <c r="F400" s="11">
        <v>0.84699999999999998</v>
      </c>
      <c r="G400" t="str">
        <f t="shared" si="20"/>
        <v>Admis</v>
      </c>
      <c r="H400" t="str" cm="1">
        <f t="array" ref="H400">_xlfn.IFS(E400&gt;=16, "Excellent",E400&gt;=14, "Très bien", E400&gt;=12, "Bien", E400&gt;=10, "Passable", E400&lt;10, "Insuffisant")</f>
        <v>Excellent</v>
      </c>
      <c r="I400" s="14" t="str">
        <f t="shared" si="18"/>
        <v>RAS</v>
      </c>
      <c r="J400" s="14" t="str">
        <f t="shared" si="19"/>
        <v>Autre filière</v>
      </c>
      <c r="K400" s="15"/>
      <c r="L400" s="16"/>
    </row>
    <row r="401" spans="1:12">
      <c r="A401" t="s">
        <v>466</v>
      </c>
      <c r="B401" t="s">
        <v>467</v>
      </c>
      <c r="C401" t="s">
        <v>48</v>
      </c>
      <c r="D401">
        <v>11.97</v>
      </c>
      <c r="E401">
        <v>11.01</v>
      </c>
      <c r="F401" s="11">
        <v>0.82140000000000002</v>
      </c>
      <c r="G401" t="str">
        <f t="shared" si="20"/>
        <v>Admis sous condition</v>
      </c>
      <c r="H401" t="str" cm="1">
        <f t="array" ref="H401">_xlfn.IFS(E401&gt;=16, "Excellent",E401&gt;=14, "Très bien", E401&gt;=12, "Bien", E401&gt;=10, "Passable", E401&lt;10, "Insuffisant")</f>
        <v>Passable</v>
      </c>
      <c r="I401" s="14" t="str">
        <f t="shared" si="18"/>
        <v>RAS</v>
      </c>
      <c r="J401" s="14" t="str">
        <f t="shared" si="19"/>
        <v>Autre filière</v>
      </c>
      <c r="K401" s="15"/>
      <c r="L401" s="16"/>
    </row>
    <row r="402" spans="1:12">
      <c r="A402" t="s">
        <v>112</v>
      </c>
      <c r="B402" t="s">
        <v>113</v>
      </c>
      <c r="C402" t="s">
        <v>22</v>
      </c>
      <c r="D402">
        <v>15.7</v>
      </c>
      <c r="E402">
        <v>18.27</v>
      </c>
      <c r="F402" s="11">
        <v>0.94040000000000001</v>
      </c>
      <c r="G402" t="str">
        <f t="shared" si="20"/>
        <v>Admis</v>
      </c>
      <c r="H402" t="str" cm="1">
        <f t="array" ref="H402">_xlfn.IFS(E402&gt;=16, "Excellent",E402&gt;=14, "Très bien", E402&gt;=12, "Bien", E402&gt;=10, "Passable", E402&lt;10, "Insuffisant")</f>
        <v>Excellent</v>
      </c>
      <c r="I402" s="14" t="str">
        <f t="shared" si="18"/>
        <v>RAS</v>
      </c>
      <c r="J402" s="14" t="str">
        <f t="shared" si="19"/>
        <v>Data</v>
      </c>
      <c r="L402" s="16"/>
    </row>
    <row r="403" spans="1:12">
      <c r="A403" t="s">
        <v>1254</v>
      </c>
      <c r="B403" t="s">
        <v>646</v>
      </c>
      <c r="C403" t="s">
        <v>27</v>
      </c>
      <c r="D403">
        <v>14.47</v>
      </c>
      <c r="E403">
        <v>18.16</v>
      </c>
      <c r="F403" s="11">
        <v>0.90559999999999996</v>
      </c>
      <c r="G403" t="str">
        <f t="shared" si="20"/>
        <v>Admis</v>
      </c>
      <c r="H403" t="str" cm="1">
        <f t="array" ref="H403">_xlfn.IFS(E403&gt;=16, "Excellent",E403&gt;=14, "Très bien", E403&gt;=12, "Bien", E403&gt;=10, "Passable", E403&lt;10, "Insuffisant")</f>
        <v>Excellent</v>
      </c>
      <c r="I403" s="14" t="str">
        <f t="shared" si="18"/>
        <v>RAS</v>
      </c>
      <c r="J403" s="14" t="str">
        <f t="shared" si="19"/>
        <v>Autre filière</v>
      </c>
      <c r="L403" s="16"/>
    </row>
    <row r="404" spans="1:12">
      <c r="A404" t="s">
        <v>714</v>
      </c>
      <c r="B404" t="s">
        <v>52</v>
      </c>
      <c r="C404" t="s">
        <v>35</v>
      </c>
      <c r="D404">
        <v>16.100000000000001</v>
      </c>
      <c r="E404">
        <v>17.89</v>
      </c>
      <c r="F404" s="11">
        <v>0.55000000000000004</v>
      </c>
      <c r="G404" t="str">
        <f t="shared" si="20"/>
        <v>Admis sous condition</v>
      </c>
      <c r="H404" t="str" cm="1">
        <f t="array" ref="H404">_xlfn.IFS(E404&gt;=16, "Excellent",E404&gt;=14, "Très bien", E404&gt;=12, "Bien", E404&gt;=10, "Passable", E404&lt;10, "Insuffisant")</f>
        <v>Excellent</v>
      </c>
      <c r="I404" s="14" t="str">
        <f t="shared" si="18"/>
        <v>A surveiller</v>
      </c>
      <c r="J404" s="14" t="str">
        <f t="shared" si="19"/>
        <v>Autre filière</v>
      </c>
      <c r="L404" s="16"/>
    </row>
    <row r="405" spans="1:12">
      <c r="A405" t="s">
        <v>725</v>
      </c>
      <c r="B405" t="s">
        <v>380</v>
      </c>
      <c r="C405" t="s">
        <v>22</v>
      </c>
      <c r="D405">
        <v>10.81</v>
      </c>
      <c r="E405">
        <v>9.24</v>
      </c>
      <c r="F405" s="11">
        <v>0.6764</v>
      </c>
      <c r="G405" t="str">
        <f t="shared" si="20"/>
        <v>Refusé</v>
      </c>
      <c r="H405" t="str" cm="1">
        <f t="array" ref="H405">_xlfn.IFS(E405&gt;=16, "Excellent",E405&gt;=14, "Très bien", E405&gt;=12, "Bien", E405&gt;=10, "Passable", E405&lt;10, "Insuffisant")</f>
        <v>Insuffisant</v>
      </c>
      <c r="I405" s="14" t="str">
        <f t="shared" si="18"/>
        <v>A surveiller</v>
      </c>
      <c r="J405" s="14" t="str">
        <f t="shared" si="19"/>
        <v>Data</v>
      </c>
      <c r="L405" s="16"/>
    </row>
    <row r="406" spans="1:12">
      <c r="A406" t="s">
        <v>940</v>
      </c>
      <c r="B406" t="s">
        <v>460</v>
      </c>
      <c r="C406" t="s">
        <v>48</v>
      </c>
      <c r="D406">
        <v>17.29</v>
      </c>
      <c r="E406">
        <v>18.47</v>
      </c>
      <c r="F406" s="11">
        <v>0.93130000000000002</v>
      </c>
      <c r="G406" t="str">
        <f t="shared" si="20"/>
        <v>Admis</v>
      </c>
      <c r="H406" t="str" cm="1">
        <f t="array" ref="H406">_xlfn.IFS(E406&gt;=16, "Excellent",E406&gt;=14, "Très bien", E406&gt;=12, "Bien", E406&gt;=10, "Passable", E406&lt;10, "Insuffisant")</f>
        <v>Excellent</v>
      </c>
      <c r="I406" s="14" t="str">
        <f t="shared" si="18"/>
        <v>RAS</v>
      </c>
      <c r="J406" s="14" t="str">
        <f t="shared" si="19"/>
        <v>Autre filière</v>
      </c>
      <c r="L406" s="16"/>
    </row>
    <row r="407" spans="1:12">
      <c r="A407" t="s">
        <v>1099</v>
      </c>
      <c r="B407" t="s">
        <v>820</v>
      </c>
      <c r="C407" t="s">
        <v>22</v>
      </c>
      <c r="D407">
        <v>10.78</v>
      </c>
      <c r="E407">
        <v>13.98</v>
      </c>
      <c r="F407" s="11">
        <v>0.5958</v>
      </c>
      <c r="G407" t="str">
        <f t="shared" si="20"/>
        <v>Admis sous condition</v>
      </c>
      <c r="H407" t="str" cm="1">
        <f t="array" ref="H407">_xlfn.IFS(E407&gt;=16, "Excellent",E407&gt;=14, "Très bien", E407&gt;=12, "Bien", E407&gt;=10, "Passable", E407&lt;10, "Insuffisant")</f>
        <v>Bien</v>
      </c>
      <c r="I407" s="14" t="str">
        <f t="shared" si="18"/>
        <v>A surveiller</v>
      </c>
      <c r="J407" s="14" t="str">
        <f t="shared" si="19"/>
        <v>Data</v>
      </c>
      <c r="L407" s="16"/>
    </row>
    <row r="408" spans="1:12">
      <c r="A408" t="s">
        <v>1054</v>
      </c>
      <c r="B408" t="s">
        <v>150</v>
      </c>
      <c r="C408" t="s">
        <v>22</v>
      </c>
      <c r="D408">
        <v>15.01</v>
      </c>
      <c r="E408">
        <v>12.43</v>
      </c>
      <c r="F408" s="11">
        <v>0.81210000000000004</v>
      </c>
      <c r="G408" t="str">
        <f t="shared" si="20"/>
        <v>Admis</v>
      </c>
      <c r="H408" t="str" cm="1">
        <f t="array" ref="H408">_xlfn.IFS(E408&gt;=16, "Excellent",E408&gt;=14, "Très bien", E408&gt;=12, "Bien", E408&gt;=10, "Passable", E408&lt;10, "Insuffisant")</f>
        <v>Bien</v>
      </c>
      <c r="I408" s="14" t="str">
        <f t="shared" si="18"/>
        <v>RAS</v>
      </c>
      <c r="J408" s="14" t="str">
        <f t="shared" si="19"/>
        <v>Data</v>
      </c>
      <c r="K408" s="15"/>
      <c r="L408" s="16"/>
    </row>
    <row r="409" spans="1:12">
      <c r="A409" t="s">
        <v>1115</v>
      </c>
      <c r="B409" t="s">
        <v>204</v>
      </c>
      <c r="C409" t="s">
        <v>22</v>
      </c>
      <c r="D409">
        <v>13.49</v>
      </c>
      <c r="E409">
        <v>17.22</v>
      </c>
      <c r="F409" s="11">
        <v>0.55000000000000004</v>
      </c>
      <c r="G409" t="str">
        <f t="shared" si="20"/>
        <v>Admis sous condition</v>
      </c>
      <c r="H409" t="str" cm="1">
        <f t="array" ref="H409">_xlfn.IFS(E409&gt;=16, "Excellent",E409&gt;=14, "Très bien", E409&gt;=12, "Bien", E409&gt;=10, "Passable", E409&lt;10, "Insuffisant")</f>
        <v>Excellent</v>
      </c>
      <c r="I409" s="14" t="str">
        <f t="shared" si="18"/>
        <v>A surveiller</v>
      </c>
      <c r="J409" s="14" t="str">
        <f t="shared" si="19"/>
        <v>Data</v>
      </c>
      <c r="L409" s="16"/>
    </row>
    <row r="410" spans="1:12">
      <c r="A410" t="s">
        <v>1114</v>
      </c>
      <c r="B410" t="s">
        <v>344</v>
      </c>
      <c r="C410" t="s">
        <v>48</v>
      </c>
      <c r="D410">
        <v>15.81</v>
      </c>
      <c r="E410">
        <v>16.02</v>
      </c>
      <c r="F410" s="11">
        <v>0.81179999999999997</v>
      </c>
      <c r="G410" t="str">
        <f t="shared" si="20"/>
        <v>Admis</v>
      </c>
      <c r="H410" t="str" cm="1">
        <f t="array" ref="H410">_xlfn.IFS(E410&gt;=16, "Excellent",E410&gt;=14, "Très bien", E410&gt;=12, "Bien", E410&gt;=10, "Passable", E410&lt;10, "Insuffisant")</f>
        <v>Excellent</v>
      </c>
      <c r="I410" s="14" t="str">
        <f t="shared" si="18"/>
        <v>RAS</v>
      </c>
      <c r="J410" s="14" t="str">
        <f t="shared" si="19"/>
        <v>Autre filière</v>
      </c>
      <c r="K410" s="15"/>
      <c r="L410" s="16"/>
    </row>
    <row r="411" spans="1:12">
      <c r="A411" t="s">
        <v>932</v>
      </c>
      <c r="B411" t="s">
        <v>431</v>
      </c>
      <c r="C411" t="s">
        <v>22</v>
      </c>
      <c r="D411">
        <v>18.47</v>
      </c>
      <c r="E411">
        <v>12.91</v>
      </c>
      <c r="F411" s="11">
        <v>0.88260000000000005</v>
      </c>
      <c r="G411" t="str">
        <f t="shared" si="20"/>
        <v>Admis</v>
      </c>
      <c r="H411" t="str" cm="1">
        <f t="array" ref="H411">_xlfn.IFS(E411&gt;=16, "Excellent",E411&gt;=14, "Très bien", E411&gt;=12, "Bien", E411&gt;=10, "Passable", E411&lt;10, "Insuffisant")</f>
        <v>Bien</v>
      </c>
      <c r="I411" s="14" t="str">
        <f t="shared" si="18"/>
        <v>RAS</v>
      </c>
      <c r="J411" s="14" t="str">
        <f t="shared" si="19"/>
        <v>Data</v>
      </c>
      <c r="K411" s="15"/>
      <c r="L411" s="16"/>
    </row>
    <row r="412" spans="1:12">
      <c r="A412" t="s">
        <v>922</v>
      </c>
      <c r="B412" t="s">
        <v>923</v>
      </c>
      <c r="C412" t="s">
        <v>27</v>
      </c>
      <c r="D412">
        <v>13.05</v>
      </c>
      <c r="E412">
        <v>10.08</v>
      </c>
      <c r="F412" s="11">
        <v>0.73899999999999999</v>
      </c>
      <c r="G412" t="str">
        <f t="shared" si="20"/>
        <v>Admis sous condition</v>
      </c>
      <c r="H412" t="str" cm="1">
        <f t="array" ref="H412">_xlfn.IFS(E412&gt;=16, "Excellent",E412&gt;=14, "Très bien", E412&gt;=12, "Bien", E412&gt;=10, "Passable", E412&lt;10, "Insuffisant")</f>
        <v>Passable</v>
      </c>
      <c r="I412" s="14" t="str">
        <f t="shared" si="18"/>
        <v>RAS</v>
      </c>
      <c r="J412" s="14" t="str">
        <f t="shared" si="19"/>
        <v>Autre filière</v>
      </c>
      <c r="L412" s="16"/>
    </row>
    <row r="413" spans="1:12">
      <c r="A413" t="s">
        <v>971</v>
      </c>
      <c r="B413" t="s">
        <v>310</v>
      </c>
      <c r="C413" t="s">
        <v>48</v>
      </c>
      <c r="D413">
        <v>8.67</v>
      </c>
      <c r="E413">
        <v>10.37</v>
      </c>
      <c r="F413" s="11">
        <v>0.89090000000000003</v>
      </c>
      <c r="G413" t="str">
        <f t="shared" si="20"/>
        <v>Refusé</v>
      </c>
      <c r="H413" t="str" cm="1">
        <f t="array" ref="H413">_xlfn.IFS(E413&gt;=16, "Excellent",E413&gt;=14, "Très bien", E413&gt;=12, "Bien", E413&gt;=10, "Passable", E413&lt;10, "Insuffisant")</f>
        <v>Passable</v>
      </c>
      <c r="I413" s="14" t="str">
        <f t="shared" si="18"/>
        <v>A surveiller</v>
      </c>
      <c r="J413" s="14" t="str">
        <f t="shared" si="19"/>
        <v>Autre filière</v>
      </c>
      <c r="K413" s="15"/>
      <c r="L413" s="16"/>
    </row>
    <row r="414" spans="1:12">
      <c r="A414" t="s">
        <v>1020</v>
      </c>
      <c r="B414" t="s">
        <v>354</v>
      </c>
      <c r="C414" t="s">
        <v>35</v>
      </c>
      <c r="D414">
        <v>15.11</v>
      </c>
      <c r="E414">
        <v>14.31</v>
      </c>
      <c r="F414" s="11">
        <v>0.74729999999999996</v>
      </c>
      <c r="G414" t="str">
        <f t="shared" si="20"/>
        <v>Admis sous condition</v>
      </c>
      <c r="H414" t="str" cm="1">
        <f t="array" ref="H414">_xlfn.IFS(E414&gt;=16, "Excellent",E414&gt;=14, "Très bien", E414&gt;=12, "Bien", E414&gt;=10, "Passable", E414&lt;10, "Insuffisant")</f>
        <v>Très bien</v>
      </c>
      <c r="I414" s="14" t="str">
        <f t="shared" si="18"/>
        <v>RAS</v>
      </c>
      <c r="J414" s="14" t="str">
        <f t="shared" si="19"/>
        <v>Autre filière</v>
      </c>
      <c r="L414" s="16"/>
    </row>
    <row r="415" spans="1:12">
      <c r="A415" t="s">
        <v>591</v>
      </c>
      <c r="B415" t="s">
        <v>202</v>
      </c>
      <c r="C415" t="s">
        <v>35</v>
      </c>
      <c r="D415">
        <v>12.53</v>
      </c>
      <c r="E415">
        <v>12.69</v>
      </c>
      <c r="F415" s="11">
        <v>0.58009999999999995</v>
      </c>
      <c r="G415" t="str">
        <f t="shared" si="20"/>
        <v>Admis sous condition</v>
      </c>
      <c r="H415" t="str" cm="1">
        <f t="array" ref="H415">_xlfn.IFS(E415&gt;=16, "Excellent",E415&gt;=14, "Très bien", E415&gt;=12, "Bien", E415&gt;=10, "Passable", E415&lt;10, "Insuffisant")</f>
        <v>Bien</v>
      </c>
      <c r="I415" s="14" t="str">
        <f t="shared" si="18"/>
        <v>A surveiller</v>
      </c>
      <c r="J415" s="14" t="str">
        <f t="shared" si="19"/>
        <v>Autre filière</v>
      </c>
      <c r="L415" s="16"/>
    </row>
    <row r="416" spans="1:12">
      <c r="A416" t="s">
        <v>352</v>
      </c>
      <c r="B416" t="s">
        <v>115</v>
      </c>
      <c r="C416" t="s">
        <v>27</v>
      </c>
      <c r="D416">
        <v>15.97</v>
      </c>
      <c r="E416">
        <v>14.85</v>
      </c>
      <c r="F416" s="11">
        <v>0.77890000000000004</v>
      </c>
      <c r="G416" t="str">
        <f t="shared" si="20"/>
        <v>Admis sous condition</v>
      </c>
      <c r="H416" t="str" cm="1">
        <f t="array" ref="H416">_xlfn.IFS(E416&gt;=16, "Excellent",E416&gt;=14, "Très bien", E416&gt;=12, "Bien", E416&gt;=10, "Passable", E416&lt;10, "Insuffisant")</f>
        <v>Très bien</v>
      </c>
      <c r="I416" s="14" t="str">
        <f t="shared" si="18"/>
        <v>RAS</v>
      </c>
      <c r="J416" s="14" t="str">
        <f t="shared" si="19"/>
        <v>Autre filière</v>
      </c>
      <c r="L416" s="16"/>
    </row>
    <row r="417" spans="1:12">
      <c r="A417" t="s">
        <v>390</v>
      </c>
      <c r="B417" t="s">
        <v>161</v>
      </c>
      <c r="C417" t="s">
        <v>35</v>
      </c>
      <c r="D417">
        <v>16.149999999999999</v>
      </c>
      <c r="E417">
        <v>13.8</v>
      </c>
      <c r="F417" s="11">
        <v>0.79520000000000002</v>
      </c>
      <c r="G417" t="str">
        <f t="shared" si="20"/>
        <v>Admis sous condition</v>
      </c>
      <c r="H417" t="str" cm="1">
        <f t="array" ref="H417">_xlfn.IFS(E417&gt;=16, "Excellent",E417&gt;=14, "Très bien", E417&gt;=12, "Bien", E417&gt;=10, "Passable", E417&lt;10, "Insuffisant")</f>
        <v>Bien</v>
      </c>
      <c r="I417" s="14" t="str">
        <f t="shared" si="18"/>
        <v>RAS</v>
      </c>
      <c r="J417" s="14" t="str">
        <f t="shared" si="19"/>
        <v>Autre filière</v>
      </c>
      <c r="L417" s="16"/>
    </row>
    <row r="418" spans="1:12">
      <c r="A418" t="s">
        <v>62</v>
      </c>
      <c r="B418" t="s">
        <v>63</v>
      </c>
      <c r="C418" t="s">
        <v>48</v>
      </c>
      <c r="D418">
        <v>18.2</v>
      </c>
      <c r="E418">
        <v>13.29</v>
      </c>
      <c r="F418" s="11">
        <v>0.84589999999999999</v>
      </c>
      <c r="G418" t="str">
        <f t="shared" si="20"/>
        <v>Admis</v>
      </c>
      <c r="H418" t="str" cm="1">
        <f t="array" ref="H418">_xlfn.IFS(E418&gt;=16, "Excellent",E418&gt;=14, "Très bien", E418&gt;=12, "Bien", E418&gt;=10, "Passable", E418&lt;10, "Insuffisant")</f>
        <v>Bien</v>
      </c>
      <c r="I418" s="14" t="str">
        <f t="shared" si="18"/>
        <v>RAS</v>
      </c>
      <c r="J418" s="14" t="str">
        <f t="shared" si="19"/>
        <v>Autre filière</v>
      </c>
      <c r="K418" s="15"/>
      <c r="L418" s="16"/>
    </row>
    <row r="419" spans="1:12">
      <c r="A419" t="s">
        <v>983</v>
      </c>
      <c r="B419" t="s">
        <v>984</v>
      </c>
      <c r="C419" t="s">
        <v>35</v>
      </c>
      <c r="D419">
        <v>12.78</v>
      </c>
      <c r="E419">
        <v>15.31</v>
      </c>
      <c r="F419" s="11">
        <v>0.71220000000000006</v>
      </c>
      <c r="G419" t="str">
        <f t="shared" si="20"/>
        <v>Admis sous condition</v>
      </c>
      <c r="H419" t="str" cm="1">
        <f t="array" ref="H419">_xlfn.IFS(E419&gt;=16, "Excellent",E419&gt;=14, "Très bien", E419&gt;=12, "Bien", E419&gt;=10, "Passable", E419&lt;10, "Insuffisant")</f>
        <v>Très bien</v>
      </c>
      <c r="I419" s="14" t="str">
        <f t="shared" si="18"/>
        <v>RAS</v>
      </c>
      <c r="J419" s="14" t="str">
        <f t="shared" si="19"/>
        <v>Autre filière</v>
      </c>
      <c r="L419" s="16"/>
    </row>
    <row r="420" spans="1:12">
      <c r="A420" t="s">
        <v>480</v>
      </c>
      <c r="B420" t="s">
        <v>88</v>
      </c>
      <c r="C420" t="s">
        <v>22</v>
      </c>
      <c r="D420">
        <v>17.3</v>
      </c>
      <c r="E420">
        <v>14.92</v>
      </c>
      <c r="F420" s="11">
        <v>0.83330000000000004</v>
      </c>
      <c r="G420" t="str">
        <f t="shared" si="20"/>
        <v>Admis</v>
      </c>
      <c r="H420" t="str" cm="1">
        <f t="array" ref="H420">_xlfn.IFS(E420&gt;=16, "Excellent",E420&gt;=14, "Très bien", E420&gt;=12, "Bien", E420&gt;=10, "Passable", E420&lt;10, "Insuffisant")</f>
        <v>Très bien</v>
      </c>
      <c r="I420" s="14" t="str">
        <f t="shared" si="18"/>
        <v>RAS</v>
      </c>
      <c r="J420" s="14" t="str">
        <f t="shared" si="19"/>
        <v>Data</v>
      </c>
      <c r="K420" s="15"/>
      <c r="L420" s="16"/>
    </row>
    <row r="421" spans="1:12">
      <c r="A421" t="s">
        <v>716</v>
      </c>
      <c r="B421" t="s">
        <v>135</v>
      </c>
      <c r="C421" t="s">
        <v>48</v>
      </c>
      <c r="D421">
        <v>14.12</v>
      </c>
      <c r="E421">
        <v>14.57</v>
      </c>
      <c r="F421" s="11">
        <v>0.69399999999999995</v>
      </c>
      <c r="G421" t="str">
        <f t="shared" si="20"/>
        <v>Admis sous condition</v>
      </c>
      <c r="H421" t="str" cm="1">
        <f t="array" ref="H421">_xlfn.IFS(E421&gt;=16, "Excellent",E421&gt;=14, "Très bien", E421&gt;=12, "Bien", E421&gt;=10, "Passable", E421&lt;10, "Insuffisant")</f>
        <v>Très bien</v>
      </c>
      <c r="I421" s="14" t="str">
        <f t="shared" si="18"/>
        <v>A surveiller</v>
      </c>
      <c r="J421" s="14" t="str">
        <f t="shared" si="19"/>
        <v>Autre filière</v>
      </c>
      <c r="L421" s="16"/>
    </row>
    <row r="422" spans="1:12">
      <c r="A422" t="s">
        <v>1022</v>
      </c>
      <c r="B422" t="s">
        <v>908</v>
      </c>
      <c r="C422" t="s">
        <v>27</v>
      </c>
      <c r="D422">
        <v>14.73</v>
      </c>
      <c r="E422">
        <v>13.83</v>
      </c>
      <c r="F422" s="11">
        <v>0.95860000000000001</v>
      </c>
      <c r="G422" t="str">
        <f t="shared" si="20"/>
        <v>Admis</v>
      </c>
      <c r="H422" t="str" cm="1">
        <f t="array" ref="H422">_xlfn.IFS(E422&gt;=16, "Excellent",E422&gt;=14, "Très bien", E422&gt;=12, "Bien", E422&gt;=10, "Passable", E422&lt;10, "Insuffisant")</f>
        <v>Bien</v>
      </c>
      <c r="I422" s="14" t="str">
        <f t="shared" si="18"/>
        <v>RAS</v>
      </c>
      <c r="J422" s="14" t="str">
        <f t="shared" si="19"/>
        <v>Autre filière</v>
      </c>
      <c r="L422" s="16"/>
    </row>
    <row r="423" spans="1:12">
      <c r="A423" t="s">
        <v>599</v>
      </c>
      <c r="B423" t="s">
        <v>600</v>
      </c>
      <c r="C423" t="s">
        <v>48</v>
      </c>
      <c r="D423">
        <v>10.81</v>
      </c>
      <c r="E423">
        <v>10.96</v>
      </c>
      <c r="F423" s="11">
        <v>0.84319999999999995</v>
      </c>
      <c r="G423" t="str">
        <f t="shared" si="20"/>
        <v>Admis sous condition</v>
      </c>
      <c r="H423" t="str" cm="1">
        <f t="array" ref="H423">_xlfn.IFS(E423&gt;=16, "Excellent",E423&gt;=14, "Très bien", E423&gt;=12, "Bien", E423&gt;=10, "Passable", E423&lt;10, "Insuffisant")</f>
        <v>Passable</v>
      </c>
      <c r="I423" s="14" t="str">
        <f t="shared" si="18"/>
        <v>RAS</v>
      </c>
      <c r="J423" s="14" t="str">
        <f t="shared" si="19"/>
        <v>Autre filière</v>
      </c>
      <c r="K423" s="15"/>
      <c r="L423" s="16"/>
    </row>
    <row r="424" spans="1:12">
      <c r="A424" t="s">
        <v>927</v>
      </c>
      <c r="B424" t="s">
        <v>928</v>
      </c>
      <c r="C424" t="s">
        <v>27</v>
      </c>
      <c r="D424">
        <v>13.83</v>
      </c>
      <c r="E424">
        <v>10.86</v>
      </c>
      <c r="F424" s="11">
        <v>0.77849999999999997</v>
      </c>
      <c r="G424" t="str">
        <f t="shared" si="20"/>
        <v>Admis sous condition</v>
      </c>
      <c r="H424" t="str" cm="1">
        <f t="array" ref="H424">_xlfn.IFS(E424&gt;=16, "Excellent",E424&gt;=14, "Très bien", E424&gt;=12, "Bien", E424&gt;=10, "Passable", E424&lt;10, "Insuffisant")</f>
        <v>Passable</v>
      </c>
      <c r="I424" s="14" t="str">
        <f t="shared" si="18"/>
        <v>RAS</v>
      </c>
      <c r="J424" s="14" t="str">
        <f t="shared" si="19"/>
        <v>Autre filière</v>
      </c>
      <c r="L424" s="16"/>
    </row>
    <row r="425" spans="1:12">
      <c r="A425" t="s">
        <v>205</v>
      </c>
      <c r="B425" t="s">
        <v>79</v>
      </c>
      <c r="C425" t="s">
        <v>48</v>
      </c>
      <c r="D425">
        <v>16.260000000000002</v>
      </c>
      <c r="E425">
        <v>16.62</v>
      </c>
      <c r="F425" s="11">
        <v>0.82809999999999995</v>
      </c>
      <c r="G425" t="str">
        <f t="shared" si="20"/>
        <v>Admis</v>
      </c>
      <c r="H425" t="str" cm="1">
        <f t="array" ref="H425">_xlfn.IFS(E425&gt;=16, "Excellent",E425&gt;=14, "Très bien", E425&gt;=12, "Bien", E425&gt;=10, "Passable", E425&lt;10, "Insuffisant")</f>
        <v>Excellent</v>
      </c>
      <c r="I425" s="14" t="str">
        <f t="shared" si="18"/>
        <v>RAS</v>
      </c>
      <c r="J425" s="14" t="str">
        <f t="shared" si="19"/>
        <v>Autre filière</v>
      </c>
      <c r="K425" s="15"/>
      <c r="L425" s="16"/>
    </row>
    <row r="426" spans="1:12">
      <c r="A426" t="s">
        <v>1221</v>
      </c>
      <c r="B426" t="s">
        <v>65</v>
      </c>
      <c r="C426" t="s">
        <v>27</v>
      </c>
      <c r="D426">
        <v>12.88</v>
      </c>
      <c r="E426">
        <v>12.37</v>
      </c>
      <c r="F426" s="11">
        <v>0.73619999999999997</v>
      </c>
      <c r="G426" t="str">
        <f t="shared" si="20"/>
        <v>Admis sous condition</v>
      </c>
      <c r="H426" t="str" cm="1">
        <f t="array" ref="H426">_xlfn.IFS(E426&gt;=16, "Excellent",E426&gt;=14, "Très bien", E426&gt;=12, "Bien", E426&gt;=10, "Passable", E426&lt;10, "Insuffisant")</f>
        <v>Bien</v>
      </c>
      <c r="I426" s="14" t="str">
        <f t="shared" si="18"/>
        <v>RAS</v>
      </c>
      <c r="J426" s="14" t="str">
        <f t="shared" si="19"/>
        <v>Autre filière</v>
      </c>
      <c r="L426" s="16"/>
    </row>
    <row r="427" spans="1:12">
      <c r="A427" t="s">
        <v>537</v>
      </c>
      <c r="B427" t="s">
        <v>372</v>
      </c>
      <c r="C427" t="s">
        <v>22</v>
      </c>
      <c r="D427">
        <v>13.81</v>
      </c>
      <c r="E427">
        <v>11.74</v>
      </c>
      <c r="F427" s="11">
        <v>0.64239999999999997</v>
      </c>
      <c r="G427" t="str">
        <f t="shared" si="20"/>
        <v>Admis sous condition</v>
      </c>
      <c r="H427" t="str" cm="1">
        <f t="array" ref="H427">_xlfn.IFS(E427&gt;=16, "Excellent",E427&gt;=14, "Très bien", E427&gt;=12, "Bien", E427&gt;=10, "Passable", E427&lt;10, "Insuffisant")</f>
        <v>Passable</v>
      </c>
      <c r="I427" s="14" t="str">
        <f t="shared" si="18"/>
        <v>A surveiller</v>
      </c>
      <c r="J427" s="14" t="str">
        <f t="shared" si="19"/>
        <v>Data</v>
      </c>
      <c r="L427" s="16"/>
    </row>
    <row r="428" spans="1:12">
      <c r="A428" t="s">
        <v>134</v>
      </c>
      <c r="B428" t="s">
        <v>135</v>
      </c>
      <c r="C428" t="s">
        <v>22</v>
      </c>
      <c r="D428">
        <v>18.190000000000001</v>
      </c>
      <c r="E428">
        <v>14.54</v>
      </c>
      <c r="F428" s="11">
        <v>0.79700000000000004</v>
      </c>
      <c r="G428" t="str">
        <f t="shared" si="20"/>
        <v>Admis sous condition</v>
      </c>
      <c r="H428" t="str" cm="1">
        <f t="array" ref="H428">_xlfn.IFS(E428&gt;=16, "Excellent",E428&gt;=14, "Très bien", E428&gt;=12, "Bien", E428&gt;=10, "Passable", E428&lt;10, "Insuffisant")</f>
        <v>Très bien</v>
      </c>
      <c r="I428" s="14" t="str">
        <f t="shared" si="18"/>
        <v>RAS</v>
      </c>
      <c r="J428" s="14" t="str">
        <f t="shared" si="19"/>
        <v>Data</v>
      </c>
      <c r="L428" s="16"/>
    </row>
    <row r="429" spans="1:12">
      <c r="A429" t="s">
        <v>1170</v>
      </c>
      <c r="B429" t="s">
        <v>1038</v>
      </c>
      <c r="C429" t="s">
        <v>22</v>
      </c>
      <c r="D429">
        <v>13.89</v>
      </c>
      <c r="E429">
        <v>15.64</v>
      </c>
      <c r="F429" s="11">
        <v>0.69040000000000001</v>
      </c>
      <c r="G429" t="str">
        <f t="shared" si="20"/>
        <v>Admis sous condition</v>
      </c>
      <c r="H429" t="str" cm="1">
        <f t="array" ref="H429">_xlfn.IFS(E429&gt;=16, "Excellent",E429&gt;=14, "Très bien", E429&gt;=12, "Bien", E429&gt;=10, "Passable", E429&lt;10, "Insuffisant")</f>
        <v>Très bien</v>
      </c>
      <c r="I429" s="14" t="str">
        <f t="shared" si="18"/>
        <v>A surveiller</v>
      </c>
      <c r="J429" s="14" t="str">
        <f t="shared" si="19"/>
        <v>Data</v>
      </c>
      <c r="L429" s="16"/>
    </row>
    <row r="430" spans="1:12">
      <c r="A430" t="s">
        <v>1155</v>
      </c>
      <c r="B430" t="s">
        <v>135</v>
      </c>
      <c r="C430" t="s">
        <v>22</v>
      </c>
      <c r="D430">
        <v>14.82</v>
      </c>
      <c r="E430">
        <v>15.19</v>
      </c>
      <c r="F430" s="11">
        <v>0.93130000000000002</v>
      </c>
      <c r="G430" t="str">
        <f t="shared" si="20"/>
        <v>Admis</v>
      </c>
      <c r="H430" t="str" cm="1">
        <f t="array" ref="H430">_xlfn.IFS(E430&gt;=16, "Excellent",E430&gt;=14, "Très bien", E430&gt;=12, "Bien", E430&gt;=10, "Passable", E430&lt;10, "Insuffisant")</f>
        <v>Très bien</v>
      </c>
      <c r="I430" s="14" t="str">
        <f t="shared" si="18"/>
        <v>RAS</v>
      </c>
      <c r="J430" s="14" t="str">
        <f t="shared" si="19"/>
        <v>Data</v>
      </c>
      <c r="L430" s="16"/>
    </row>
    <row r="431" spans="1:12">
      <c r="A431" t="s">
        <v>548</v>
      </c>
      <c r="B431" t="s">
        <v>539</v>
      </c>
      <c r="C431" t="s">
        <v>35</v>
      </c>
      <c r="D431">
        <v>14.17</v>
      </c>
      <c r="E431">
        <v>10.97</v>
      </c>
      <c r="F431" s="11">
        <v>0.98650000000000004</v>
      </c>
      <c r="G431" t="str">
        <f t="shared" si="20"/>
        <v>Admis sous condition</v>
      </c>
      <c r="H431" t="str" cm="1">
        <f t="array" ref="H431">_xlfn.IFS(E431&gt;=16, "Excellent",E431&gt;=14, "Très bien", E431&gt;=12, "Bien", E431&gt;=10, "Passable", E431&lt;10, "Insuffisant")</f>
        <v>Passable</v>
      </c>
      <c r="I431" s="14" t="str">
        <f t="shared" si="18"/>
        <v>RAS</v>
      </c>
      <c r="J431" s="14" t="str">
        <f t="shared" si="19"/>
        <v>Autre filière</v>
      </c>
      <c r="L431" s="16"/>
    </row>
    <row r="432" spans="1:12">
      <c r="A432" t="s">
        <v>896</v>
      </c>
      <c r="B432" t="s">
        <v>878</v>
      </c>
      <c r="C432" t="s">
        <v>48</v>
      </c>
      <c r="D432">
        <v>15.89</v>
      </c>
      <c r="E432">
        <v>14.2</v>
      </c>
      <c r="F432" s="11">
        <v>0.6996</v>
      </c>
      <c r="G432" t="str">
        <f t="shared" si="20"/>
        <v>Admis sous condition</v>
      </c>
      <c r="H432" t="str" cm="1">
        <f t="array" ref="H432">_xlfn.IFS(E432&gt;=16, "Excellent",E432&gt;=14, "Très bien", E432&gt;=12, "Bien", E432&gt;=10, "Passable", E432&lt;10, "Insuffisant")</f>
        <v>Très bien</v>
      </c>
      <c r="I432" s="14" t="str">
        <f t="shared" si="18"/>
        <v>A surveiller</v>
      </c>
      <c r="J432" s="14" t="str">
        <f t="shared" si="19"/>
        <v>Autre filière</v>
      </c>
      <c r="L432" s="16"/>
    </row>
    <row r="433" spans="1:12">
      <c r="A433" t="s">
        <v>1018</v>
      </c>
      <c r="B433" t="s">
        <v>748</v>
      </c>
      <c r="C433" t="s">
        <v>48</v>
      </c>
      <c r="D433">
        <v>14.2</v>
      </c>
      <c r="E433">
        <v>12.09</v>
      </c>
      <c r="F433" s="11">
        <v>0.96560000000000001</v>
      </c>
      <c r="G433" t="str">
        <f t="shared" si="20"/>
        <v>Admis</v>
      </c>
      <c r="H433" t="str" cm="1">
        <f t="array" ref="H433">_xlfn.IFS(E433&gt;=16, "Excellent",E433&gt;=14, "Très bien", E433&gt;=12, "Bien", E433&gt;=10, "Passable", E433&lt;10, "Insuffisant")</f>
        <v>Bien</v>
      </c>
      <c r="I433" s="14" t="str">
        <f t="shared" si="18"/>
        <v>RAS</v>
      </c>
      <c r="J433" s="14" t="str">
        <f t="shared" si="19"/>
        <v>Autre filière</v>
      </c>
      <c r="L433" s="16"/>
    </row>
    <row r="434" spans="1:12">
      <c r="A434" t="s">
        <v>427</v>
      </c>
      <c r="B434" t="s">
        <v>428</v>
      </c>
      <c r="C434" t="s">
        <v>22</v>
      </c>
      <c r="D434">
        <v>14.01</v>
      </c>
      <c r="E434">
        <v>9.76</v>
      </c>
      <c r="F434" s="11">
        <v>0.77359999999999995</v>
      </c>
      <c r="G434" t="str">
        <f t="shared" si="20"/>
        <v>Refusé</v>
      </c>
      <c r="H434" t="str" cm="1">
        <f t="array" ref="H434">_xlfn.IFS(E434&gt;=16, "Excellent",E434&gt;=14, "Très bien", E434&gt;=12, "Bien", E434&gt;=10, "Passable", E434&lt;10, "Insuffisant")</f>
        <v>Insuffisant</v>
      </c>
      <c r="I434" s="14" t="str">
        <f t="shared" si="18"/>
        <v>A surveiller</v>
      </c>
      <c r="J434" s="14" t="str">
        <f t="shared" si="19"/>
        <v>Data</v>
      </c>
      <c r="L434" s="16"/>
    </row>
    <row r="435" spans="1:12">
      <c r="A435" t="s">
        <v>1181</v>
      </c>
      <c r="B435" t="s">
        <v>237</v>
      </c>
      <c r="C435" t="s">
        <v>48</v>
      </c>
      <c r="D435">
        <v>9.02</v>
      </c>
      <c r="E435">
        <v>19.61</v>
      </c>
      <c r="F435" s="11">
        <v>0.95920000000000005</v>
      </c>
      <c r="G435" t="str">
        <f t="shared" si="20"/>
        <v>Refusé</v>
      </c>
      <c r="H435" t="str" cm="1">
        <f t="array" ref="H435">_xlfn.IFS(E435&gt;=16, "Excellent",E435&gt;=14, "Très bien", E435&gt;=12, "Bien", E435&gt;=10, "Passable", E435&lt;10, "Insuffisant")</f>
        <v>Excellent</v>
      </c>
      <c r="I435" s="14" t="str">
        <f t="shared" si="18"/>
        <v>A surveiller</v>
      </c>
      <c r="J435" s="14" t="str">
        <f t="shared" si="19"/>
        <v>Autre filière</v>
      </c>
      <c r="L435" s="16"/>
    </row>
    <row r="436" spans="1:12">
      <c r="A436" t="s">
        <v>160</v>
      </c>
      <c r="B436" t="s">
        <v>161</v>
      </c>
      <c r="C436" t="s">
        <v>35</v>
      </c>
      <c r="D436">
        <v>12.99</v>
      </c>
      <c r="E436">
        <v>11.16</v>
      </c>
      <c r="F436" s="11">
        <v>0.80720000000000003</v>
      </c>
      <c r="G436" t="str">
        <f t="shared" si="20"/>
        <v>Admis sous condition</v>
      </c>
      <c r="H436" t="str" cm="1">
        <f t="array" ref="H436">_xlfn.IFS(E436&gt;=16, "Excellent",E436&gt;=14, "Très bien", E436&gt;=12, "Bien", E436&gt;=10, "Passable", E436&lt;10, "Insuffisant")</f>
        <v>Passable</v>
      </c>
      <c r="I436" s="14" t="str">
        <f t="shared" si="18"/>
        <v>RAS</v>
      </c>
      <c r="J436" s="14" t="str">
        <f t="shared" si="19"/>
        <v>Autre filière</v>
      </c>
      <c r="K436" s="15"/>
      <c r="L436" s="16"/>
    </row>
    <row r="437" spans="1:12">
      <c r="A437" t="s">
        <v>1142</v>
      </c>
      <c r="B437" t="s">
        <v>90</v>
      </c>
      <c r="C437" t="s">
        <v>48</v>
      </c>
      <c r="D437">
        <v>10.84</v>
      </c>
      <c r="E437">
        <v>12.95</v>
      </c>
      <c r="F437" s="11">
        <v>0.88139999999999996</v>
      </c>
      <c r="G437" t="str">
        <f t="shared" si="20"/>
        <v>Admis sous condition</v>
      </c>
      <c r="H437" t="str" cm="1">
        <f t="array" ref="H437">_xlfn.IFS(E437&gt;=16, "Excellent",E437&gt;=14, "Très bien", E437&gt;=12, "Bien", E437&gt;=10, "Passable", E437&lt;10, "Insuffisant")</f>
        <v>Bien</v>
      </c>
      <c r="I437" s="14" t="str">
        <f t="shared" si="18"/>
        <v>RAS</v>
      </c>
      <c r="J437" s="14" t="str">
        <f t="shared" si="19"/>
        <v>Autre filière</v>
      </c>
      <c r="K437" s="15"/>
      <c r="L437" s="16"/>
    </row>
    <row r="438" spans="1:12">
      <c r="A438" t="s">
        <v>979</v>
      </c>
      <c r="B438" t="s">
        <v>315</v>
      </c>
      <c r="C438" t="s">
        <v>22</v>
      </c>
      <c r="D438">
        <v>10.52</v>
      </c>
      <c r="E438">
        <v>11.06</v>
      </c>
      <c r="F438" s="11">
        <v>0.97170000000000001</v>
      </c>
      <c r="G438" t="str">
        <f t="shared" si="20"/>
        <v>Admis sous condition</v>
      </c>
      <c r="H438" t="str" cm="1">
        <f t="array" ref="H438">_xlfn.IFS(E438&gt;=16, "Excellent",E438&gt;=14, "Très bien", E438&gt;=12, "Bien", E438&gt;=10, "Passable", E438&lt;10, "Insuffisant")</f>
        <v>Passable</v>
      </c>
      <c r="I438" s="14" t="str">
        <f t="shared" si="18"/>
        <v>RAS</v>
      </c>
      <c r="J438" s="14" t="str">
        <f t="shared" si="19"/>
        <v>Data</v>
      </c>
      <c r="L438" s="16"/>
    </row>
    <row r="439" spans="1:12">
      <c r="A439" t="s">
        <v>595</v>
      </c>
      <c r="B439" t="s">
        <v>65</v>
      </c>
      <c r="C439" t="s">
        <v>48</v>
      </c>
      <c r="D439">
        <v>17.7</v>
      </c>
      <c r="E439">
        <v>18.21</v>
      </c>
      <c r="F439" s="11">
        <v>0.84409999999999996</v>
      </c>
      <c r="G439" t="str">
        <f t="shared" si="20"/>
        <v>Admis</v>
      </c>
      <c r="H439" t="str" cm="1">
        <f t="array" ref="H439">_xlfn.IFS(E439&gt;=16, "Excellent",E439&gt;=14, "Très bien", E439&gt;=12, "Bien", E439&gt;=10, "Passable", E439&lt;10, "Insuffisant")</f>
        <v>Excellent</v>
      </c>
      <c r="I439" s="14" t="str">
        <f t="shared" si="18"/>
        <v>RAS</v>
      </c>
      <c r="J439" s="14" t="str">
        <f t="shared" si="19"/>
        <v>Autre filière</v>
      </c>
      <c r="K439" s="15"/>
      <c r="L439" s="16"/>
    </row>
    <row r="440" spans="1:12">
      <c r="A440" t="s">
        <v>1261</v>
      </c>
      <c r="B440" t="s">
        <v>152</v>
      </c>
      <c r="C440" t="s">
        <v>22</v>
      </c>
      <c r="D440">
        <v>14.14</v>
      </c>
      <c r="E440">
        <v>7.1</v>
      </c>
      <c r="F440" s="11">
        <v>0.97670000000000001</v>
      </c>
      <c r="G440" t="str">
        <f t="shared" si="20"/>
        <v>Refusé</v>
      </c>
      <c r="H440" t="str" cm="1">
        <f t="array" ref="H440">_xlfn.IFS(E440&gt;=16, "Excellent",E440&gt;=14, "Très bien", E440&gt;=12, "Bien", E440&gt;=10, "Passable", E440&lt;10, "Insuffisant")</f>
        <v>Insuffisant</v>
      </c>
      <c r="I440" s="14" t="str">
        <f t="shared" si="18"/>
        <v>A surveiller</v>
      </c>
      <c r="J440" s="14" t="str">
        <f t="shared" si="19"/>
        <v>Data</v>
      </c>
      <c r="L440" s="16"/>
    </row>
    <row r="441" spans="1:12">
      <c r="A441" t="s">
        <v>286</v>
      </c>
      <c r="B441" t="s">
        <v>260</v>
      </c>
      <c r="C441" t="s">
        <v>48</v>
      </c>
      <c r="D441">
        <v>11.81</v>
      </c>
      <c r="E441">
        <v>10.33</v>
      </c>
      <c r="F441" s="11">
        <v>0.80449999999999999</v>
      </c>
      <c r="G441" t="str">
        <f t="shared" si="20"/>
        <v>Admis sous condition</v>
      </c>
      <c r="H441" t="str" cm="1">
        <f t="array" ref="H441">_xlfn.IFS(E441&gt;=16, "Excellent",E441&gt;=14, "Très bien", E441&gt;=12, "Bien", E441&gt;=10, "Passable", E441&lt;10, "Insuffisant")</f>
        <v>Passable</v>
      </c>
      <c r="I441" s="14" t="str">
        <f t="shared" si="18"/>
        <v>RAS</v>
      </c>
      <c r="J441" s="14" t="str">
        <f t="shared" si="19"/>
        <v>Autre filière</v>
      </c>
      <c r="K441" s="15"/>
      <c r="L441" s="16"/>
    </row>
    <row r="442" spans="1:12">
      <c r="A442" t="s">
        <v>968</v>
      </c>
      <c r="B442" t="s">
        <v>226</v>
      </c>
      <c r="C442" t="s">
        <v>35</v>
      </c>
      <c r="D442">
        <v>15.93</v>
      </c>
      <c r="E442">
        <v>12.82</v>
      </c>
      <c r="F442" s="11">
        <v>0.93410000000000004</v>
      </c>
      <c r="G442" t="str">
        <f t="shared" si="20"/>
        <v>Admis</v>
      </c>
      <c r="H442" t="str" cm="1">
        <f t="array" ref="H442">_xlfn.IFS(E442&gt;=16, "Excellent",E442&gt;=14, "Très bien", E442&gt;=12, "Bien", E442&gt;=10, "Passable", E442&lt;10, "Insuffisant")</f>
        <v>Bien</v>
      </c>
      <c r="I442" s="14" t="str">
        <f t="shared" si="18"/>
        <v>RAS</v>
      </c>
      <c r="J442" s="14" t="str">
        <f t="shared" si="19"/>
        <v>Autre filière</v>
      </c>
      <c r="L442" s="16"/>
    </row>
    <row r="443" spans="1:12">
      <c r="A443" t="s">
        <v>163</v>
      </c>
      <c r="B443" t="s">
        <v>164</v>
      </c>
      <c r="C443" t="s">
        <v>35</v>
      </c>
      <c r="D443">
        <v>14.26</v>
      </c>
      <c r="E443">
        <v>15.37</v>
      </c>
      <c r="F443" s="11">
        <v>0.72430000000000005</v>
      </c>
      <c r="G443" t="str">
        <f t="shared" si="20"/>
        <v>Admis sous condition</v>
      </c>
      <c r="H443" t="str" cm="1">
        <f t="array" ref="H443">_xlfn.IFS(E443&gt;=16, "Excellent",E443&gt;=14, "Très bien", E443&gt;=12, "Bien", E443&gt;=10, "Passable", E443&lt;10, "Insuffisant")</f>
        <v>Très bien</v>
      </c>
      <c r="I443" s="14" t="str">
        <f t="shared" si="18"/>
        <v>RAS</v>
      </c>
      <c r="J443" s="14" t="str">
        <f t="shared" si="19"/>
        <v>Autre filière</v>
      </c>
      <c r="L443" s="16"/>
    </row>
    <row r="444" spans="1:12">
      <c r="A444" t="s">
        <v>742</v>
      </c>
      <c r="B444" t="s">
        <v>600</v>
      </c>
      <c r="C444" t="s">
        <v>27</v>
      </c>
      <c r="D444">
        <v>16.02</v>
      </c>
      <c r="E444">
        <v>13.56</v>
      </c>
      <c r="F444" s="11">
        <v>0.83799999999999997</v>
      </c>
      <c r="G444" t="str">
        <f t="shared" si="20"/>
        <v>Admis</v>
      </c>
      <c r="H444" t="str" cm="1">
        <f t="array" ref="H444">_xlfn.IFS(E444&gt;=16, "Excellent",E444&gt;=14, "Très bien", E444&gt;=12, "Bien", E444&gt;=10, "Passable", E444&lt;10, "Insuffisant")</f>
        <v>Bien</v>
      </c>
      <c r="I444" s="14" t="str">
        <f t="shared" si="18"/>
        <v>RAS</v>
      </c>
      <c r="J444" s="14" t="str">
        <f t="shared" si="19"/>
        <v>Autre filière</v>
      </c>
      <c r="K444" s="15"/>
      <c r="L444" s="16"/>
    </row>
    <row r="445" spans="1:12">
      <c r="A445" t="s">
        <v>601</v>
      </c>
      <c r="B445" t="s">
        <v>119</v>
      </c>
      <c r="C445" t="s">
        <v>22</v>
      </c>
      <c r="D445">
        <v>13.61</v>
      </c>
      <c r="E445">
        <v>17.96</v>
      </c>
      <c r="F445" s="11">
        <v>0.94010000000000005</v>
      </c>
      <c r="G445" t="str">
        <f t="shared" si="20"/>
        <v>Admis</v>
      </c>
      <c r="H445" t="str" cm="1">
        <f t="array" ref="H445">_xlfn.IFS(E445&gt;=16, "Excellent",E445&gt;=14, "Très bien", E445&gt;=12, "Bien", E445&gt;=10, "Passable", E445&lt;10, "Insuffisant")</f>
        <v>Excellent</v>
      </c>
      <c r="I445" s="14" t="str">
        <f t="shared" si="18"/>
        <v>RAS</v>
      </c>
      <c r="J445" s="14" t="str">
        <f t="shared" si="19"/>
        <v>Data</v>
      </c>
      <c r="L445" s="16"/>
    </row>
    <row r="446" spans="1:12">
      <c r="A446" t="s">
        <v>397</v>
      </c>
      <c r="B446" t="s">
        <v>133</v>
      </c>
      <c r="C446" t="s">
        <v>48</v>
      </c>
      <c r="D446">
        <v>18.309999999999999</v>
      </c>
      <c r="E446">
        <v>13.14</v>
      </c>
      <c r="F446" s="11">
        <v>0.55000000000000004</v>
      </c>
      <c r="G446" t="str">
        <f t="shared" si="20"/>
        <v>Admis sous condition</v>
      </c>
      <c r="H446" t="str" cm="1">
        <f t="array" ref="H446">_xlfn.IFS(E446&gt;=16, "Excellent",E446&gt;=14, "Très bien", E446&gt;=12, "Bien", E446&gt;=10, "Passable", E446&lt;10, "Insuffisant")</f>
        <v>Bien</v>
      </c>
      <c r="I446" s="14" t="str">
        <f t="shared" si="18"/>
        <v>A surveiller</v>
      </c>
      <c r="J446" s="14" t="str">
        <f t="shared" si="19"/>
        <v>Autre filière</v>
      </c>
      <c r="L446" s="16"/>
    </row>
    <row r="447" spans="1:12">
      <c r="A447" t="s">
        <v>328</v>
      </c>
      <c r="B447" t="s">
        <v>329</v>
      </c>
      <c r="C447" t="s">
        <v>27</v>
      </c>
      <c r="D447">
        <v>15.33</v>
      </c>
      <c r="E447">
        <v>12.36</v>
      </c>
      <c r="F447" s="11">
        <v>0.8236</v>
      </c>
      <c r="G447" t="str">
        <f t="shared" si="20"/>
        <v>Admis</v>
      </c>
      <c r="H447" t="str" cm="1">
        <f t="array" ref="H447">_xlfn.IFS(E447&gt;=16, "Excellent",E447&gt;=14, "Très bien", E447&gt;=12, "Bien", E447&gt;=10, "Passable", E447&lt;10, "Insuffisant")</f>
        <v>Bien</v>
      </c>
      <c r="I447" s="14" t="str">
        <f t="shared" si="18"/>
        <v>RAS</v>
      </c>
      <c r="J447" s="14" t="str">
        <f t="shared" si="19"/>
        <v>Autre filière</v>
      </c>
      <c r="K447" s="15"/>
      <c r="L447" s="16"/>
    </row>
    <row r="448" spans="1:12">
      <c r="A448" t="s">
        <v>230</v>
      </c>
      <c r="B448" t="s">
        <v>231</v>
      </c>
      <c r="C448" t="s">
        <v>27</v>
      </c>
      <c r="D448">
        <v>13.76</v>
      </c>
      <c r="E448">
        <v>16.22</v>
      </c>
      <c r="F448" s="11">
        <v>0.98750000000000004</v>
      </c>
      <c r="G448" t="str">
        <f t="shared" si="20"/>
        <v>Admis</v>
      </c>
      <c r="H448" t="str" cm="1">
        <f t="array" ref="H448">_xlfn.IFS(E448&gt;=16, "Excellent",E448&gt;=14, "Très bien", E448&gt;=12, "Bien", E448&gt;=10, "Passable", E448&lt;10, "Insuffisant")</f>
        <v>Excellent</v>
      </c>
      <c r="I448" s="14" t="str">
        <f t="shared" si="18"/>
        <v>RAS</v>
      </c>
      <c r="J448" s="14" t="str">
        <f t="shared" si="19"/>
        <v>Autre filière</v>
      </c>
      <c r="L448" s="16"/>
    </row>
    <row r="449" spans="1:12">
      <c r="A449" t="s">
        <v>1269</v>
      </c>
      <c r="B449" t="s">
        <v>777</v>
      </c>
      <c r="C449" t="s">
        <v>48</v>
      </c>
      <c r="D449">
        <v>17.850000000000001</v>
      </c>
      <c r="E449">
        <v>15.41</v>
      </c>
      <c r="F449" s="11">
        <v>0.95130000000000003</v>
      </c>
      <c r="G449" t="str">
        <f t="shared" si="20"/>
        <v>Admis</v>
      </c>
      <c r="H449" t="str" cm="1">
        <f t="array" ref="H449">_xlfn.IFS(E449&gt;=16, "Excellent",E449&gt;=14, "Très bien", E449&gt;=12, "Bien", E449&gt;=10, "Passable", E449&lt;10, "Insuffisant")</f>
        <v>Très bien</v>
      </c>
      <c r="I449" s="14" t="str">
        <f t="shared" si="18"/>
        <v>RAS</v>
      </c>
      <c r="J449" s="14" t="str">
        <f t="shared" si="19"/>
        <v>Autre filière</v>
      </c>
      <c r="L449" s="16"/>
    </row>
    <row r="450" spans="1:12">
      <c r="A450" t="s">
        <v>1052</v>
      </c>
      <c r="B450" t="s">
        <v>651</v>
      </c>
      <c r="C450" t="s">
        <v>22</v>
      </c>
      <c r="D450">
        <v>18.07</v>
      </c>
      <c r="E450">
        <v>20</v>
      </c>
      <c r="F450" s="11">
        <v>0.88790000000000002</v>
      </c>
      <c r="G450" t="str">
        <f t="shared" si="20"/>
        <v>Admis</v>
      </c>
      <c r="H450" t="str" cm="1">
        <f t="array" ref="H450">_xlfn.IFS(E450&gt;=16, "Excellent",E450&gt;=14, "Très bien", E450&gt;=12, "Bien", E450&gt;=10, "Passable", E450&lt;10, "Insuffisant")</f>
        <v>Excellent</v>
      </c>
      <c r="I450" s="14" t="str">
        <f t="shared" si="18"/>
        <v>RAS</v>
      </c>
      <c r="J450" s="14" t="str">
        <f t="shared" si="19"/>
        <v>Data</v>
      </c>
      <c r="K450" s="15"/>
      <c r="L450" s="16"/>
    </row>
    <row r="451" spans="1:12">
      <c r="A451" t="s">
        <v>400</v>
      </c>
      <c r="B451" t="s">
        <v>173</v>
      </c>
      <c r="C451" t="s">
        <v>35</v>
      </c>
      <c r="D451">
        <v>13.29</v>
      </c>
      <c r="E451">
        <v>16</v>
      </c>
      <c r="F451" s="11">
        <v>0.7833</v>
      </c>
      <c r="G451" t="str">
        <f t="shared" si="20"/>
        <v>Admis sous condition</v>
      </c>
      <c r="H451" t="str" cm="1">
        <f t="array" ref="H451">_xlfn.IFS(E451&gt;=16, "Excellent",E451&gt;=14, "Très bien", E451&gt;=12, "Bien", E451&gt;=10, "Passable", E451&lt;10, "Insuffisant")</f>
        <v>Excellent</v>
      </c>
      <c r="I451" s="14" t="str">
        <f t="shared" ref="I451:I514" si="21">IF(OR(D451&lt;10,E451&lt;10,F451&lt;70%), "A surveiller", "RAS")</f>
        <v>RAS</v>
      </c>
      <c r="J451" s="14" t="str">
        <f t="shared" ref="J451:J514" si="22">IF(NOT(C451="Data"), "Autre filière", "Data")</f>
        <v>Autre filière</v>
      </c>
      <c r="L451" s="16"/>
    </row>
    <row r="452" spans="1:12">
      <c r="A452" t="s">
        <v>1294</v>
      </c>
      <c r="B452" t="s">
        <v>152</v>
      </c>
      <c r="C452" t="s">
        <v>35</v>
      </c>
      <c r="D452">
        <v>9.4499999999999993</v>
      </c>
      <c r="E452">
        <v>12.33</v>
      </c>
      <c r="F452" s="11">
        <v>0.94369999999999998</v>
      </c>
      <c r="G452" t="str">
        <f t="shared" si="20"/>
        <v>Refusé</v>
      </c>
      <c r="H452" t="str" cm="1">
        <f t="array" ref="H452">_xlfn.IFS(E452&gt;=16, "Excellent",E452&gt;=14, "Très bien", E452&gt;=12, "Bien", E452&gt;=10, "Passable", E452&lt;10, "Insuffisant")</f>
        <v>Bien</v>
      </c>
      <c r="I452" s="14" t="str">
        <f t="shared" si="21"/>
        <v>A surveiller</v>
      </c>
      <c r="J452" s="14" t="str">
        <f t="shared" si="22"/>
        <v>Autre filière</v>
      </c>
      <c r="L452" s="16"/>
    </row>
    <row r="453" spans="1:12">
      <c r="A453" t="s">
        <v>199</v>
      </c>
      <c r="B453" t="s">
        <v>200</v>
      </c>
      <c r="C453" t="s">
        <v>35</v>
      </c>
      <c r="D453">
        <v>16.489999999999998</v>
      </c>
      <c r="E453">
        <v>15.02</v>
      </c>
      <c r="F453" s="11">
        <v>0.67589999999999995</v>
      </c>
      <c r="G453" t="str">
        <f t="shared" si="20"/>
        <v>Admis sous condition</v>
      </c>
      <c r="H453" t="str" cm="1">
        <f t="array" ref="H453">_xlfn.IFS(E453&gt;=16, "Excellent",E453&gt;=14, "Très bien", E453&gt;=12, "Bien", E453&gt;=10, "Passable", E453&lt;10, "Insuffisant")</f>
        <v>Très bien</v>
      </c>
      <c r="I453" s="14" t="str">
        <f t="shared" si="21"/>
        <v>A surveiller</v>
      </c>
      <c r="J453" s="14" t="str">
        <f t="shared" si="22"/>
        <v>Autre filière</v>
      </c>
      <c r="L453" s="16"/>
    </row>
    <row r="454" spans="1:12">
      <c r="A454" t="s">
        <v>957</v>
      </c>
      <c r="B454" t="s">
        <v>285</v>
      </c>
      <c r="C454" t="s">
        <v>35</v>
      </c>
      <c r="D454">
        <v>13.81</v>
      </c>
      <c r="E454">
        <v>13.51</v>
      </c>
      <c r="F454" s="11">
        <v>0.92879999999999996</v>
      </c>
      <c r="G454" t="str">
        <f t="shared" si="20"/>
        <v>Admis</v>
      </c>
      <c r="H454" t="str" cm="1">
        <f t="array" ref="H454">_xlfn.IFS(E454&gt;=16, "Excellent",E454&gt;=14, "Très bien", E454&gt;=12, "Bien", E454&gt;=10, "Passable", E454&lt;10, "Insuffisant")</f>
        <v>Bien</v>
      </c>
      <c r="I454" s="14" t="str">
        <f t="shared" si="21"/>
        <v>RAS</v>
      </c>
      <c r="J454" s="14" t="str">
        <f t="shared" si="22"/>
        <v>Autre filière</v>
      </c>
      <c r="L454" s="16"/>
    </row>
    <row r="455" spans="1:12">
      <c r="A455" t="s">
        <v>298</v>
      </c>
      <c r="B455" t="s">
        <v>272</v>
      </c>
      <c r="C455" t="s">
        <v>27</v>
      </c>
      <c r="D455">
        <v>13.51</v>
      </c>
      <c r="E455">
        <v>11.38</v>
      </c>
      <c r="F455" s="11">
        <v>0.70140000000000002</v>
      </c>
      <c r="G455" t="str">
        <f t="shared" si="20"/>
        <v>Admis sous condition</v>
      </c>
      <c r="H455" t="str" cm="1">
        <f t="array" ref="H455">_xlfn.IFS(E455&gt;=16, "Excellent",E455&gt;=14, "Très bien", E455&gt;=12, "Bien", E455&gt;=10, "Passable", E455&lt;10, "Insuffisant")</f>
        <v>Passable</v>
      </c>
      <c r="I455" s="14" t="str">
        <f t="shared" si="21"/>
        <v>RAS</v>
      </c>
      <c r="J455" s="14" t="str">
        <f t="shared" si="22"/>
        <v>Autre filière</v>
      </c>
      <c r="L455" s="16"/>
    </row>
    <row r="456" spans="1:12">
      <c r="A456" t="s">
        <v>1270</v>
      </c>
      <c r="B456" t="s">
        <v>600</v>
      </c>
      <c r="C456" t="s">
        <v>35</v>
      </c>
      <c r="D456">
        <v>9.91</v>
      </c>
      <c r="E456">
        <v>11.12</v>
      </c>
      <c r="F456" s="11">
        <v>0.55000000000000004</v>
      </c>
      <c r="G456" t="str">
        <f t="shared" si="20"/>
        <v>Refusé</v>
      </c>
      <c r="H456" t="str" cm="1">
        <f t="array" ref="H456">_xlfn.IFS(E456&gt;=16, "Excellent",E456&gt;=14, "Très bien", E456&gt;=12, "Bien", E456&gt;=10, "Passable", E456&lt;10, "Insuffisant")</f>
        <v>Passable</v>
      </c>
      <c r="I456" s="14" t="str">
        <f t="shared" si="21"/>
        <v>A surveiller</v>
      </c>
      <c r="J456" s="14" t="str">
        <f t="shared" si="22"/>
        <v>Autre filière</v>
      </c>
      <c r="L456" s="16"/>
    </row>
    <row r="457" spans="1:12">
      <c r="A457" t="s">
        <v>1056</v>
      </c>
      <c r="B457" t="s">
        <v>194</v>
      </c>
      <c r="C457" t="s">
        <v>27</v>
      </c>
      <c r="D457">
        <v>12.44</v>
      </c>
      <c r="E457">
        <v>13.25</v>
      </c>
      <c r="F457" s="11">
        <v>0.99739999999999995</v>
      </c>
      <c r="G457" t="str">
        <f t="shared" si="20"/>
        <v>Admis</v>
      </c>
      <c r="H457" t="str" cm="1">
        <f t="array" ref="H457">_xlfn.IFS(E457&gt;=16, "Excellent",E457&gt;=14, "Très bien", E457&gt;=12, "Bien", E457&gt;=10, "Passable", E457&lt;10, "Insuffisant")</f>
        <v>Bien</v>
      </c>
      <c r="I457" s="14" t="str">
        <f t="shared" si="21"/>
        <v>RAS</v>
      </c>
      <c r="J457" s="14" t="str">
        <f t="shared" si="22"/>
        <v>Autre filière</v>
      </c>
      <c r="L457" s="16"/>
    </row>
    <row r="458" spans="1:12">
      <c r="A458" t="s">
        <v>1095</v>
      </c>
      <c r="B458" t="s">
        <v>146</v>
      </c>
      <c r="C458" t="s">
        <v>22</v>
      </c>
      <c r="D458">
        <v>15.4</v>
      </c>
      <c r="E458">
        <v>12.62</v>
      </c>
      <c r="F458" s="11">
        <v>0.74060000000000004</v>
      </c>
      <c r="G458" t="str">
        <f t="shared" si="20"/>
        <v>Admis sous condition</v>
      </c>
      <c r="H458" t="str" cm="1">
        <f t="array" ref="H458">_xlfn.IFS(E458&gt;=16, "Excellent",E458&gt;=14, "Très bien", E458&gt;=12, "Bien", E458&gt;=10, "Passable", E458&lt;10, "Insuffisant")</f>
        <v>Bien</v>
      </c>
      <c r="I458" s="14" t="str">
        <f t="shared" si="21"/>
        <v>RAS</v>
      </c>
      <c r="J458" s="14" t="str">
        <f t="shared" si="22"/>
        <v>Data</v>
      </c>
      <c r="L458" s="16"/>
    </row>
    <row r="459" spans="1:12">
      <c r="A459" t="s">
        <v>1166</v>
      </c>
      <c r="B459" t="s">
        <v>102</v>
      </c>
      <c r="C459" t="s">
        <v>48</v>
      </c>
      <c r="D459">
        <v>12.72</v>
      </c>
      <c r="E459">
        <v>11.55</v>
      </c>
      <c r="F459" s="11">
        <v>0.69789999999999996</v>
      </c>
      <c r="G459" t="str">
        <f t="shared" si="20"/>
        <v>Admis sous condition</v>
      </c>
      <c r="H459" t="str" cm="1">
        <f t="array" ref="H459">_xlfn.IFS(E459&gt;=16, "Excellent",E459&gt;=14, "Très bien", E459&gt;=12, "Bien", E459&gt;=10, "Passable", E459&lt;10, "Insuffisant")</f>
        <v>Passable</v>
      </c>
      <c r="I459" s="14" t="str">
        <f t="shared" si="21"/>
        <v>A surveiller</v>
      </c>
      <c r="J459" s="14" t="str">
        <f t="shared" si="22"/>
        <v>Autre filière</v>
      </c>
      <c r="L459" s="16"/>
    </row>
    <row r="460" spans="1:12">
      <c r="A460" t="s">
        <v>863</v>
      </c>
      <c r="B460" t="s">
        <v>315</v>
      </c>
      <c r="C460" t="s">
        <v>22</v>
      </c>
      <c r="D460">
        <v>14.5</v>
      </c>
      <c r="E460">
        <v>16.02</v>
      </c>
      <c r="F460" s="11">
        <v>0.76729999999999998</v>
      </c>
      <c r="G460" t="str">
        <f t="shared" si="20"/>
        <v>Admis sous condition</v>
      </c>
      <c r="H460" t="str" cm="1">
        <f t="array" ref="H460">_xlfn.IFS(E460&gt;=16, "Excellent",E460&gt;=14, "Très bien", E460&gt;=12, "Bien", E460&gt;=10, "Passable", E460&lt;10, "Insuffisant")</f>
        <v>Excellent</v>
      </c>
      <c r="I460" s="14" t="str">
        <f t="shared" si="21"/>
        <v>RAS</v>
      </c>
      <c r="J460" s="14" t="str">
        <f t="shared" si="22"/>
        <v>Data</v>
      </c>
      <c r="L460" s="16"/>
    </row>
    <row r="461" spans="1:12">
      <c r="A461" t="s">
        <v>814</v>
      </c>
      <c r="B461" t="s">
        <v>274</v>
      </c>
      <c r="C461" t="s">
        <v>48</v>
      </c>
      <c r="D461">
        <v>9.67</v>
      </c>
      <c r="E461">
        <v>14.99</v>
      </c>
      <c r="F461" s="11">
        <v>0.94699999999999995</v>
      </c>
      <c r="G461" t="str">
        <f t="shared" ref="G461:G524" si="23">IF(AND(D461&gt;=12,E461&gt;=12,F461&gt;=80%),"Admis",IF(AND(D461&gt;=10,E461&gt;=10),"Admis sous condition","Refusé"))</f>
        <v>Refusé</v>
      </c>
      <c r="H461" t="str" cm="1">
        <f t="array" ref="H461">_xlfn.IFS(E461&gt;=16, "Excellent",E461&gt;=14, "Très bien", E461&gt;=12, "Bien", E461&gt;=10, "Passable", E461&lt;10, "Insuffisant")</f>
        <v>Très bien</v>
      </c>
      <c r="I461" s="14" t="str">
        <f t="shared" si="21"/>
        <v>A surveiller</v>
      </c>
      <c r="J461" s="14" t="str">
        <f t="shared" si="22"/>
        <v>Autre filière</v>
      </c>
      <c r="L461" s="16"/>
    </row>
    <row r="462" spans="1:12">
      <c r="A462" t="s">
        <v>835</v>
      </c>
      <c r="B462" t="s">
        <v>380</v>
      </c>
      <c r="C462" t="s">
        <v>35</v>
      </c>
      <c r="D462">
        <v>13.63</v>
      </c>
      <c r="E462">
        <v>14.27</v>
      </c>
      <c r="F462" s="11">
        <v>0.97550000000000003</v>
      </c>
      <c r="G462" t="str">
        <f t="shared" si="23"/>
        <v>Admis</v>
      </c>
      <c r="H462" t="str" cm="1">
        <f t="array" ref="H462">_xlfn.IFS(E462&gt;=16, "Excellent",E462&gt;=14, "Très bien", E462&gt;=12, "Bien", E462&gt;=10, "Passable", E462&lt;10, "Insuffisant")</f>
        <v>Très bien</v>
      </c>
      <c r="I462" s="14" t="str">
        <f t="shared" si="21"/>
        <v>RAS</v>
      </c>
      <c r="J462" s="14" t="str">
        <f t="shared" si="22"/>
        <v>Autre filière</v>
      </c>
      <c r="L462" s="16"/>
    </row>
    <row r="463" spans="1:12">
      <c r="A463" t="s">
        <v>876</v>
      </c>
      <c r="B463" t="s">
        <v>482</v>
      </c>
      <c r="C463" t="s">
        <v>22</v>
      </c>
      <c r="D463">
        <v>16.559999999999999</v>
      </c>
      <c r="E463">
        <v>16.309999999999999</v>
      </c>
      <c r="F463" s="11">
        <v>0.72130000000000005</v>
      </c>
      <c r="G463" t="str">
        <f t="shared" si="23"/>
        <v>Admis sous condition</v>
      </c>
      <c r="H463" t="str" cm="1">
        <f t="array" ref="H463">_xlfn.IFS(E463&gt;=16, "Excellent",E463&gt;=14, "Très bien", E463&gt;=12, "Bien", E463&gt;=10, "Passable", E463&lt;10, "Insuffisant")</f>
        <v>Excellent</v>
      </c>
      <c r="I463" s="14" t="str">
        <f t="shared" si="21"/>
        <v>RAS</v>
      </c>
      <c r="J463" s="14" t="str">
        <f t="shared" si="22"/>
        <v>Data</v>
      </c>
      <c r="L463" s="16"/>
    </row>
    <row r="464" spans="1:12">
      <c r="A464" t="s">
        <v>782</v>
      </c>
      <c r="B464" t="s">
        <v>729</v>
      </c>
      <c r="C464" t="s">
        <v>22</v>
      </c>
      <c r="D464">
        <v>16.14</v>
      </c>
      <c r="E464">
        <v>12.5</v>
      </c>
      <c r="F464" s="11">
        <v>0.81130000000000002</v>
      </c>
      <c r="G464" t="str">
        <f t="shared" si="23"/>
        <v>Admis</v>
      </c>
      <c r="H464" t="str" cm="1">
        <f t="array" ref="H464">_xlfn.IFS(E464&gt;=16, "Excellent",E464&gt;=14, "Très bien", E464&gt;=12, "Bien", E464&gt;=10, "Passable", E464&lt;10, "Insuffisant")</f>
        <v>Bien</v>
      </c>
      <c r="I464" s="14" t="str">
        <f t="shared" si="21"/>
        <v>RAS</v>
      </c>
      <c r="J464" s="14" t="str">
        <f t="shared" si="22"/>
        <v>Data</v>
      </c>
      <c r="K464" s="15"/>
      <c r="L464" s="16"/>
    </row>
    <row r="465" spans="1:12">
      <c r="A465" t="s">
        <v>1139</v>
      </c>
      <c r="B465" t="s">
        <v>388</v>
      </c>
      <c r="C465" t="s">
        <v>27</v>
      </c>
      <c r="D465">
        <v>13.75</v>
      </c>
      <c r="E465">
        <v>16.309999999999999</v>
      </c>
      <c r="F465" s="11">
        <v>0.85399999999999998</v>
      </c>
      <c r="G465" t="str">
        <f t="shared" si="23"/>
        <v>Admis</v>
      </c>
      <c r="H465" t="str" cm="1">
        <f t="array" ref="H465">_xlfn.IFS(E465&gt;=16, "Excellent",E465&gt;=14, "Très bien", E465&gt;=12, "Bien", E465&gt;=10, "Passable", E465&lt;10, "Insuffisant")</f>
        <v>Excellent</v>
      </c>
      <c r="I465" s="14" t="str">
        <f t="shared" si="21"/>
        <v>RAS</v>
      </c>
      <c r="J465" s="14" t="str">
        <f t="shared" si="22"/>
        <v>Autre filière</v>
      </c>
      <c r="K465" s="15"/>
      <c r="L465" s="16"/>
    </row>
    <row r="466" spans="1:12">
      <c r="A466" t="s">
        <v>848</v>
      </c>
      <c r="B466" t="s">
        <v>194</v>
      </c>
      <c r="C466" t="s">
        <v>22</v>
      </c>
      <c r="D466">
        <v>10.97</v>
      </c>
      <c r="E466">
        <v>13.37</v>
      </c>
      <c r="F466" s="11">
        <v>0.86550000000000005</v>
      </c>
      <c r="G466" t="str">
        <f t="shared" si="23"/>
        <v>Admis sous condition</v>
      </c>
      <c r="H466" t="str" cm="1">
        <f t="array" ref="H466">_xlfn.IFS(E466&gt;=16, "Excellent",E466&gt;=14, "Très bien", E466&gt;=12, "Bien", E466&gt;=10, "Passable", E466&lt;10, "Insuffisant")</f>
        <v>Bien</v>
      </c>
      <c r="I466" s="14" t="str">
        <f t="shared" si="21"/>
        <v>RAS</v>
      </c>
      <c r="J466" s="14" t="str">
        <f t="shared" si="22"/>
        <v>Data</v>
      </c>
      <c r="K466" s="15"/>
      <c r="L466" s="16"/>
    </row>
    <row r="467" spans="1:12">
      <c r="A467" t="s">
        <v>587</v>
      </c>
      <c r="B467" t="s">
        <v>310</v>
      </c>
      <c r="C467" t="s">
        <v>27</v>
      </c>
      <c r="D467">
        <v>12.87</v>
      </c>
      <c r="E467">
        <v>15.77</v>
      </c>
      <c r="F467" s="11">
        <v>0.86880000000000002</v>
      </c>
      <c r="G467" t="str">
        <f t="shared" si="23"/>
        <v>Admis</v>
      </c>
      <c r="H467" t="str" cm="1">
        <f t="array" ref="H467">_xlfn.IFS(E467&gt;=16, "Excellent",E467&gt;=14, "Très bien", E467&gt;=12, "Bien", E467&gt;=10, "Passable", E467&lt;10, "Insuffisant")</f>
        <v>Très bien</v>
      </c>
      <c r="I467" s="14" t="str">
        <f t="shared" si="21"/>
        <v>RAS</v>
      </c>
      <c r="J467" s="14" t="str">
        <f t="shared" si="22"/>
        <v>Autre filière</v>
      </c>
      <c r="K467" s="15"/>
      <c r="L467" s="16"/>
    </row>
    <row r="468" spans="1:12">
      <c r="A468" t="s">
        <v>339</v>
      </c>
      <c r="B468" t="s">
        <v>340</v>
      </c>
      <c r="C468" t="s">
        <v>35</v>
      </c>
      <c r="D468">
        <v>15.34</v>
      </c>
      <c r="E468">
        <v>11.89</v>
      </c>
      <c r="F468" s="11">
        <v>0.91769999999999996</v>
      </c>
      <c r="G468" t="str">
        <f t="shared" si="23"/>
        <v>Admis sous condition</v>
      </c>
      <c r="H468" t="str" cm="1">
        <f t="array" ref="H468">_xlfn.IFS(E468&gt;=16, "Excellent",E468&gt;=14, "Très bien", E468&gt;=12, "Bien", E468&gt;=10, "Passable", E468&lt;10, "Insuffisant")</f>
        <v>Passable</v>
      </c>
      <c r="I468" s="14" t="str">
        <f t="shared" si="21"/>
        <v>RAS</v>
      </c>
      <c r="J468" s="14" t="str">
        <f t="shared" si="22"/>
        <v>Autre filière</v>
      </c>
      <c r="L468" s="16"/>
    </row>
    <row r="469" spans="1:12">
      <c r="A469" t="s">
        <v>347</v>
      </c>
      <c r="B469" t="s">
        <v>231</v>
      </c>
      <c r="C469" t="s">
        <v>48</v>
      </c>
      <c r="D469">
        <v>16.73</v>
      </c>
      <c r="E469">
        <v>14.99</v>
      </c>
      <c r="F469" s="11">
        <v>0.88170000000000004</v>
      </c>
      <c r="G469" t="str">
        <f t="shared" si="23"/>
        <v>Admis</v>
      </c>
      <c r="H469" t="str" cm="1">
        <f t="array" ref="H469">_xlfn.IFS(E469&gt;=16, "Excellent",E469&gt;=14, "Très bien", E469&gt;=12, "Bien", E469&gt;=10, "Passable", E469&lt;10, "Insuffisant")</f>
        <v>Très bien</v>
      </c>
      <c r="I469" s="14" t="str">
        <f t="shared" si="21"/>
        <v>RAS</v>
      </c>
      <c r="J469" s="14" t="str">
        <f t="shared" si="22"/>
        <v>Autre filière</v>
      </c>
      <c r="K469" s="15"/>
      <c r="L469" s="16"/>
    </row>
    <row r="470" spans="1:12">
      <c r="A470" t="s">
        <v>998</v>
      </c>
      <c r="B470" t="s">
        <v>67</v>
      </c>
      <c r="C470" t="s">
        <v>27</v>
      </c>
      <c r="D470">
        <v>11.44</v>
      </c>
      <c r="E470">
        <v>13.17</v>
      </c>
      <c r="F470" s="11">
        <v>0.83730000000000004</v>
      </c>
      <c r="G470" t="str">
        <f t="shared" si="23"/>
        <v>Admis sous condition</v>
      </c>
      <c r="H470" t="str" cm="1">
        <f t="array" ref="H470">_xlfn.IFS(E470&gt;=16, "Excellent",E470&gt;=14, "Très bien", E470&gt;=12, "Bien", E470&gt;=10, "Passable", E470&lt;10, "Insuffisant")</f>
        <v>Bien</v>
      </c>
      <c r="I470" s="14" t="str">
        <f t="shared" si="21"/>
        <v>RAS</v>
      </c>
      <c r="J470" s="14" t="str">
        <f t="shared" si="22"/>
        <v>Autre filière</v>
      </c>
      <c r="K470" s="15"/>
      <c r="L470" s="16"/>
    </row>
    <row r="471" spans="1:12">
      <c r="A471" t="s">
        <v>570</v>
      </c>
      <c r="B471" t="s">
        <v>111</v>
      </c>
      <c r="C471" t="s">
        <v>35</v>
      </c>
      <c r="D471">
        <v>9.61</v>
      </c>
      <c r="E471">
        <v>12.59</v>
      </c>
      <c r="F471" s="11">
        <v>0.95950000000000002</v>
      </c>
      <c r="G471" t="str">
        <f t="shared" si="23"/>
        <v>Refusé</v>
      </c>
      <c r="H471" t="str" cm="1">
        <f t="array" ref="H471">_xlfn.IFS(E471&gt;=16, "Excellent",E471&gt;=14, "Très bien", E471&gt;=12, "Bien", E471&gt;=10, "Passable", E471&lt;10, "Insuffisant")</f>
        <v>Bien</v>
      </c>
      <c r="I471" s="14" t="str">
        <f t="shared" si="21"/>
        <v>A surveiller</v>
      </c>
      <c r="J471" s="14" t="str">
        <f t="shared" si="22"/>
        <v>Autre filière</v>
      </c>
      <c r="L471" s="16"/>
    </row>
    <row r="472" spans="1:12">
      <c r="A472" t="s">
        <v>1134</v>
      </c>
      <c r="B472" t="s">
        <v>433</v>
      </c>
      <c r="C472" t="s">
        <v>35</v>
      </c>
      <c r="D472">
        <v>12.36</v>
      </c>
      <c r="E472">
        <v>4.97</v>
      </c>
      <c r="F472" s="11">
        <v>0.84650000000000003</v>
      </c>
      <c r="G472" t="str">
        <f t="shared" si="23"/>
        <v>Refusé</v>
      </c>
      <c r="H472" t="str" cm="1">
        <f t="array" ref="H472">_xlfn.IFS(E472&gt;=16, "Excellent",E472&gt;=14, "Très bien", E472&gt;=12, "Bien", E472&gt;=10, "Passable", E472&lt;10, "Insuffisant")</f>
        <v>Insuffisant</v>
      </c>
      <c r="I472" s="14" t="str">
        <f t="shared" si="21"/>
        <v>A surveiller</v>
      </c>
      <c r="J472" s="14" t="str">
        <f t="shared" si="22"/>
        <v>Autre filière</v>
      </c>
      <c r="K472" s="15"/>
      <c r="L472" s="16"/>
    </row>
    <row r="473" spans="1:12">
      <c r="A473" t="s">
        <v>1040</v>
      </c>
      <c r="B473" t="s">
        <v>210</v>
      </c>
      <c r="C473" t="s">
        <v>22</v>
      </c>
      <c r="D473">
        <v>17.54</v>
      </c>
      <c r="E473">
        <v>15.61</v>
      </c>
      <c r="F473" s="11">
        <v>0.55000000000000004</v>
      </c>
      <c r="G473" t="str">
        <f t="shared" si="23"/>
        <v>Admis sous condition</v>
      </c>
      <c r="H473" t="str" cm="1">
        <f t="array" ref="H473">_xlfn.IFS(E473&gt;=16, "Excellent",E473&gt;=14, "Très bien", E473&gt;=12, "Bien", E473&gt;=10, "Passable", E473&lt;10, "Insuffisant")</f>
        <v>Très bien</v>
      </c>
      <c r="I473" s="14" t="str">
        <f t="shared" si="21"/>
        <v>A surveiller</v>
      </c>
      <c r="J473" s="14" t="str">
        <f t="shared" si="22"/>
        <v>Data</v>
      </c>
      <c r="L473" s="16"/>
    </row>
    <row r="474" spans="1:12">
      <c r="A474" t="s">
        <v>560</v>
      </c>
      <c r="B474" t="s">
        <v>69</v>
      </c>
      <c r="C474" t="s">
        <v>27</v>
      </c>
      <c r="D474">
        <v>12.34</v>
      </c>
      <c r="E474">
        <v>15.36</v>
      </c>
      <c r="F474" s="11">
        <v>0.9254</v>
      </c>
      <c r="G474" t="str">
        <f t="shared" si="23"/>
        <v>Admis</v>
      </c>
      <c r="H474" t="str" cm="1">
        <f t="array" ref="H474">_xlfn.IFS(E474&gt;=16, "Excellent",E474&gt;=14, "Très bien", E474&gt;=12, "Bien", E474&gt;=10, "Passable", E474&lt;10, "Insuffisant")</f>
        <v>Très bien</v>
      </c>
      <c r="I474" s="14" t="str">
        <f t="shared" si="21"/>
        <v>RAS</v>
      </c>
      <c r="J474" s="14" t="str">
        <f t="shared" si="22"/>
        <v>Autre filière</v>
      </c>
      <c r="L474" s="16"/>
    </row>
    <row r="475" spans="1:12">
      <c r="A475" t="s">
        <v>437</v>
      </c>
      <c r="B475" t="s">
        <v>139</v>
      </c>
      <c r="C475" t="s">
        <v>27</v>
      </c>
      <c r="D475">
        <v>15.51</v>
      </c>
      <c r="E475">
        <v>14.69</v>
      </c>
      <c r="F475" s="11">
        <v>0.87749999999999995</v>
      </c>
      <c r="G475" t="str">
        <f t="shared" si="23"/>
        <v>Admis</v>
      </c>
      <c r="H475" t="str" cm="1">
        <f t="array" ref="H475">_xlfn.IFS(E475&gt;=16, "Excellent",E475&gt;=14, "Très bien", E475&gt;=12, "Bien", E475&gt;=10, "Passable", E475&lt;10, "Insuffisant")</f>
        <v>Très bien</v>
      </c>
      <c r="I475" s="14" t="str">
        <f t="shared" si="21"/>
        <v>RAS</v>
      </c>
      <c r="J475" s="14" t="str">
        <f t="shared" si="22"/>
        <v>Autre filière</v>
      </c>
      <c r="K475" s="15"/>
      <c r="L475" s="16"/>
    </row>
    <row r="476" spans="1:12">
      <c r="A476" t="s">
        <v>1124</v>
      </c>
      <c r="B476" t="s">
        <v>404</v>
      </c>
      <c r="C476" t="s">
        <v>22</v>
      </c>
      <c r="D476">
        <v>12.45</v>
      </c>
      <c r="E476">
        <v>9.7799999999999994</v>
      </c>
      <c r="F476" s="11">
        <v>0.96179999999999999</v>
      </c>
      <c r="G476" t="str">
        <f t="shared" si="23"/>
        <v>Refusé</v>
      </c>
      <c r="H476" t="str" cm="1">
        <f t="array" ref="H476">_xlfn.IFS(E476&gt;=16, "Excellent",E476&gt;=14, "Très bien", E476&gt;=12, "Bien", E476&gt;=10, "Passable", E476&lt;10, "Insuffisant")</f>
        <v>Insuffisant</v>
      </c>
      <c r="I476" s="14" t="str">
        <f t="shared" si="21"/>
        <v>A surveiller</v>
      </c>
      <c r="J476" s="14" t="str">
        <f t="shared" si="22"/>
        <v>Data</v>
      </c>
      <c r="L476" s="16"/>
    </row>
    <row r="477" spans="1:12">
      <c r="A477" t="s">
        <v>886</v>
      </c>
      <c r="B477" t="s">
        <v>357</v>
      </c>
      <c r="C477" t="s">
        <v>48</v>
      </c>
      <c r="D477">
        <v>11.73</v>
      </c>
      <c r="E477">
        <v>20</v>
      </c>
      <c r="F477" s="11">
        <v>0.71809999999999996</v>
      </c>
      <c r="G477" t="str">
        <f t="shared" si="23"/>
        <v>Admis sous condition</v>
      </c>
      <c r="H477" t="str" cm="1">
        <f t="array" ref="H477">_xlfn.IFS(E477&gt;=16, "Excellent",E477&gt;=14, "Très bien", E477&gt;=12, "Bien", E477&gt;=10, "Passable", E477&lt;10, "Insuffisant")</f>
        <v>Excellent</v>
      </c>
      <c r="I477" s="14" t="str">
        <f t="shared" si="21"/>
        <v>RAS</v>
      </c>
      <c r="J477" s="14" t="str">
        <f t="shared" si="22"/>
        <v>Autre filière</v>
      </c>
      <c r="L477" s="16"/>
    </row>
    <row r="478" spans="1:12">
      <c r="A478" t="s">
        <v>612</v>
      </c>
      <c r="B478" t="s">
        <v>600</v>
      </c>
      <c r="C478" t="s">
        <v>27</v>
      </c>
      <c r="D478">
        <v>12.69</v>
      </c>
      <c r="E478">
        <v>17.170000000000002</v>
      </c>
      <c r="F478" s="11">
        <v>0.8569</v>
      </c>
      <c r="G478" t="str">
        <f t="shared" si="23"/>
        <v>Admis</v>
      </c>
      <c r="H478" t="str" cm="1">
        <f t="array" ref="H478">_xlfn.IFS(E478&gt;=16, "Excellent",E478&gt;=14, "Très bien", E478&gt;=12, "Bien", E478&gt;=10, "Passable", E478&lt;10, "Insuffisant")</f>
        <v>Excellent</v>
      </c>
      <c r="I478" s="14" t="str">
        <f t="shared" si="21"/>
        <v>RAS</v>
      </c>
      <c r="J478" s="14" t="str">
        <f t="shared" si="22"/>
        <v>Autre filière</v>
      </c>
      <c r="K478" s="15"/>
      <c r="L478" s="16"/>
    </row>
    <row r="479" spans="1:12">
      <c r="A479" t="s">
        <v>1163</v>
      </c>
      <c r="B479" t="s">
        <v>73</v>
      </c>
      <c r="C479" t="s">
        <v>22</v>
      </c>
      <c r="D479">
        <v>10.24</v>
      </c>
      <c r="E479">
        <v>14.91</v>
      </c>
      <c r="F479" s="11">
        <v>0.86470000000000002</v>
      </c>
      <c r="G479" t="str">
        <f t="shared" si="23"/>
        <v>Admis sous condition</v>
      </c>
      <c r="H479" t="str" cm="1">
        <f t="array" ref="H479">_xlfn.IFS(E479&gt;=16, "Excellent",E479&gt;=14, "Très bien", E479&gt;=12, "Bien", E479&gt;=10, "Passable", E479&lt;10, "Insuffisant")</f>
        <v>Très bien</v>
      </c>
      <c r="I479" s="14" t="str">
        <f t="shared" si="21"/>
        <v>RAS</v>
      </c>
      <c r="J479" s="14" t="str">
        <f t="shared" si="22"/>
        <v>Data</v>
      </c>
      <c r="K479" s="15"/>
      <c r="L479" s="16"/>
    </row>
    <row r="480" spans="1:12">
      <c r="A480" t="s">
        <v>64</v>
      </c>
      <c r="B480" t="s">
        <v>65</v>
      </c>
      <c r="C480" t="s">
        <v>48</v>
      </c>
      <c r="D480">
        <v>15.58</v>
      </c>
      <c r="E480">
        <v>16.43</v>
      </c>
      <c r="F480" s="11">
        <v>0.55000000000000004</v>
      </c>
      <c r="G480" t="str">
        <f t="shared" si="23"/>
        <v>Admis sous condition</v>
      </c>
      <c r="H480" t="str" cm="1">
        <f t="array" ref="H480">_xlfn.IFS(E480&gt;=16, "Excellent",E480&gt;=14, "Très bien", E480&gt;=12, "Bien", E480&gt;=10, "Passable", E480&lt;10, "Insuffisant")</f>
        <v>Excellent</v>
      </c>
      <c r="I480" s="14" t="str">
        <f t="shared" si="21"/>
        <v>A surveiller</v>
      </c>
      <c r="J480" s="14" t="str">
        <f t="shared" si="22"/>
        <v>Autre filière</v>
      </c>
      <c r="L480" s="16"/>
    </row>
    <row r="481" spans="1:12">
      <c r="A481" t="s">
        <v>1086</v>
      </c>
      <c r="B481" t="s">
        <v>344</v>
      </c>
      <c r="C481" t="s">
        <v>48</v>
      </c>
      <c r="D481">
        <v>12.23</v>
      </c>
      <c r="E481">
        <v>10.76</v>
      </c>
      <c r="F481" s="11">
        <v>0.83889999999999998</v>
      </c>
      <c r="G481" t="str">
        <f t="shared" si="23"/>
        <v>Admis sous condition</v>
      </c>
      <c r="H481" t="str" cm="1">
        <f t="array" ref="H481">_xlfn.IFS(E481&gt;=16, "Excellent",E481&gt;=14, "Très bien", E481&gt;=12, "Bien", E481&gt;=10, "Passable", E481&lt;10, "Insuffisant")</f>
        <v>Passable</v>
      </c>
      <c r="I481" s="14" t="str">
        <f t="shared" si="21"/>
        <v>RAS</v>
      </c>
      <c r="J481" s="14" t="str">
        <f t="shared" si="22"/>
        <v>Autre filière</v>
      </c>
      <c r="K481" s="15"/>
      <c r="L481" s="16"/>
    </row>
    <row r="482" spans="1:12">
      <c r="A482" t="s">
        <v>1207</v>
      </c>
      <c r="B482" t="s">
        <v>777</v>
      </c>
      <c r="C482" t="s">
        <v>35</v>
      </c>
      <c r="D482">
        <v>14.02</v>
      </c>
      <c r="E482">
        <v>20</v>
      </c>
      <c r="F482" s="11">
        <v>0.92969999999999997</v>
      </c>
      <c r="G482" t="str">
        <f t="shared" si="23"/>
        <v>Admis</v>
      </c>
      <c r="H482" t="str" cm="1">
        <f t="array" ref="H482">_xlfn.IFS(E482&gt;=16, "Excellent",E482&gt;=14, "Très bien", E482&gt;=12, "Bien", E482&gt;=10, "Passable", E482&lt;10, "Insuffisant")</f>
        <v>Excellent</v>
      </c>
      <c r="I482" s="14" t="str">
        <f t="shared" si="21"/>
        <v>RAS</v>
      </c>
      <c r="J482" s="14" t="str">
        <f t="shared" si="22"/>
        <v>Autre filière</v>
      </c>
      <c r="L482" s="16"/>
    </row>
    <row r="483" spans="1:12">
      <c r="A483" t="s">
        <v>1200</v>
      </c>
      <c r="B483" t="s">
        <v>45</v>
      </c>
      <c r="C483" t="s">
        <v>22</v>
      </c>
      <c r="D483">
        <v>15.39</v>
      </c>
      <c r="E483">
        <v>12.94</v>
      </c>
      <c r="F483" s="11">
        <v>0.86750000000000005</v>
      </c>
      <c r="G483" t="str">
        <f t="shared" si="23"/>
        <v>Admis</v>
      </c>
      <c r="H483" t="str" cm="1">
        <f t="array" ref="H483">_xlfn.IFS(E483&gt;=16, "Excellent",E483&gt;=14, "Très bien", E483&gt;=12, "Bien", E483&gt;=10, "Passable", E483&lt;10, "Insuffisant")</f>
        <v>Bien</v>
      </c>
      <c r="I483" s="14" t="str">
        <f t="shared" si="21"/>
        <v>RAS</v>
      </c>
      <c r="J483" s="14" t="str">
        <f t="shared" si="22"/>
        <v>Data</v>
      </c>
      <c r="K483" s="15"/>
      <c r="L483" s="16"/>
    </row>
    <row r="484" spans="1:12">
      <c r="A484" t="s">
        <v>1258</v>
      </c>
      <c r="B484" t="s">
        <v>88</v>
      </c>
      <c r="C484" t="s">
        <v>48</v>
      </c>
      <c r="D484">
        <v>11.21</v>
      </c>
      <c r="E484">
        <v>10.79</v>
      </c>
      <c r="F484" s="11">
        <v>0.80840000000000001</v>
      </c>
      <c r="G484" t="str">
        <f t="shared" si="23"/>
        <v>Admis sous condition</v>
      </c>
      <c r="H484" t="str" cm="1">
        <f t="array" ref="H484">_xlfn.IFS(E484&gt;=16, "Excellent",E484&gt;=14, "Très bien", E484&gt;=12, "Bien", E484&gt;=10, "Passable", E484&lt;10, "Insuffisant")</f>
        <v>Passable</v>
      </c>
      <c r="I484" s="14" t="str">
        <f t="shared" si="21"/>
        <v>RAS</v>
      </c>
      <c r="J484" s="14" t="str">
        <f t="shared" si="22"/>
        <v>Autre filière</v>
      </c>
      <c r="K484" s="15"/>
      <c r="L484" s="16"/>
    </row>
    <row r="485" spans="1:12">
      <c r="A485" t="s">
        <v>1105</v>
      </c>
      <c r="B485" t="s">
        <v>1106</v>
      </c>
      <c r="C485" t="s">
        <v>27</v>
      </c>
      <c r="D485">
        <v>11.9</v>
      </c>
      <c r="E485">
        <v>14.17</v>
      </c>
      <c r="F485" s="11">
        <v>0.80620000000000003</v>
      </c>
      <c r="G485" t="str">
        <f t="shared" si="23"/>
        <v>Admis sous condition</v>
      </c>
      <c r="H485" t="str" cm="1">
        <f t="array" ref="H485">_xlfn.IFS(E485&gt;=16, "Excellent",E485&gt;=14, "Très bien", E485&gt;=12, "Bien", E485&gt;=10, "Passable", E485&lt;10, "Insuffisant")</f>
        <v>Très bien</v>
      </c>
      <c r="I485" s="14" t="str">
        <f t="shared" si="21"/>
        <v>RAS</v>
      </c>
      <c r="J485" s="14" t="str">
        <f t="shared" si="22"/>
        <v>Autre filière</v>
      </c>
      <c r="K485" s="15"/>
      <c r="L485" s="16"/>
    </row>
    <row r="486" spans="1:12">
      <c r="A486" t="s">
        <v>884</v>
      </c>
      <c r="B486" t="s">
        <v>431</v>
      </c>
      <c r="C486" t="s">
        <v>22</v>
      </c>
      <c r="D486">
        <v>7.98</v>
      </c>
      <c r="E486">
        <v>14.2</v>
      </c>
      <c r="F486" s="11">
        <v>0.68700000000000006</v>
      </c>
      <c r="G486" t="str">
        <f t="shared" si="23"/>
        <v>Refusé</v>
      </c>
      <c r="H486" t="str" cm="1">
        <f t="array" ref="H486">_xlfn.IFS(E486&gt;=16, "Excellent",E486&gt;=14, "Très bien", E486&gt;=12, "Bien", E486&gt;=10, "Passable", E486&lt;10, "Insuffisant")</f>
        <v>Très bien</v>
      </c>
      <c r="I486" s="14" t="str">
        <f t="shared" si="21"/>
        <v>A surveiller</v>
      </c>
      <c r="J486" s="14" t="str">
        <f t="shared" si="22"/>
        <v>Data</v>
      </c>
      <c r="L486" s="16"/>
    </row>
    <row r="487" spans="1:12">
      <c r="A487" t="s">
        <v>746</v>
      </c>
      <c r="B487" t="s">
        <v>19</v>
      </c>
      <c r="C487" t="s">
        <v>22</v>
      </c>
      <c r="D487">
        <v>12.49</v>
      </c>
      <c r="E487">
        <v>12.23</v>
      </c>
      <c r="F487" s="11">
        <v>0.82530000000000003</v>
      </c>
      <c r="G487" t="str">
        <f t="shared" si="23"/>
        <v>Admis</v>
      </c>
      <c r="H487" t="str" cm="1">
        <f t="array" ref="H487">_xlfn.IFS(E487&gt;=16, "Excellent",E487&gt;=14, "Très bien", E487&gt;=12, "Bien", E487&gt;=10, "Passable", E487&lt;10, "Insuffisant")</f>
        <v>Bien</v>
      </c>
      <c r="I487" s="14" t="str">
        <f t="shared" si="21"/>
        <v>RAS</v>
      </c>
      <c r="J487" s="14" t="str">
        <f t="shared" si="22"/>
        <v>Data</v>
      </c>
      <c r="K487" s="15"/>
      <c r="L487" s="16"/>
    </row>
    <row r="488" spans="1:12">
      <c r="A488" t="s">
        <v>240</v>
      </c>
      <c r="B488" t="s">
        <v>241</v>
      </c>
      <c r="C488" t="s">
        <v>27</v>
      </c>
      <c r="D488">
        <v>15.49</v>
      </c>
      <c r="E488">
        <v>15.24</v>
      </c>
      <c r="F488" s="11">
        <v>0.80830000000000002</v>
      </c>
      <c r="G488" t="str">
        <f t="shared" si="23"/>
        <v>Admis</v>
      </c>
      <c r="H488" t="str" cm="1">
        <f t="array" ref="H488">_xlfn.IFS(E488&gt;=16, "Excellent",E488&gt;=14, "Très bien", E488&gt;=12, "Bien", E488&gt;=10, "Passable", E488&lt;10, "Insuffisant")</f>
        <v>Très bien</v>
      </c>
      <c r="I488" s="14" t="str">
        <f t="shared" si="21"/>
        <v>RAS</v>
      </c>
      <c r="J488" s="14" t="str">
        <f t="shared" si="22"/>
        <v>Autre filière</v>
      </c>
      <c r="K488" s="15"/>
      <c r="L488" s="16"/>
    </row>
    <row r="489" spans="1:12">
      <c r="A489" t="s">
        <v>265</v>
      </c>
      <c r="B489" t="s">
        <v>123</v>
      </c>
      <c r="C489" t="s">
        <v>35</v>
      </c>
      <c r="D489">
        <v>10.42</v>
      </c>
      <c r="E489">
        <v>10.69</v>
      </c>
      <c r="F489" s="11">
        <v>0.89610000000000001</v>
      </c>
      <c r="G489" t="str">
        <f t="shared" si="23"/>
        <v>Admis sous condition</v>
      </c>
      <c r="H489" t="str" cm="1">
        <f t="array" ref="H489">_xlfn.IFS(E489&gt;=16, "Excellent",E489&gt;=14, "Très bien", E489&gt;=12, "Bien", E489&gt;=10, "Passable", E489&lt;10, "Insuffisant")</f>
        <v>Passable</v>
      </c>
      <c r="I489" s="14" t="str">
        <f t="shared" si="21"/>
        <v>RAS</v>
      </c>
      <c r="J489" s="14" t="str">
        <f t="shared" si="22"/>
        <v>Autre filière</v>
      </c>
      <c r="K489" s="15"/>
      <c r="L489" s="16"/>
    </row>
    <row r="490" spans="1:12">
      <c r="A490" t="s">
        <v>1059</v>
      </c>
      <c r="B490" t="s">
        <v>492</v>
      </c>
      <c r="C490" t="s">
        <v>48</v>
      </c>
      <c r="D490">
        <v>14.32</v>
      </c>
      <c r="E490">
        <v>13.89</v>
      </c>
      <c r="F490" s="11">
        <v>0.96609999999999996</v>
      </c>
      <c r="G490" t="str">
        <f t="shared" si="23"/>
        <v>Admis</v>
      </c>
      <c r="H490" t="str" cm="1">
        <f t="array" ref="H490">_xlfn.IFS(E490&gt;=16, "Excellent",E490&gt;=14, "Très bien", E490&gt;=12, "Bien", E490&gt;=10, "Passable", E490&lt;10, "Insuffisant")</f>
        <v>Bien</v>
      </c>
      <c r="I490" s="14" t="str">
        <f t="shared" si="21"/>
        <v>RAS</v>
      </c>
      <c r="J490" s="14" t="str">
        <f t="shared" si="22"/>
        <v>Autre filière</v>
      </c>
      <c r="L490" s="16"/>
    </row>
    <row r="491" spans="1:12">
      <c r="A491" t="s">
        <v>1107</v>
      </c>
      <c r="B491" t="s">
        <v>98</v>
      </c>
      <c r="C491" t="s">
        <v>27</v>
      </c>
      <c r="D491">
        <v>16.12</v>
      </c>
      <c r="E491">
        <v>12.85</v>
      </c>
      <c r="F491" s="11">
        <v>0.90510000000000002</v>
      </c>
      <c r="G491" t="str">
        <f t="shared" si="23"/>
        <v>Admis</v>
      </c>
      <c r="H491" t="str" cm="1">
        <f t="array" ref="H491">_xlfn.IFS(E491&gt;=16, "Excellent",E491&gt;=14, "Très bien", E491&gt;=12, "Bien", E491&gt;=10, "Passable", E491&lt;10, "Insuffisant")</f>
        <v>Bien</v>
      </c>
      <c r="I491" s="14" t="str">
        <f t="shared" si="21"/>
        <v>RAS</v>
      </c>
      <c r="J491" s="14" t="str">
        <f t="shared" si="22"/>
        <v>Autre filière</v>
      </c>
      <c r="L491" s="16"/>
    </row>
    <row r="492" spans="1:12">
      <c r="A492" t="s">
        <v>656</v>
      </c>
      <c r="B492" t="s">
        <v>657</v>
      </c>
      <c r="C492" t="s">
        <v>48</v>
      </c>
      <c r="D492">
        <v>17.260000000000002</v>
      </c>
      <c r="E492">
        <v>15.98</v>
      </c>
      <c r="F492" s="11">
        <v>0.81210000000000004</v>
      </c>
      <c r="G492" t="str">
        <f t="shared" si="23"/>
        <v>Admis</v>
      </c>
      <c r="H492" t="str" cm="1">
        <f t="array" ref="H492">_xlfn.IFS(E492&gt;=16, "Excellent",E492&gt;=14, "Très bien", E492&gt;=12, "Bien", E492&gt;=10, "Passable", E492&lt;10, "Insuffisant")</f>
        <v>Très bien</v>
      </c>
      <c r="I492" s="14" t="str">
        <f t="shared" si="21"/>
        <v>RAS</v>
      </c>
      <c r="J492" s="14" t="str">
        <f t="shared" si="22"/>
        <v>Autre filière</v>
      </c>
      <c r="K492" s="15"/>
      <c r="L492" s="16"/>
    </row>
    <row r="493" spans="1:12">
      <c r="A493" t="s">
        <v>846</v>
      </c>
      <c r="B493" t="s">
        <v>344</v>
      </c>
      <c r="C493" t="s">
        <v>27</v>
      </c>
      <c r="D493">
        <v>9.6999999999999993</v>
      </c>
      <c r="E493">
        <v>14.9</v>
      </c>
      <c r="F493" s="11">
        <v>0.71599999999999997</v>
      </c>
      <c r="G493" t="str">
        <f t="shared" si="23"/>
        <v>Refusé</v>
      </c>
      <c r="H493" t="str" cm="1">
        <f t="array" ref="H493">_xlfn.IFS(E493&gt;=16, "Excellent",E493&gt;=14, "Très bien", E493&gt;=12, "Bien", E493&gt;=10, "Passable", E493&lt;10, "Insuffisant")</f>
        <v>Très bien</v>
      </c>
      <c r="I493" s="14" t="str">
        <f t="shared" si="21"/>
        <v>A surveiller</v>
      </c>
      <c r="J493" s="14" t="str">
        <f t="shared" si="22"/>
        <v>Autre filière</v>
      </c>
      <c r="L493" s="16"/>
    </row>
    <row r="494" spans="1:12">
      <c r="A494" t="s">
        <v>643</v>
      </c>
      <c r="B494" t="s">
        <v>262</v>
      </c>
      <c r="C494" t="s">
        <v>48</v>
      </c>
      <c r="D494">
        <v>15.55</v>
      </c>
      <c r="E494">
        <v>17.79</v>
      </c>
      <c r="F494" s="11">
        <v>0.9224</v>
      </c>
      <c r="G494" t="str">
        <f t="shared" si="23"/>
        <v>Admis</v>
      </c>
      <c r="H494" t="str" cm="1">
        <f t="array" ref="H494">_xlfn.IFS(E494&gt;=16, "Excellent",E494&gt;=14, "Très bien", E494&gt;=12, "Bien", E494&gt;=10, "Passable", E494&lt;10, "Insuffisant")</f>
        <v>Excellent</v>
      </c>
      <c r="I494" s="14" t="str">
        <f t="shared" si="21"/>
        <v>RAS</v>
      </c>
      <c r="J494" s="14" t="str">
        <f t="shared" si="22"/>
        <v>Autre filière</v>
      </c>
      <c r="L494" s="16"/>
    </row>
    <row r="495" spans="1:12">
      <c r="A495" t="s">
        <v>817</v>
      </c>
      <c r="B495" t="s">
        <v>562</v>
      </c>
      <c r="C495" t="s">
        <v>35</v>
      </c>
      <c r="D495">
        <v>13.66</v>
      </c>
      <c r="E495">
        <v>13.71</v>
      </c>
      <c r="F495" s="11">
        <v>0.75600000000000001</v>
      </c>
      <c r="G495" t="str">
        <f t="shared" si="23"/>
        <v>Admis sous condition</v>
      </c>
      <c r="H495" t="str" cm="1">
        <f t="array" ref="H495">_xlfn.IFS(E495&gt;=16, "Excellent",E495&gt;=14, "Très bien", E495&gt;=12, "Bien", E495&gt;=10, "Passable", E495&lt;10, "Insuffisant")</f>
        <v>Bien</v>
      </c>
      <c r="I495" s="14" t="str">
        <f t="shared" si="21"/>
        <v>RAS</v>
      </c>
      <c r="J495" s="14" t="str">
        <f t="shared" si="22"/>
        <v>Autre filière</v>
      </c>
      <c r="L495" s="16"/>
    </row>
    <row r="496" spans="1:12">
      <c r="A496" t="s">
        <v>421</v>
      </c>
      <c r="B496" t="s">
        <v>135</v>
      </c>
      <c r="C496" t="s">
        <v>27</v>
      </c>
      <c r="D496">
        <v>11.36</v>
      </c>
      <c r="E496">
        <v>8.14</v>
      </c>
      <c r="F496" s="11">
        <v>0.55000000000000004</v>
      </c>
      <c r="G496" t="str">
        <f t="shared" si="23"/>
        <v>Refusé</v>
      </c>
      <c r="H496" t="str" cm="1">
        <f t="array" ref="H496">_xlfn.IFS(E496&gt;=16, "Excellent",E496&gt;=14, "Très bien", E496&gt;=12, "Bien", E496&gt;=10, "Passable", E496&lt;10, "Insuffisant")</f>
        <v>Insuffisant</v>
      </c>
      <c r="I496" s="14" t="str">
        <f t="shared" si="21"/>
        <v>A surveiller</v>
      </c>
      <c r="J496" s="14" t="str">
        <f t="shared" si="22"/>
        <v>Autre filière</v>
      </c>
      <c r="L496" s="16"/>
    </row>
    <row r="497" spans="1:12">
      <c r="A497" t="s">
        <v>988</v>
      </c>
      <c r="B497" t="s">
        <v>237</v>
      </c>
      <c r="C497" t="s">
        <v>48</v>
      </c>
      <c r="D497">
        <v>13.46</v>
      </c>
      <c r="E497">
        <v>14.86</v>
      </c>
      <c r="F497" s="11">
        <v>0.65739999999999998</v>
      </c>
      <c r="G497" t="str">
        <f t="shared" si="23"/>
        <v>Admis sous condition</v>
      </c>
      <c r="H497" t="str" cm="1">
        <f t="array" ref="H497">_xlfn.IFS(E497&gt;=16, "Excellent",E497&gt;=14, "Très bien", E497&gt;=12, "Bien", E497&gt;=10, "Passable", E497&lt;10, "Insuffisant")</f>
        <v>Très bien</v>
      </c>
      <c r="I497" s="14" t="str">
        <f t="shared" si="21"/>
        <v>A surveiller</v>
      </c>
      <c r="J497" s="14" t="str">
        <f t="shared" si="22"/>
        <v>Autre filière</v>
      </c>
      <c r="L497" s="16"/>
    </row>
    <row r="498" spans="1:12">
      <c r="A498" t="s">
        <v>128</v>
      </c>
      <c r="B498" t="s">
        <v>129</v>
      </c>
      <c r="C498" t="s">
        <v>48</v>
      </c>
      <c r="D498">
        <v>9.2899999999999991</v>
      </c>
      <c r="E498">
        <v>13.9</v>
      </c>
      <c r="F498" s="11">
        <v>0.95179999999999998</v>
      </c>
      <c r="G498" t="str">
        <f t="shared" si="23"/>
        <v>Refusé</v>
      </c>
      <c r="H498" t="str" cm="1">
        <f t="array" ref="H498">_xlfn.IFS(E498&gt;=16, "Excellent",E498&gt;=14, "Très bien", E498&gt;=12, "Bien", E498&gt;=10, "Passable", E498&lt;10, "Insuffisant")</f>
        <v>Bien</v>
      </c>
      <c r="I498" s="14" t="str">
        <f t="shared" si="21"/>
        <v>A surveiller</v>
      </c>
      <c r="J498" s="14" t="str">
        <f t="shared" si="22"/>
        <v>Autre filière</v>
      </c>
      <c r="L498" s="16"/>
    </row>
    <row r="499" spans="1:12">
      <c r="A499" t="s">
        <v>60</v>
      </c>
      <c r="B499" t="s">
        <v>61</v>
      </c>
      <c r="C499" t="s">
        <v>27</v>
      </c>
      <c r="D499">
        <v>14.6</v>
      </c>
      <c r="E499">
        <v>11.79</v>
      </c>
      <c r="F499" s="11">
        <v>0.79810000000000003</v>
      </c>
      <c r="G499" t="str">
        <f t="shared" si="23"/>
        <v>Admis sous condition</v>
      </c>
      <c r="H499" t="str" cm="1">
        <f t="array" ref="H499">_xlfn.IFS(E499&gt;=16, "Excellent",E499&gt;=14, "Très bien", E499&gt;=12, "Bien", E499&gt;=10, "Passable", E499&lt;10, "Insuffisant")</f>
        <v>Passable</v>
      </c>
      <c r="I499" s="14" t="str">
        <f t="shared" si="21"/>
        <v>RAS</v>
      </c>
      <c r="J499" s="14" t="str">
        <f t="shared" si="22"/>
        <v>Autre filière</v>
      </c>
      <c r="L499" s="16"/>
    </row>
    <row r="500" spans="1:12">
      <c r="A500" t="s">
        <v>1004</v>
      </c>
      <c r="B500" t="s">
        <v>231</v>
      </c>
      <c r="C500" t="s">
        <v>35</v>
      </c>
      <c r="D500">
        <v>6.6</v>
      </c>
      <c r="E500">
        <v>10.68</v>
      </c>
      <c r="F500" s="11">
        <v>0.81869999999999998</v>
      </c>
      <c r="G500" t="str">
        <f t="shared" si="23"/>
        <v>Refusé</v>
      </c>
      <c r="H500" t="str" cm="1">
        <f t="array" ref="H500">_xlfn.IFS(E500&gt;=16, "Excellent",E500&gt;=14, "Très bien", E500&gt;=12, "Bien", E500&gt;=10, "Passable", E500&lt;10, "Insuffisant")</f>
        <v>Passable</v>
      </c>
      <c r="I500" s="14" t="str">
        <f t="shared" si="21"/>
        <v>A surveiller</v>
      </c>
      <c r="J500" s="14" t="str">
        <f t="shared" si="22"/>
        <v>Autre filière</v>
      </c>
      <c r="K500" s="15"/>
      <c r="L500" s="16"/>
    </row>
    <row r="501" spans="1:12">
      <c r="A501" t="s">
        <v>1035</v>
      </c>
      <c r="B501" t="s">
        <v>1036</v>
      </c>
      <c r="C501" t="s">
        <v>35</v>
      </c>
      <c r="D501">
        <v>9.41</v>
      </c>
      <c r="E501">
        <v>12.35</v>
      </c>
      <c r="F501" s="11">
        <v>0.92649999999999999</v>
      </c>
      <c r="G501" t="str">
        <f t="shared" si="23"/>
        <v>Refusé</v>
      </c>
      <c r="H501" t="str" cm="1">
        <f t="array" ref="H501">_xlfn.IFS(E501&gt;=16, "Excellent",E501&gt;=14, "Très bien", E501&gt;=12, "Bien", E501&gt;=10, "Passable", E501&lt;10, "Insuffisant")</f>
        <v>Bien</v>
      </c>
      <c r="I501" s="14" t="str">
        <f t="shared" si="21"/>
        <v>A surveiller</v>
      </c>
      <c r="J501" s="14" t="str">
        <f t="shared" si="22"/>
        <v>Autre filière</v>
      </c>
      <c r="L501" s="16"/>
    </row>
    <row r="502" spans="1:12">
      <c r="A502" t="s">
        <v>28</v>
      </c>
      <c r="B502" t="s">
        <v>29</v>
      </c>
      <c r="C502" t="s">
        <v>22</v>
      </c>
      <c r="D502">
        <v>11.17</v>
      </c>
      <c r="E502">
        <v>19.760000000000002</v>
      </c>
      <c r="F502" s="11">
        <v>0.79079999999999995</v>
      </c>
      <c r="G502" t="str">
        <f t="shared" si="23"/>
        <v>Admis sous condition</v>
      </c>
      <c r="H502" t="str" cm="1">
        <f t="array" ref="H502">_xlfn.IFS(E502&gt;=16, "Excellent",E502&gt;=14, "Très bien", E502&gt;=12, "Bien", E502&gt;=10, "Passable", E502&lt;10, "Insuffisant")</f>
        <v>Excellent</v>
      </c>
      <c r="I502" s="14" t="str">
        <f t="shared" si="21"/>
        <v>RAS</v>
      </c>
      <c r="J502" s="14" t="str">
        <f t="shared" si="22"/>
        <v>Data</v>
      </c>
      <c r="L502" s="16"/>
    </row>
    <row r="503" spans="1:12">
      <c r="A503" t="s">
        <v>1091</v>
      </c>
      <c r="B503" t="s">
        <v>1050</v>
      </c>
      <c r="C503" t="s">
        <v>48</v>
      </c>
      <c r="D503">
        <v>8.75</v>
      </c>
      <c r="E503">
        <v>9.86</v>
      </c>
      <c r="F503" s="11">
        <v>0.85829999999999995</v>
      </c>
      <c r="G503" t="str">
        <f t="shared" si="23"/>
        <v>Refusé</v>
      </c>
      <c r="H503" t="str" cm="1">
        <f t="array" ref="H503">_xlfn.IFS(E503&gt;=16, "Excellent",E503&gt;=14, "Très bien", E503&gt;=12, "Bien", E503&gt;=10, "Passable", E503&lt;10, "Insuffisant")</f>
        <v>Insuffisant</v>
      </c>
      <c r="I503" s="14" t="str">
        <f t="shared" si="21"/>
        <v>A surveiller</v>
      </c>
      <c r="J503" s="14" t="str">
        <f t="shared" si="22"/>
        <v>Autre filière</v>
      </c>
      <c r="K503" s="15"/>
      <c r="L503" s="16"/>
    </row>
    <row r="504" spans="1:12">
      <c r="A504" t="s">
        <v>504</v>
      </c>
      <c r="B504" t="s">
        <v>55</v>
      </c>
      <c r="C504" t="s">
        <v>22</v>
      </c>
      <c r="D504">
        <v>13.42</v>
      </c>
      <c r="E504">
        <v>9.9700000000000006</v>
      </c>
      <c r="F504" s="11">
        <v>0.59109999999999996</v>
      </c>
      <c r="G504" t="str">
        <f t="shared" si="23"/>
        <v>Refusé</v>
      </c>
      <c r="H504" t="str" cm="1">
        <f t="array" ref="H504">_xlfn.IFS(E504&gt;=16, "Excellent",E504&gt;=14, "Très bien", E504&gt;=12, "Bien", E504&gt;=10, "Passable", E504&lt;10, "Insuffisant")</f>
        <v>Insuffisant</v>
      </c>
      <c r="I504" s="14" t="str">
        <f t="shared" si="21"/>
        <v>A surveiller</v>
      </c>
      <c r="J504" s="14" t="str">
        <f t="shared" si="22"/>
        <v>Data</v>
      </c>
      <c r="L504" s="16"/>
    </row>
    <row r="505" spans="1:12">
      <c r="A505" t="s">
        <v>187</v>
      </c>
      <c r="B505" t="s">
        <v>188</v>
      </c>
      <c r="C505" t="s">
        <v>22</v>
      </c>
      <c r="D505">
        <v>15.33</v>
      </c>
      <c r="E505">
        <v>16.829999999999998</v>
      </c>
      <c r="F505" s="11">
        <v>0.93730000000000002</v>
      </c>
      <c r="G505" t="str">
        <f t="shared" si="23"/>
        <v>Admis</v>
      </c>
      <c r="H505" t="str" cm="1">
        <f t="array" ref="H505">_xlfn.IFS(E505&gt;=16, "Excellent",E505&gt;=14, "Très bien", E505&gt;=12, "Bien", E505&gt;=10, "Passable", E505&lt;10, "Insuffisant")</f>
        <v>Excellent</v>
      </c>
      <c r="I505" s="14" t="str">
        <f t="shared" si="21"/>
        <v>RAS</v>
      </c>
      <c r="J505" s="14" t="str">
        <f t="shared" si="22"/>
        <v>Data</v>
      </c>
      <c r="L505" s="16"/>
    </row>
    <row r="506" spans="1:12">
      <c r="A506" t="s">
        <v>32</v>
      </c>
      <c r="B506" t="s">
        <v>33</v>
      </c>
      <c r="C506" t="s">
        <v>35</v>
      </c>
      <c r="D506">
        <v>13.23</v>
      </c>
      <c r="E506">
        <v>10.63</v>
      </c>
      <c r="F506" s="11">
        <v>0.73070000000000002</v>
      </c>
      <c r="G506" t="str">
        <f t="shared" si="23"/>
        <v>Admis sous condition</v>
      </c>
      <c r="H506" t="str" cm="1">
        <f t="array" ref="H506">_xlfn.IFS(E506&gt;=16, "Excellent",E506&gt;=14, "Très bien", E506&gt;=12, "Bien", E506&gt;=10, "Passable", E506&lt;10, "Insuffisant")</f>
        <v>Passable</v>
      </c>
      <c r="I506" s="14" t="str">
        <f t="shared" si="21"/>
        <v>RAS</v>
      </c>
      <c r="J506" s="14" t="str">
        <f t="shared" si="22"/>
        <v>Autre filière</v>
      </c>
      <c r="L506" s="16"/>
    </row>
    <row r="507" spans="1:12">
      <c r="A507" t="s">
        <v>1145</v>
      </c>
      <c r="B507" t="s">
        <v>575</v>
      </c>
      <c r="C507" t="s">
        <v>35</v>
      </c>
      <c r="D507">
        <v>9.0299999999999994</v>
      </c>
      <c r="E507">
        <v>14.87</v>
      </c>
      <c r="F507" s="11">
        <v>0.82210000000000005</v>
      </c>
      <c r="G507" t="str">
        <f t="shared" si="23"/>
        <v>Refusé</v>
      </c>
      <c r="H507" t="str" cm="1">
        <f t="array" ref="H507">_xlfn.IFS(E507&gt;=16, "Excellent",E507&gt;=14, "Très bien", E507&gt;=12, "Bien", E507&gt;=10, "Passable", E507&lt;10, "Insuffisant")</f>
        <v>Très bien</v>
      </c>
      <c r="I507" s="14" t="str">
        <f t="shared" si="21"/>
        <v>A surveiller</v>
      </c>
      <c r="J507" s="14" t="str">
        <f t="shared" si="22"/>
        <v>Autre filière</v>
      </c>
      <c r="K507" s="15"/>
      <c r="L507" s="16"/>
    </row>
    <row r="508" spans="1:12">
      <c r="A508" t="s">
        <v>176</v>
      </c>
      <c r="B508" t="s">
        <v>109</v>
      </c>
      <c r="C508" t="s">
        <v>35</v>
      </c>
      <c r="D508">
        <v>16.010000000000002</v>
      </c>
      <c r="E508">
        <v>14.48</v>
      </c>
      <c r="F508" s="11">
        <v>0.92200000000000004</v>
      </c>
      <c r="G508" t="str">
        <f t="shared" si="23"/>
        <v>Admis</v>
      </c>
      <c r="H508" t="str" cm="1">
        <f t="array" ref="H508">_xlfn.IFS(E508&gt;=16, "Excellent",E508&gt;=14, "Très bien", E508&gt;=12, "Bien", E508&gt;=10, "Passable", E508&lt;10, "Insuffisant")</f>
        <v>Très bien</v>
      </c>
      <c r="I508" s="14" t="str">
        <f t="shared" si="21"/>
        <v>RAS</v>
      </c>
      <c r="J508" s="14" t="str">
        <f t="shared" si="22"/>
        <v>Autre filière</v>
      </c>
      <c r="L508" s="16"/>
    </row>
    <row r="509" spans="1:12">
      <c r="A509" t="s">
        <v>895</v>
      </c>
      <c r="B509" t="s">
        <v>636</v>
      </c>
      <c r="C509" t="s">
        <v>48</v>
      </c>
      <c r="D509">
        <v>15.39</v>
      </c>
      <c r="E509">
        <v>14.45</v>
      </c>
      <c r="F509" s="11">
        <v>0.8861</v>
      </c>
      <c r="G509" t="str">
        <f t="shared" si="23"/>
        <v>Admis</v>
      </c>
      <c r="H509" t="str" cm="1">
        <f t="array" ref="H509">_xlfn.IFS(E509&gt;=16, "Excellent",E509&gt;=14, "Très bien", E509&gt;=12, "Bien", E509&gt;=10, "Passable", E509&lt;10, "Insuffisant")</f>
        <v>Très bien</v>
      </c>
      <c r="I509" s="14" t="str">
        <f t="shared" si="21"/>
        <v>RAS</v>
      </c>
      <c r="J509" s="14" t="str">
        <f t="shared" si="22"/>
        <v>Autre filière</v>
      </c>
      <c r="K509" s="15"/>
      <c r="L509" s="16"/>
    </row>
    <row r="510" spans="1:12">
      <c r="A510" t="s">
        <v>827</v>
      </c>
      <c r="B510" t="s">
        <v>564</v>
      </c>
      <c r="C510" t="s">
        <v>22</v>
      </c>
      <c r="D510">
        <v>14.95</v>
      </c>
      <c r="E510">
        <v>16.39</v>
      </c>
      <c r="F510" s="11">
        <v>0.89029999999999998</v>
      </c>
      <c r="G510" t="str">
        <f t="shared" si="23"/>
        <v>Admis</v>
      </c>
      <c r="H510" t="str" cm="1">
        <f t="array" ref="H510">_xlfn.IFS(E510&gt;=16, "Excellent",E510&gt;=14, "Très bien", E510&gt;=12, "Bien", E510&gt;=10, "Passable", E510&lt;10, "Insuffisant")</f>
        <v>Excellent</v>
      </c>
      <c r="I510" s="14" t="str">
        <f t="shared" si="21"/>
        <v>RAS</v>
      </c>
      <c r="J510" s="14" t="str">
        <f t="shared" si="22"/>
        <v>Data</v>
      </c>
      <c r="K510" s="15"/>
      <c r="L510" s="16"/>
    </row>
    <row r="511" spans="1:12">
      <c r="A511" t="s">
        <v>706</v>
      </c>
      <c r="B511" t="s">
        <v>157</v>
      </c>
      <c r="C511" t="s">
        <v>22</v>
      </c>
      <c r="D511">
        <v>10.33</v>
      </c>
      <c r="E511">
        <v>16.22</v>
      </c>
      <c r="F511" s="11">
        <v>0.77610000000000001</v>
      </c>
      <c r="G511" t="str">
        <f t="shared" si="23"/>
        <v>Admis sous condition</v>
      </c>
      <c r="H511" t="str" cm="1">
        <f t="array" ref="H511">_xlfn.IFS(E511&gt;=16, "Excellent",E511&gt;=14, "Très bien", E511&gt;=12, "Bien", E511&gt;=10, "Passable", E511&lt;10, "Insuffisant")</f>
        <v>Excellent</v>
      </c>
      <c r="I511" s="14" t="str">
        <f t="shared" si="21"/>
        <v>RAS</v>
      </c>
      <c r="J511" s="14" t="str">
        <f t="shared" si="22"/>
        <v>Data</v>
      </c>
      <c r="L511" s="16"/>
    </row>
    <row r="512" spans="1:12">
      <c r="A512" t="s">
        <v>1048</v>
      </c>
      <c r="B512" t="s">
        <v>202</v>
      </c>
      <c r="C512" t="s">
        <v>35</v>
      </c>
      <c r="D512">
        <v>8.32</v>
      </c>
      <c r="E512">
        <v>10.41</v>
      </c>
      <c r="F512" s="11">
        <v>0.90090000000000003</v>
      </c>
      <c r="G512" t="str">
        <f t="shared" si="23"/>
        <v>Refusé</v>
      </c>
      <c r="H512" t="str" cm="1">
        <f t="array" ref="H512">_xlfn.IFS(E512&gt;=16, "Excellent",E512&gt;=14, "Très bien", E512&gt;=12, "Bien", E512&gt;=10, "Passable", E512&lt;10, "Insuffisant")</f>
        <v>Passable</v>
      </c>
      <c r="I512" s="14" t="str">
        <f t="shared" si="21"/>
        <v>A surveiller</v>
      </c>
      <c r="J512" s="14" t="str">
        <f t="shared" si="22"/>
        <v>Autre filière</v>
      </c>
      <c r="L512" s="16"/>
    </row>
    <row r="513" spans="1:12">
      <c r="A513" t="s">
        <v>181</v>
      </c>
      <c r="B513" t="s">
        <v>182</v>
      </c>
      <c r="C513" t="s">
        <v>48</v>
      </c>
      <c r="D513">
        <v>9.24</v>
      </c>
      <c r="E513">
        <v>9.15</v>
      </c>
      <c r="F513" s="11">
        <v>0.95140000000000002</v>
      </c>
      <c r="G513" t="str">
        <f t="shared" si="23"/>
        <v>Refusé</v>
      </c>
      <c r="H513" t="str" cm="1">
        <f t="array" ref="H513">_xlfn.IFS(E513&gt;=16, "Excellent",E513&gt;=14, "Très bien", E513&gt;=12, "Bien", E513&gt;=10, "Passable", E513&lt;10, "Insuffisant")</f>
        <v>Insuffisant</v>
      </c>
      <c r="I513" s="14" t="str">
        <f t="shared" si="21"/>
        <v>A surveiller</v>
      </c>
      <c r="J513" s="14" t="str">
        <f t="shared" si="22"/>
        <v>Autre filière</v>
      </c>
      <c r="L513" s="16"/>
    </row>
    <row r="514" spans="1:12">
      <c r="A514" t="s">
        <v>1125</v>
      </c>
      <c r="B514" t="s">
        <v>33</v>
      </c>
      <c r="C514" t="s">
        <v>48</v>
      </c>
      <c r="D514">
        <v>9.77</v>
      </c>
      <c r="E514">
        <v>11.3</v>
      </c>
      <c r="F514" s="11">
        <v>0.80249999999999999</v>
      </c>
      <c r="G514" t="str">
        <f t="shared" si="23"/>
        <v>Refusé</v>
      </c>
      <c r="H514" t="str" cm="1">
        <f t="array" ref="H514">_xlfn.IFS(E514&gt;=16, "Excellent",E514&gt;=14, "Très bien", E514&gt;=12, "Bien", E514&gt;=10, "Passable", E514&lt;10, "Insuffisant")</f>
        <v>Passable</v>
      </c>
      <c r="I514" s="14" t="str">
        <f t="shared" si="21"/>
        <v>A surveiller</v>
      </c>
      <c r="J514" s="14" t="str">
        <f t="shared" si="22"/>
        <v>Autre filière</v>
      </c>
      <c r="K514" s="15"/>
      <c r="L514" s="16"/>
    </row>
    <row r="515" spans="1:12">
      <c r="A515" t="s">
        <v>1042</v>
      </c>
      <c r="B515" t="s">
        <v>455</v>
      </c>
      <c r="C515" t="s">
        <v>27</v>
      </c>
      <c r="D515">
        <v>17.88</v>
      </c>
      <c r="E515">
        <v>14.9</v>
      </c>
      <c r="F515" s="11">
        <v>0.55000000000000004</v>
      </c>
      <c r="G515" t="str">
        <f t="shared" si="23"/>
        <v>Admis sous condition</v>
      </c>
      <c r="H515" t="str" cm="1">
        <f t="array" ref="H515">_xlfn.IFS(E515&gt;=16, "Excellent",E515&gt;=14, "Très bien", E515&gt;=12, "Bien", E515&gt;=10, "Passable", E515&lt;10, "Insuffisant")</f>
        <v>Très bien</v>
      </c>
      <c r="I515" s="14" t="str">
        <f t="shared" ref="I515:I578" si="24">IF(OR(D515&lt;10,E515&lt;10,F515&lt;70%), "A surveiller", "RAS")</f>
        <v>A surveiller</v>
      </c>
      <c r="J515" s="14" t="str">
        <f t="shared" ref="J515:J578" si="25">IF(NOT(C515="Data"), "Autre filière", "Data")</f>
        <v>Autre filière</v>
      </c>
      <c r="L515" s="16"/>
    </row>
    <row r="516" spans="1:12">
      <c r="A516" t="s">
        <v>1199</v>
      </c>
      <c r="B516" t="s">
        <v>492</v>
      </c>
      <c r="C516" t="s">
        <v>35</v>
      </c>
      <c r="D516">
        <v>18.100000000000001</v>
      </c>
      <c r="E516">
        <v>10.75</v>
      </c>
      <c r="F516" s="11">
        <v>0.78990000000000005</v>
      </c>
      <c r="G516" t="str">
        <f t="shared" si="23"/>
        <v>Admis sous condition</v>
      </c>
      <c r="H516" t="str" cm="1">
        <f t="array" ref="H516">_xlfn.IFS(E516&gt;=16, "Excellent",E516&gt;=14, "Très bien", E516&gt;=12, "Bien", E516&gt;=10, "Passable", E516&lt;10, "Insuffisant")</f>
        <v>Passable</v>
      </c>
      <c r="I516" s="14" t="str">
        <f t="shared" si="24"/>
        <v>RAS</v>
      </c>
      <c r="J516" s="14" t="str">
        <f t="shared" si="25"/>
        <v>Autre filière</v>
      </c>
      <c r="L516" s="16"/>
    </row>
    <row r="517" spans="1:12">
      <c r="A517" t="s">
        <v>735</v>
      </c>
      <c r="B517" t="s">
        <v>104</v>
      </c>
      <c r="C517" t="s">
        <v>35</v>
      </c>
      <c r="D517">
        <v>9.75</v>
      </c>
      <c r="E517">
        <v>15.11</v>
      </c>
      <c r="F517" s="11">
        <v>0.68189999999999995</v>
      </c>
      <c r="G517" t="str">
        <f t="shared" si="23"/>
        <v>Refusé</v>
      </c>
      <c r="H517" t="str" cm="1">
        <f t="array" ref="H517">_xlfn.IFS(E517&gt;=16, "Excellent",E517&gt;=14, "Très bien", E517&gt;=12, "Bien", E517&gt;=10, "Passable", E517&lt;10, "Insuffisant")</f>
        <v>Très bien</v>
      </c>
      <c r="I517" s="14" t="str">
        <f t="shared" si="24"/>
        <v>A surveiller</v>
      </c>
      <c r="J517" s="14" t="str">
        <f t="shared" si="25"/>
        <v>Autre filière</v>
      </c>
      <c r="L517" s="16"/>
    </row>
    <row r="518" spans="1:12">
      <c r="A518" t="s">
        <v>522</v>
      </c>
      <c r="B518" t="s">
        <v>460</v>
      </c>
      <c r="C518" t="s">
        <v>27</v>
      </c>
      <c r="D518">
        <v>16.96</v>
      </c>
      <c r="E518">
        <v>15.37</v>
      </c>
      <c r="F518" s="11">
        <v>0.75690000000000002</v>
      </c>
      <c r="G518" t="str">
        <f t="shared" si="23"/>
        <v>Admis sous condition</v>
      </c>
      <c r="H518" t="str" cm="1">
        <f t="array" ref="H518">_xlfn.IFS(E518&gt;=16, "Excellent",E518&gt;=14, "Très bien", E518&gt;=12, "Bien", E518&gt;=10, "Passable", E518&lt;10, "Insuffisant")</f>
        <v>Très bien</v>
      </c>
      <c r="I518" s="14" t="str">
        <f t="shared" si="24"/>
        <v>RAS</v>
      </c>
      <c r="J518" s="14" t="str">
        <f t="shared" si="25"/>
        <v>Autre filière</v>
      </c>
      <c r="L518" s="16"/>
    </row>
    <row r="519" spans="1:12">
      <c r="A519" t="s">
        <v>1133</v>
      </c>
      <c r="B519" t="s">
        <v>243</v>
      </c>
      <c r="C519" t="s">
        <v>48</v>
      </c>
      <c r="D519">
        <v>14.25</v>
      </c>
      <c r="E519">
        <v>14.91</v>
      </c>
      <c r="F519" s="11">
        <v>0.89100000000000001</v>
      </c>
      <c r="G519" t="str">
        <f t="shared" si="23"/>
        <v>Admis</v>
      </c>
      <c r="H519" t="str" cm="1">
        <f t="array" ref="H519">_xlfn.IFS(E519&gt;=16, "Excellent",E519&gt;=14, "Très bien", E519&gt;=12, "Bien", E519&gt;=10, "Passable", E519&lt;10, "Insuffisant")</f>
        <v>Très bien</v>
      </c>
      <c r="I519" s="14" t="str">
        <f t="shared" si="24"/>
        <v>RAS</v>
      </c>
      <c r="J519" s="14" t="str">
        <f t="shared" si="25"/>
        <v>Autre filière</v>
      </c>
      <c r="K519" s="15"/>
      <c r="L519" s="16"/>
    </row>
    <row r="520" spans="1:12">
      <c r="A520" t="s">
        <v>156</v>
      </c>
      <c r="B520" t="s">
        <v>157</v>
      </c>
      <c r="C520" t="s">
        <v>35</v>
      </c>
      <c r="D520">
        <v>10.73</v>
      </c>
      <c r="E520">
        <v>13.55</v>
      </c>
      <c r="F520" s="11">
        <v>0.87060000000000004</v>
      </c>
      <c r="G520" t="str">
        <f t="shared" si="23"/>
        <v>Admis sous condition</v>
      </c>
      <c r="H520" t="str" cm="1">
        <f t="array" ref="H520">_xlfn.IFS(E520&gt;=16, "Excellent",E520&gt;=14, "Très bien", E520&gt;=12, "Bien", E520&gt;=10, "Passable", E520&lt;10, "Insuffisant")</f>
        <v>Bien</v>
      </c>
      <c r="I520" s="14" t="str">
        <f t="shared" si="24"/>
        <v>RAS</v>
      </c>
      <c r="J520" s="14" t="str">
        <f t="shared" si="25"/>
        <v>Autre filière</v>
      </c>
      <c r="K520" s="15"/>
      <c r="L520" s="16"/>
    </row>
    <row r="521" spans="1:12">
      <c r="A521" t="s">
        <v>1128</v>
      </c>
      <c r="B521" t="s">
        <v>564</v>
      </c>
      <c r="C521" t="s">
        <v>27</v>
      </c>
      <c r="D521">
        <v>9.82</v>
      </c>
      <c r="E521">
        <v>19.39</v>
      </c>
      <c r="F521" s="11">
        <v>0.9163</v>
      </c>
      <c r="G521" t="str">
        <f t="shared" si="23"/>
        <v>Refusé</v>
      </c>
      <c r="H521" t="str" cm="1">
        <f t="array" ref="H521">_xlfn.IFS(E521&gt;=16, "Excellent",E521&gt;=14, "Très bien", E521&gt;=12, "Bien", E521&gt;=10, "Passable", E521&lt;10, "Insuffisant")</f>
        <v>Excellent</v>
      </c>
      <c r="I521" s="14" t="str">
        <f t="shared" si="24"/>
        <v>A surveiller</v>
      </c>
      <c r="J521" s="14" t="str">
        <f t="shared" si="25"/>
        <v>Autre filière</v>
      </c>
      <c r="L521" s="16"/>
    </row>
    <row r="522" spans="1:12">
      <c r="A522" t="s">
        <v>300</v>
      </c>
      <c r="B522" t="s">
        <v>301</v>
      </c>
      <c r="C522" t="s">
        <v>22</v>
      </c>
      <c r="D522">
        <v>12.01</v>
      </c>
      <c r="E522">
        <v>10.3</v>
      </c>
      <c r="F522" s="11">
        <v>0.81130000000000002</v>
      </c>
      <c r="G522" t="str">
        <f t="shared" si="23"/>
        <v>Admis sous condition</v>
      </c>
      <c r="H522" t="str" cm="1">
        <f t="array" ref="H522">_xlfn.IFS(E522&gt;=16, "Excellent",E522&gt;=14, "Très bien", E522&gt;=12, "Bien", E522&gt;=10, "Passable", E522&lt;10, "Insuffisant")</f>
        <v>Passable</v>
      </c>
      <c r="I522" s="14" t="str">
        <f t="shared" si="24"/>
        <v>RAS</v>
      </c>
      <c r="J522" s="14" t="str">
        <f t="shared" si="25"/>
        <v>Data</v>
      </c>
      <c r="K522" s="15"/>
      <c r="L522" s="16"/>
    </row>
    <row r="523" spans="1:12">
      <c r="A523" t="s">
        <v>788</v>
      </c>
      <c r="B523" t="s">
        <v>270</v>
      </c>
      <c r="C523" t="s">
        <v>35</v>
      </c>
      <c r="D523">
        <v>14.42</v>
      </c>
      <c r="E523">
        <v>17.97</v>
      </c>
      <c r="F523" s="11">
        <v>0.90559999999999996</v>
      </c>
      <c r="G523" t="str">
        <f t="shared" si="23"/>
        <v>Admis</v>
      </c>
      <c r="H523" t="str" cm="1">
        <f t="array" ref="H523">_xlfn.IFS(E523&gt;=16, "Excellent",E523&gt;=14, "Très bien", E523&gt;=12, "Bien", E523&gt;=10, "Passable", E523&lt;10, "Insuffisant")</f>
        <v>Excellent</v>
      </c>
      <c r="I523" s="14" t="str">
        <f t="shared" si="24"/>
        <v>RAS</v>
      </c>
      <c r="J523" s="14" t="str">
        <f t="shared" si="25"/>
        <v>Autre filière</v>
      </c>
      <c r="L523" s="16"/>
    </row>
    <row r="524" spans="1:12">
      <c r="A524" t="s">
        <v>23</v>
      </c>
      <c r="B524" t="s">
        <v>24</v>
      </c>
      <c r="C524" t="s">
        <v>27</v>
      </c>
      <c r="D524">
        <v>15.39</v>
      </c>
      <c r="E524">
        <v>20</v>
      </c>
      <c r="F524" s="11">
        <v>0.81930000000000003</v>
      </c>
      <c r="G524" t="str">
        <f t="shared" si="23"/>
        <v>Admis</v>
      </c>
      <c r="H524" t="str" cm="1">
        <f t="array" ref="H524">_xlfn.IFS(E524&gt;=16, "Excellent",E524&gt;=14, "Très bien", E524&gt;=12, "Bien", E524&gt;=10, "Passable", E524&lt;10, "Insuffisant")</f>
        <v>Excellent</v>
      </c>
      <c r="I524" s="14" t="str">
        <f t="shared" si="24"/>
        <v>RAS</v>
      </c>
      <c r="J524" s="14" t="str">
        <f t="shared" si="25"/>
        <v>Autre filière</v>
      </c>
      <c r="K524" s="15"/>
      <c r="L524" s="16"/>
    </row>
    <row r="525" spans="1:12">
      <c r="A525" t="s">
        <v>441</v>
      </c>
      <c r="B525" t="s">
        <v>442</v>
      </c>
      <c r="C525" t="s">
        <v>35</v>
      </c>
      <c r="D525">
        <v>9</v>
      </c>
      <c r="E525">
        <v>13.18</v>
      </c>
      <c r="F525" s="11">
        <v>0.84540000000000004</v>
      </c>
      <c r="G525" t="str">
        <f t="shared" ref="G525:G588" si="26">IF(AND(D525&gt;=12,E525&gt;=12,F525&gt;=80%),"Admis",IF(AND(D525&gt;=10,E525&gt;=10),"Admis sous condition","Refusé"))</f>
        <v>Refusé</v>
      </c>
      <c r="H525" t="str" cm="1">
        <f t="array" ref="H525">_xlfn.IFS(E525&gt;=16, "Excellent",E525&gt;=14, "Très bien", E525&gt;=12, "Bien", E525&gt;=10, "Passable", E525&lt;10, "Insuffisant")</f>
        <v>Bien</v>
      </c>
      <c r="I525" s="14" t="str">
        <f t="shared" si="24"/>
        <v>A surveiller</v>
      </c>
      <c r="J525" s="14" t="str">
        <f t="shared" si="25"/>
        <v>Autre filière</v>
      </c>
      <c r="K525" s="15"/>
      <c r="L525" s="16"/>
    </row>
    <row r="526" spans="1:12">
      <c r="A526" t="s">
        <v>534</v>
      </c>
      <c r="B526" t="s">
        <v>535</v>
      </c>
      <c r="C526" t="s">
        <v>35</v>
      </c>
      <c r="D526">
        <v>16.04</v>
      </c>
      <c r="E526">
        <v>13.92</v>
      </c>
      <c r="F526" s="11">
        <v>0.74919999999999998</v>
      </c>
      <c r="G526" t="str">
        <f t="shared" si="26"/>
        <v>Admis sous condition</v>
      </c>
      <c r="H526" t="str" cm="1">
        <f t="array" ref="H526">_xlfn.IFS(E526&gt;=16, "Excellent",E526&gt;=14, "Très bien", E526&gt;=12, "Bien", E526&gt;=10, "Passable", E526&lt;10, "Insuffisant")</f>
        <v>Bien</v>
      </c>
      <c r="I526" s="14" t="str">
        <f t="shared" si="24"/>
        <v>RAS</v>
      </c>
      <c r="J526" s="14" t="str">
        <f t="shared" si="25"/>
        <v>Autre filière</v>
      </c>
      <c r="L526" s="16"/>
    </row>
    <row r="527" spans="1:12">
      <c r="A527" t="s">
        <v>1323</v>
      </c>
      <c r="B527" t="s">
        <v>908</v>
      </c>
      <c r="C527" t="s">
        <v>48</v>
      </c>
      <c r="D527">
        <v>13.4</v>
      </c>
      <c r="E527">
        <v>9.61</v>
      </c>
      <c r="F527" s="11">
        <v>0.77700000000000002</v>
      </c>
      <c r="G527" t="str">
        <f t="shared" si="26"/>
        <v>Refusé</v>
      </c>
      <c r="H527" t="str" cm="1">
        <f t="array" ref="H527">_xlfn.IFS(E527&gt;=16, "Excellent",E527&gt;=14, "Très bien", E527&gt;=12, "Bien", E527&gt;=10, "Passable", E527&lt;10, "Insuffisant")</f>
        <v>Insuffisant</v>
      </c>
      <c r="I527" s="14" t="str">
        <f t="shared" si="24"/>
        <v>A surveiller</v>
      </c>
      <c r="J527" s="14" t="str">
        <f t="shared" si="25"/>
        <v>Autre filière</v>
      </c>
      <c r="L527" s="16"/>
    </row>
    <row r="528" spans="1:12">
      <c r="A528" t="s">
        <v>807</v>
      </c>
      <c r="B528" t="s">
        <v>342</v>
      </c>
      <c r="C528" t="s">
        <v>35</v>
      </c>
      <c r="D528">
        <v>19.27</v>
      </c>
      <c r="E528">
        <v>16.03</v>
      </c>
      <c r="F528" s="11">
        <v>0.90680000000000005</v>
      </c>
      <c r="G528" t="str">
        <f t="shared" si="26"/>
        <v>Admis</v>
      </c>
      <c r="H528" t="str" cm="1">
        <f t="array" ref="H528">_xlfn.IFS(E528&gt;=16, "Excellent",E528&gt;=14, "Très bien", E528&gt;=12, "Bien", E528&gt;=10, "Passable", E528&lt;10, "Insuffisant")</f>
        <v>Excellent</v>
      </c>
      <c r="I528" s="14" t="str">
        <f t="shared" si="24"/>
        <v>RAS</v>
      </c>
      <c r="J528" s="14" t="str">
        <f t="shared" si="25"/>
        <v>Autre filière</v>
      </c>
      <c r="L528" s="16"/>
    </row>
    <row r="529" spans="1:12">
      <c r="A529" t="s">
        <v>1317</v>
      </c>
      <c r="B529" t="s">
        <v>1009</v>
      </c>
      <c r="C529" t="s">
        <v>27</v>
      </c>
      <c r="D529">
        <v>11.22</v>
      </c>
      <c r="E529">
        <v>14.25</v>
      </c>
      <c r="F529" s="11">
        <v>0.65639999999999998</v>
      </c>
      <c r="G529" t="str">
        <f t="shared" si="26"/>
        <v>Admis sous condition</v>
      </c>
      <c r="H529" t="str" cm="1">
        <f t="array" ref="H529">_xlfn.IFS(E529&gt;=16, "Excellent",E529&gt;=14, "Très bien", E529&gt;=12, "Bien", E529&gt;=10, "Passable", E529&lt;10, "Insuffisant")</f>
        <v>Très bien</v>
      </c>
      <c r="I529" s="14" t="str">
        <f t="shared" si="24"/>
        <v>A surveiller</v>
      </c>
      <c r="J529" s="14" t="str">
        <f t="shared" si="25"/>
        <v>Autre filière</v>
      </c>
      <c r="L529" s="16"/>
    </row>
    <row r="530" spans="1:12">
      <c r="A530" t="s">
        <v>319</v>
      </c>
      <c r="B530" t="s">
        <v>320</v>
      </c>
      <c r="C530" t="s">
        <v>22</v>
      </c>
      <c r="D530">
        <v>10.18</v>
      </c>
      <c r="E530">
        <v>8.77</v>
      </c>
      <c r="F530" s="11">
        <v>0.9526</v>
      </c>
      <c r="G530" t="str">
        <f t="shared" si="26"/>
        <v>Refusé</v>
      </c>
      <c r="H530" t="str" cm="1">
        <f t="array" ref="H530">_xlfn.IFS(E530&gt;=16, "Excellent",E530&gt;=14, "Très bien", E530&gt;=12, "Bien", E530&gt;=10, "Passable", E530&lt;10, "Insuffisant")</f>
        <v>Insuffisant</v>
      </c>
      <c r="I530" s="14" t="str">
        <f t="shared" si="24"/>
        <v>A surveiller</v>
      </c>
      <c r="J530" s="14" t="str">
        <f t="shared" si="25"/>
        <v>Data</v>
      </c>
      <c r="L530" s="16"/>
    </row>
    <row r="531" spans="1:12">
      <c r="A531" t="s">
        <v>985</v>
      </c>
      <c r="B531" t="s">
        <v>496</v>
      </c>
      <c r="C531" t="s">
        <v>48</v>
      </c>
      <c r="D531">
        <v>7.55</v>
      </c>
      <c r="E531">
        <v>8.84</v>
      </c>
      <c r="F531" s="11">
        <v>0.88290000000000002</v>
      </c>
      <c r="G531" t="str">
        <f t="shared" si="26"/>
        <v>Refusé</v>
      </c>
      <c r="H531" t="str" cm="1">
        <f t="array" ref="H531">_xlfn.IFS(E531&gt;=16, "Excellent",E531&gt;=14, "Très bien", E531&gt;=12, "Bien", E531&gt;=10, "Passable", E531&lt;10, "Insuffisant")</f>
        <v>Insuffisant</v>
      </c>
      <c r="I531" s="14" t="str">
        <f t="shared" si="24"/>
        <v>A surveiller</v>
      </c>
      <c r="J531" s="14" t="str">
        <f t="shared" si="25"/>
        <v>Autre filière</v>
      </c>
      <c r="K531" s="15"/>
      <c r="L531" s="16"/>
    </row>
    <row r="532" spans="1:12">
      <c r="A532" t="s">
        <v>980</v>
      </c>
      <c r="B532" t="s">
        <v>301</v>
      </c>
      <c r="C532" t="s">
        <v>27</v>
      </c>
      <c r="D532">
        <v>14.94</v>
      </c>
      <c r="E532">
        <v>13.3</v>
      </c>
      <c r="F532" s="11">
        <v>0.93730000000000002</v>
      </c>
      <c r="G532" t="str">
        <f t="shared" si="26"/>
        <v>Admis</v>
      </c>
      <c r="H532" t="str" cm="1">
        <f t="array" ref="H532">_xlfn.IFS(E532&gt;=16, "Excellent",E532&gt;=14, "Très bien", E532&gt;=12, "Bien", E532&gt;=10, "Passable", E532&lt;10, "Insuffisant")</f>
        <v>Bien</v>
      </c>
      <c r="I532" s="14" t="str">
        <f t="shared" si="24"/>
        <v>RAS</v>
      </c>
      <c r="J532" s="14" t="str">
        <f t="shared" si="25"/>
        <v>Autre filière</v>
      </c>
      <c r="L532" s="16"/>
    </row>
    <row r="533" spans="1:12">
      <c r="A533" t="s">
        <v>823</v>
      </c>
      <c r="B533" t="s">
        <v>344</v>
      </c>
      <c r="C533" t="s">
        <v>35</v>
      </c>
      <c r="D533">
        <v>13.49</v>
      </c>
      <c r="E533">
        <v>9.61</v>
      </c>
      <c r="F533" s="11">
        <v>0.68110000000000004</v>
      </c>
      <c r="G533" t="str">
        <f t="shared" si="26"/>
        <v>Refusé</v>
      </c>
      <c r="H533" t="str" cm="1">
        <f t="array" ref="H533">_xlfn.IFS(E533&gt;=16, "Excellent",E533&gt;=14, "Très bien", E533&gt;=12, "Bien", E533&gt;=10, "Passable", E533&lt;10, "Insuffisant")</f>
        <v>Insuffisant</v>
      </c>
      <c r="I533" s="14" t="str">
        <f t="shared" si="24"/>
        <v>A surveiller</v>
      </c>
      <c r="J533" s="14" t="str">
        <f t="shared" si="25"/>
        <v>Autre filière</v>
      </c>
      <c r="L533" s="16"/>
    </row>
    <row r="534" spans="1:12">
      <c r="A534" t="s">
        <v>1082</v>
      </c>
      <c r="B534" t="s">
        <v>939</v>
      </c>
      <c r="C534" t="s">
        <v>27</v>
      </c>
      <c r="D534">
        <v>11.71</v>
      </c>
      <c r="E534">
        <v>15.18</v>
      </c>
      <c r="F534" s="11">
        <v>0.6169</v>
      </c>
      <c r="G534" t="str">
        <f t="shared" si="26"/>
        <v>Admis sous condition</v>
      </c>
      <c r="H534" t="str" cm="1">
        <f t="array" ref="H534">_xlfn.IFS(E534&gt;=16, "Excellent",E534&gt;=14, "Très bien", E534&gt;=12, "Bien", E534&gt;=10, "Passable", E534&lt;10, "Insuffisant")</f>
        <v>Très bien</v>
      </c>
      <c r="I534" s="14" t="str">
        <f t="shared" si="24"/>
        <v>A surveiller</v>
      </c>
      <c r="J534" s="14" t="str">
        <f t="shared" si="25"/>
        <v>Autre filière</v>
      </c>
      <c r="L534" s="16"/>
    </row>
    <row r="535" spans="1:12">
      <c r="A535" t="s">
        <v>1068</v>
      </c>
      <c r="B535" t="s">
        <v>477</v>
      </c>
      <c r="C535" t="s">
        <v>22</v>
      </c>
      <c r="D535">
        <v>16.05</v>
      </c>
      <c r="E535">
        <v>12.46</v>
      </c>
      <c r="F535" s="11">
        <v>0.95550000000000002</v>
      </c>
      <c r="G535" t="str">
        <f t="shared" si="26"/>
        <v>Admis</v>
      </c>
      <c r="H535" t="str" cm="1">
        <f t="array" ref="H535">_xlfn.IFS(E535&gt;=16, "Excellent",E535&gt;=14, "Très bien", E535&gt;=12, "Bien", E535&gt;=10, "Passable", E535&lt;10, "Insuffisant")</f>
        <v>Bien</v>
      </c>
      <c r="I535" s="14" t="str">
        <f t="shared" si="24"/>
        <v>RAS</v>
      </c>
      <c r="J535" s="14" t="str">
        <f t="shared" si="25"/>
        <v>Data</v>
      </c>
      <c r="L535" s="16"/>
    </row>
    <row r="536" spans="1:12">
      <c r="A536" t="s">
        <v>1118</v>
      </c>
      <c r="B536" t="s">
        <v>1119</v>
      </c>
      <c r="C536" t="s">
        <v>27</v>
      </c>
      <c r="D536">
        <v>9.3800000000000008</v>
      </c>
      <c r="E536">
        <v>9.92</v>
      </c>
      <c r="F536" s="11">
        <v>0.71220000000000006</v>
      </c>
      <c r="G536" t="str">
        <f t="shared" si="26"/>
        <v>Refusé</v>
      </c>
      <c r="H536" t="str" cm="1">
        <f t="array" ref="H536">_xlfn.IFS(E536&gt;=16, "Excellent",E536&gt;=14, "Très bien", E536&gt;=12, "Bien", E536&gt;=10, "Passable", E536&lt;10, "Insuffisant")</f>
        <v>Insuffisant</v>
      </c>
      <c r="I536" s="14" t="str">
        <f t="shared" si="24"/>
        <v>A surveiller</v>
      </c>
      <c r="J536" s="14" t="str">
        <f t="shared" si="25"/>
        <v>Autre filière</v>
      </c>
      <c r="L536" s="16"/>
    </row>
    <row r="537" spans="1:12">
      <c r="A537" t="s">
        <v>481</v>
      </c>
      <c r="B537" t="s">
        <v>482</v>
      </c>
      <c r="C537" t="s">
        <v>35</v>
      </c>
      <c r="D537">
        <v>17.04</v>
      </c>
      <c r="E537">
        <v>17.309999999999999</v>
      </c>
      <c r="F537" s="11">
        <v>0.84279999999999999</v>
      </c>
      <c r="G537" t="str">
        <f t="shared" si="26"/>
        <v>Admis</v>
      </c>
      <c r="H537" t="str" cm="1">
        <f t="array" ref="H537">_xlfn.IFS(E537&gt;=16, "Excellent",E537&gt;=14, "Très bien", E537&gt;=12, "Bien", E537&gt;=10, "Passable", E537&lt;10, "Insuffisant")</f>
        <v>Excellent</v>
      </c>
      <c r="I537" s="14" t="str">
        <f t="shared" si="24"/>
        <v>RAS</v>
      </c>
      <c r="J537" s="14" t="str">
        <f t="shared" si="25"/>
        <v>Autre filière</v>
      </c>
      <c r="K537" s="15"/>
      <c r="L537" s="16"/>
    </row>
    <row r="538" spans="1:12">
      <c r="A538" t="s">
        <v>105</v>
      </c>
      <c r="B538" t="s">
        <v>106</v>
      </c>
      <c r="C538" t="s">
        <v>27</v>
      </c>
      <c r="D538">
        <v>13.07</v>
      </c>
      <c r="E538">
        <v>11.47</v>
      </c>
      <c r="F538" s="11">
        <v>0.92720000000000002</v>
      </c>
      <c r="G538" t="str">
        <f t="shared" si="26"/>
        <v>Admis sous condition</v>
      </c>
      <c r="H538" t="str" cm="1">
        <f t="array" ref="H538">_xlfn.IFS(E538&gt;=16, "Excellent",E538&gt;=14, "Très bien", E538&gt;=12, "Bien", E538&gt;=10, "Passable", E538&lt;10, "Insuffisant")</f>
        <v>Passable</v>
      </c>
      <c r="I538" s="14" t="str">
        <f t="shared" si="24"/>
        <v>RAS</v>
      </c>
      <c r="J538" s="14" t="str">
        <f t="shared" si="25"/>
        <v>Autre filière</v>
      </c>
      <c r="L538" s="16"/>
    </row>
    <row r="539" spans="1:12">
      <c r="A539" t="s">
        <v>1126</v>
      </c>
      <c r="B539" t="s">
        <v>865</v>
      </c>
      <c r="C539" t="s">
        <v>22</v>
      </c>
      <c r="D539">
        <v>13.73</v>
      </c>
      <c r="E539">
        <v>9.09</v>
      </c>
      <c r="F539" s="11">
        <v>0.74519999999999997</v>
      </c>
      <c r="G539" t="str">
        <f t="shared" si="26"/>
        <v>Refusé</v>
      </c>
      <c r="H539" t="str" cm="1">
        <f t="array" ref="H539">_xlfn.IFS(E539&gt;=16, "Excellent",E539&gt;=14, "Très bien", E539&gt;=12, "Bien", E539&gt;=10, "Passable", E539&lt;10, "Insuffisant")</f>
        <v>Insuffisant</v>
      </c>
      <c r="I539" s="14" t="str">
        <f t="shared" si="24"/>
        <v>A surveiller</v>
      </c>
      <c r="J539" s="14" t="str">
        <f t="shared" si="25"/>
        <v>Data</v>
      </c>
      <c r="L539" s="16"/>
    </row>
    <row r="540" spans="1:12">
      <c r="A540" t="s">
        <v>353</v>
      </c>
      <c r="B540" t="s">
        <v>354</v>
      </c>
      <c r="C540" t="s">
        <v>27</v>
      </c>
      <c r="D540">
        <v>6.61</v>
      </c>
      <c r="E540">
        <v>11.55</v>
      </c>
      <c r="F540" s="11">
        <v>0.77200000000000002</v>
      </c>
      <c r="G540" t="str">
        <f t="shared" si="26"/>
        <v>Refusé</v>
      </c>
      <c r="H540" t="str" cm="1">
        <f t="array" ref="H540">_xlfn.IFS(E540&gt;=16, "Excellent",E540&gt;=14, "Très bien", E540&gt;=12, "Bien", E540&gt;=10, "Passable", E540&lt;10, "Insuffisant")</f>
        <v>Passable</v>
      </c>
      <c r="I540" s="14" t="str">
        <f t="shared" si="24"/>
        <v>A surveiller</v>
      </c>
      <c r="J540" s="14" t="str">
        <f t="shared" si="25"/>
        <v>Autre filière</v>
      </c>
      <c r="L540" s="16"/>
    </row>
    <row r="541" spans="1:12">
      <c r="A541" t="s">
        <v>650</v>
      </c>
      <c r="B541" t="s">
        <v>651</v>
      </c>
      <c r="C541" t="s">
        <v>35</v>
      </c>
      <c r="D541">
        <v>12.98</v>
      </c>
      <c r="E541">
        <v>13.85</v>
      </c>
      <c r="F541" s="11">
        <v>0.55000000000000004</v>
      </c>
      <c r="G541" t="str">
        <f t="shared" si="26"/>
        <v>Admis sous condition</v>
      </c>
      <c r="H541" t="str" cm="1">
        <f t="array" ref="H541">_xlfn.IFS(E541&gt;=16, "Excellent",E541&gt;=14, "Très bien", E541&gt;=12, "Bien", E541&gt;=10, "Passable", E541&lt;10, "Insuffisant")</f>
        <v>Bien</v>
      </c>
      <c r="I541" s="14" t="str">
        <f t="shared" si="24"/>
        <v>A surveiller</v>
      </c>
      <c r="J541" s="14" t="str">
        <f t="shared" si="25"/>
        <v>Autre filière</v>
      </c>
      <c r="L541" s="16"/>
    </row>
    <row r="542" spans="1:12">
      <c r="A542" t="s">
        <v>648</v>
      </c>
      <c r="B542" t="s">
        <v>649</v>
      </c>
      <c r="C542" t="s">
        <v>27</v>
      </c>
      <c r="D542">
        <v>12.88</v>
      </c>
      <c r="E542">
        <v>13.16</v>
      </c>
      <c r="F542" s="11">
        <v>0.94930000000000003</v>
      </c>
      <c r="G542" t="str">
        <f t="shared" si="26"/>
        <v>Admis</v>
      </c>
      <c r="H542" t="str" cm="1">
        <f t="array" ref="H542">_xlfn.IFS(E542&gt;=16, "Excellent",E542&gt;=14, "Très bien", E542&gt;=12, "Bien", E542&gt;=10, "Passable", E542&lt;10, "Insuffisant")</f>
        <v>Bien</v>
      </c>
      <c r="I542" s="14" t="str">
        <f t="shared" si="24"/>
        <v>RAS</v>
      </c>
      <c r="J542" s="14" t="str">
        <f t="shared" si="25"/>
        <v>Autre filière</v>
      </c>
      <c r="L542" s="16"/>
    </row>
    <row r="543" spans="1:12">
      <c r="A543" t="s">
        <v>622</v>
      </c>
      <c r="B543" t="s">
        <v>623</v>
      </c>
      <c r="C543" t="s">
        <v>22</v>
      </c>
      <c r="D543">
        <v>14.86</v>
      </c>
      <c r="E543">
        <v>12.38</v>
      </c>
      <c r="F543" s="11">
        <v>0.64280000000000004</v>
      </c>
      <c r="G543" t="str">
        <f t="shared" si="26"/>
        <v>Admis sous condition</v>
      </c>
      <c r="H543" t="str" cm="1">
        <f t="array" ref="H543">_xlfn.IFS(E543&gt;=16, "Excellent",E543&gt;=14, "Très bien", E543&gt;=12, "Bien", E543&gt;=10, "Passable", E543&lt;10, "Insuffisant")</f>
        <v>Bien</v>
      </c>
      <c r="I543" s="14" t="str">
        <f t="shared" si="24"/>
        <v>A surveiller</v>
      </c>
      <c r="J543" s="14" t="str">
        <f t="shared" si="25"/>
        <v>Data</v>
      </c>
      <c r="L543" s="16"/>
    </row>
    <row r="544" spans="1:12">
      <c r="A544" t="s">
        <v>994</v>
      </c>
      <c r="B544" t="s">
        <v>690</v>
      </c>
      <c r="C544" t="s">
        <v>48</v>
      </c>
      <c r="D544">
        <v>16.25</v>
      </c>
      <c r="E544">
        <v>11.63</v>
      </c>
      <c r="F544" s="11">
        <v>0.75070000000000003</v>
      </c>
      <c r="G544" t="str">
        <f t="shared" si="26"/>
        <v>Admis sous condition</v>
      </c>
      <c r="H544" t="str" cm="1">
        <f t="array" ref="H544">_xlfn.IFS(E544&gt;=16, "Excellent",E544&gt;=14, "Très bien", E544&gt;=12, "Bien", E544&gt;=10, "Passable", E544&lt;10, "Insuffisant")</f>
        <v>Passable</v>
      </c>
      <c r="I544" s="14" t="str">
        <f t="shared" si="24"/>
        <v>RAS</v>
      </c>
      <c r="J544" s="14" t="str">
        <f t="shared" si="25"/>
        <v>Autre filière</v>
      </c>
      <c r="L544" s="16"/>
    </row>
    <row r="545" spans="1:12">
      <c r="A545" t="s">
        <v>212</v>
      </c>
      <c r="B545" t="s">
        <v>213</v>
      </c>
      <c r="C545" t="s">
        <v>48</v>
      </c>
      <c r="D545">
        <v>13.82</v>
      </c>
      <c r="E545">
        <v>8.57</v>
      </c>
      <c r="F545" s="11">
        <v>0.94189999999999996</v>
      </c>
      <c r="G545" t="str">
        <f t="shared" si="26"/>
        <v>Refusé</v>
      </c>
      <c r="H545" t="str" cm="1">
        <f t="array" ref="H545">_xlfn.IFS(E545&gt;=16, "Excellent",E545&gt;=14, "Très bien", E545&gt;=12, "Bien", E545&gt;=10, "Passable", E545&lt;10, "Insuffisant")</f>
        <v>Insuffisant</v>
      </c>
      <c r="I545" s="14" t="str">
        <f t="shared" si="24"/>
        <v>A surveiller</v>
      </c>
      <c r="J545" s="14" t="str">
        <f t="shared" si="25"/>
        <v>Autre filière</v>
      </c>
      <c r="L545" s="16"/>
    </row>
    <row r="546" spans="1:12">
      <c r="A546" t="s">
        <v>118</v>
      </c>
      <c r="B546" t="s">
        <v>119</v>
      </c>
      <c r="C546" t="s">
        <v>48</v>
      </c>
      <c r="D546">
        <v>10.33</v>
      </c>
      <c r="E546">
        <v>14.98</v>
      </c>
      <c r="F546" s="11">
        <v>0.98260000000000003</v>
      </c>
      <c r="G546" t="str">
        <f t="shared" si="26"/>
        <v>Admis sous condition</v>
      </c>
      <c r="H546" t="str" cm="1">
        <f t="array" ref="H546">_xlfn.IFS(E546&gt;=16, "Excellent",E546&gt;=14, "Très bien", E546&gt;=12, "Bien", E546&gt;=10, "Passable", E546&lt;10, "Insuffisant")</f>
        <v>Très bien</v>
      </c>
      <c r="I546" s="14" t="str">
        <f t="shared" si="24"/>
        <v>RAS</v>
      </c>
      <c r="J546" s="14" t="str">
        <f t="shared" si="25"/>
        <v>Autre filière</v>
      </c>
      <c r="L546" s="16"/>
    </row>
    <row r="547" spans="1:12">
      <c r="A547" t="s">
        <v>1178</v>
      </c>
      <c r="B547" t="s">
        <v>949</v>
      </c>
      <c r="C547" t="s">
        <v>35</v>
      </c>
      <c r="D547">
        <v>8.91</v>
      </c>
      <c r="E547">
        <v>16.3</v>
      </c>
      <c r="F547" s="11">
        <v>0.55000000000000004</v>
      </c>
      <c r="G547" t="str">
        <f t="shared" si="26"/>
        <v>Refusé</v>
      </c>
      <c r="H547" t="str" cm="1">
        <f t="array" ref="H547">_xlfn.IFS(E547&gt;=16, "Excellent",E547&gt;=14, "Très bien", E547&gt;=12, "Bien", E547&gt;=10, "Passable", E547&lt;10, "Insuffisant")</f>
        <v>Excellent</v>
      </c>
      <c r="I547" s="14" t="str">
        <f t="shared" si="24"/>
        <v>A surveiller</v>
      </c>
      <c r="J547" s="14" t="str">
        <f t="shared" si="25"/>
        <v>Autre filière</v>
      </c>
      <c r="L547" s="16"/>
    </row>
    <row r="548" spans="1:12">
      <c r="A548" t="s">
        <v>897</v>
      </c>
      <c r="B548" t="s">
        <v>898</v>
      </c>
      <c r="C548" t="s">
        <v>27</v>
      </c>
      <c r="D548">
        <v>10.76</v>
      </c>
      <c r="E548">
        <v>12.3</v>
      </c>
      <c r="F548" s="11">
        <v>0.80689999999999995</v>
      </c>
      <c r="G548" t="str">
        <f t="shared" si="26"/>
        <v>Admis sous condition</v>
      </c>
      <c r="H548" t="str" cm="1">
        <f t="array" ref="H548">_xlfn.IFS(E548&gt;=16, "Excellent",E548&gt;=14, "Très bien", E548&gt;=12, "Bien", E548&gt;=10, "Passable", E548&lt;10, "Insuffisant")</f>
        <v>Bien</v>
      </c>
      <c r="I548" s="14" t="str">
        <f t="shared" si="24"/>
        <v>RAS</v>
      </c>
      <c r="J548" s="14" t="str">
        <f t="shared" si="25"/>
        <v>Autre filière</v>
      </c>
      <c r="K548" s="15"/>
      <c r="L548" s="16"/>
    </row>
    <row r="549" spans="1:12">
      <c r="A549" t="s">
        <v>1031</v>
      </c>
      <c r="B549" t="s">
        <v>1009</v>
      </c>
      <c r="C549" t="s">
        <v>48</v>
      </c>
      <c r="D549">
        <v>11.32</v>
      </c>
      <c r="E549">
        <v>11</v>
      </c>
      <c r="F549" s="11">
        <v>0.89849999999999997</v>
      </c>
      <c r="G549" t="str">
        <f t="shared" si="26"/>
        <v>Admis sous condition</v>
      </c>
      <c r="H549" t="str" cm="1">
        <f t="array" ref="H549">_xlfn.IFS(E549&gt;=16, "Excellent",E549&gt;=14, "Très bien", E549&gt;=12, "Bien", E549&gt;=10, "Passable", E549&lt;10, "Insuffisant")</f>
        <v>Passable</v>
      </c>
      <c r="I549" s="14" t="str">
        <f t="shared" si="24"/>
        <v>RAS</v>
      </c>
      <c r="J549" s="14" t="str">
        <f t="shared" si="25"/>
        <v>Autre filière</v>
      </c>
      <c r="K549" s="15"/>
      <c r="L549" s="16"/>
    </row>
    <row r="550" spans="1:12">
      <c r="A550" t="s">
        <v>1061</v>
      </c>
      <c r="B550" t="s">
        <v>237</v>
      </c>
      <c r="C550" t="s">
        <v>27</v>
      </c>
      <c r="D550">
        <v>10.15</v>
      </c>
      <c r="E550">
        <v>8.4499999999999993</v>
      </c>
      <c r="F550" s="11">
        <v>0.97</v>
      </c>
      <c r="G550" t="str">
        <f t="shared" si="26"/>
        <v>Refusé</v>
      </c>
      <c r="H550" t="str" cm="1">
        <f t="array" ref="H550">_xlfn.IFS(E550&gt;=16, "Excellent",E550&gt;=14, "Très bien", E550&gt;=12, "Bien", E550&gt;=10, "Passable", E550&lt;10, "Insuffisant")</f>
        <v>Insuffisant</v>
      </c>
      <c r="I550" s="14" t="str">
        <f t="shared" si="24"/>
        <v>A surveiller</v>
      </c>
      <c r="J550" s="14" t="str">
        <f t="shared" si="25"/>
        <v>Autre filière</v>
      </c>
      <c r="L550" s="16"/>
    </row>
    <row r="551" spans="1:12">
      <c r="A551" t="s">
        <v>508</v>
      </c>
      <c r="B551" t="s">
        <v>509</v>
      </c>
      <c r="C551" t="s">
        <v>27</v>
      </c>
      <c r="D551">
        <v>13.47</v>
      </c>
      <c r="E551">
        <v>12.22</v>
      </c>
      <c r="F551" s="11">
        <v>0.83460000000000001</v>
      </c>
      <c r="G551" t="str">
        <f t="shared" si="26"/>
        <v>Admis</v>
      </c>
      <c r="H551" t="str" cm="1">
        <f t="array" ref="H551">_xlfn.IFS(E551&gt;=16, "Excellent",E551&gt;=14, "Très bien", E551&gt;=12, "Bien", E551&gt;=10, "Passable", E551&lt;10, "Insuffisant")</f>
        <v>Bien</v>
      </c>
      <c r="I551" s="14" t="str">
        <f t="shared" si="24"/>
        <v>RAS</v>
      </c>
      <c r="J551" s="14" t="str">
        <f t="shared" si="25"/>
        <v>Autre filière</v>
      </c>
      <c r="K551" s="15"/>
      <c r="L551" s="16"/>
    </row>
    <row r="552" spans="1:12">
      <c r="A552" t="s">
        <v>375</v>
      </c>
      <c r="B552" t="s">
        <v>376</v>
      </c>
      <c r="C552" t="s">
        <v>48</v>
      </c>
      <c r="D552">
        <v>13.96</v>
      </c>
      <c r="E552">
        <v>14.75</v>
      </c>
      <c r="F552" s="11">
        <v>0.74199999999999999</v>
      </c>
      <c r="G552" t="str">
        <f t="shared" si="26"/>
        <v>Admis sous condition</v>
      </c>
      <c r="H552" t="str" cm="1">
        <f t="array" ref="H552">_xlfn.IFS(E552&gt;=16, "Excellent",E552&gt;=14, "Très bien", E552&gt;=12, "Bien", E552&gt;=10, "Passable", E552&lt;10, "Insuffisant")</f>
        <v>Très bien</v>
      </c>
      <c r="I552" s="14" t="str">
        <f t="shared" si="24"/>
        <v>RAS</v>
      </c>
      <c r="J552" s="14" t="str">
        <f t="shared" si="25"/>
        <v>Autre filière</v>
      </c>
      <c r="L552" s="16"/>
    </row>
    <row r="553" spans="1:12">
      <c r="A553" t="s">
        <v>855</v>
      </c>
      <c r="B553" t="s">
        <v>392</v>
      </c>
      <c r="C553" t="s">
        <v>22</v>
      </c>
      <c r="D553">
        <v>11.17</v>
      </c>
      <c r="E553">
        <v>7.88</v>
      </c>
      <c r="F553" s="11">
        <v>0.93220000000000003</v>
      </c>
      <c r="G553" t="str">
        <f t="shared" si="26"/>
        <v>Refusé</v>
      </c>
      <c r="H553" t="str" cm="1">
        <f t="array" ref="H553">_xlfn.IFS(E553&gt;=16, "Excellent",E553&gt;=14, "Très bien", E553&gt;=12, "Bien", E553&gt;=10, "Passable", E553&lt;10, "Insuffisant")</f>
        <v>Insuffisant</v>
      </c>
      <c r="I553" s="14" t="str">
        <f t="shared" si="24"/>
        <v>A surveiller</v>
      </c>
      <c r="J553" s="14" t="str">
        <f t="shared" si="25"/>
        <v>Data</v>
      </c>
      <c r="L553" s="16"/>
    </row>
    <row r="554" spans="1:12">
      <c r="A554" t="s">
        <v>687</v>
      </c>
      <c r="B554" t="s">
        <v>372</v>
      </c>
      <c r="C554" t="s">
        <v>48</v>
      </c>
      <c r="D554">
        <v>13.83</v>
      </c>
      <c r="E554">
        <v>16.73</v>
      </c>
      <c r="F554" s="11">
        <v>0.75819999999999999</v>
      </c>
      <c r="G554" t="str">
        <f t="shared" si="26"/>
        <v>Admis sous condition</v>
      </c>
      <c r="H554" t="str" cm="1">
        <f t="array" ref="H554">_xlfn.IFS(E554&gt;=16, "Excellent",E554&gt;=14, "Très bien", E554&gt;=12, "Bien", E554&gt;=10, "Passable", E554&lt;10, "Insuffisant")</f>
        <v>Excellent</v>
      </c>
      <c r="I554" s="14" t="str">
        <f t="shared" si="24"/>
        <v>RAS</v>
      </c>
      <c r="J554" s="14" t="str">
        <f t="shared" si="25"/>
        <v>Autre filière</v>
      </c>
      <c r="L554" s="16"/>
    </row>
    <row r="555" spans="1:12">
      <c r="A555" t="s">
        <v>531</v>
      </c>
      <c r="B555" t="s">
        <v>532</v>
      </c>
      <c r="C555" t="s">
        <v>22</v>
      </c>
      <c r="D555">
        <v>13.37</v>
      </c>
      <c r="E555">
        <v>11.99</v>
      </c>
      <c r="F555" s="11">
        <v>0.55000000000000004</v>
      </c>
      <c r="G555" t="str">
        <f t="shared" si="26"/>
        <v>Admis sous condition</v>
      </c>
      <c r="H555" t="str" cm="1">
        <f t="array" ref="H555">_xlfn.IFS(E555&gt;=16, "Excellent",E555&gt;=14, "Très bien", E555&gt;=12, "Bien", E555&gt;=10, "Passable", E555&lt;10, "Insuffisant")</f>
        <v>Passable</v>
      </c>
      <c r="I555" s="14" t="str">
        <f t="shared" si="24"/>
        <v>A surveiller</v>
      </c>
      <c r="J555" s="14" t="str">
        <f t="shared" si="25"/>
        <v>Data</v>
      </c>
      <c r="L555" s="16"/>
    </row>
    <row r="556" spans="1:12">
      <c r="A556" t="s">
        <v>1057</v>
      </c>
      <c r="B556" t="s">
        <v>805</v>
      </c>
      <c r="C556" t="s">
        <v>35</v>
      </c>
      <c r="D556">
        <v>13.71</v>
      </c>
      <c r="E556">
        <v>17.12</v>
      </c>
      <c r="F556" s="11">
        <v>0.90329999999999999</v>
      </c>
      <c r="G556" t="str">
        <f t="shared" si="26"/>
        <v>Admis</v>
      </c>
      <c r="H556" t="str" cm="1">
        <f t="array" ref="H556">_xlfn.IFS(E556&gt;=16, "Excellent",E556&gt;=14, "Très bien", E556&gt;=12, "Bien", E556&gt;=10, "Passable", E556&lt;10, "Insuffisant")</f>
        <v>Excellent</v>
      </c>
      <c r="I556" s="14" t="str">
        <f t="shared" si="24"/>
        <v>RAS</v>
      </c>
      <c r="J556" s="14" t="str">
        <f t="shared" si="25"/>
        <v>Autre filière</v>
      </c>
      <c r="L556" s="16"/>
    </row>
    <row r="557" spans="1:12">
      <c r="A557" t="s">
        <v>799</v>
      </c>
      <c r="B557" t="s">
        <v>194</v>
      </c>
      <c r="C557" t="s">
        <v>27</v>
      </c>
      <c r="D557">
        <v>12.63</v>
      </c>
      <c r="E557">
        <v>15.98</v>
      </c>
      <c r="F557" s="11">
        <v>0.89390000000000003</v>
      </c>
      <c r="G557" t="str">
        <f t="shared" si="26"/>
        <v>Admis</v>
      </c>
      <c r="H557" t="str" cm="1">
        <f t="array" ref="H557">_xlfn.IFS(E557&gt;=16, "Excellent",E557&gt;=14, "Très bien", E557&gt;=12, "Bien", E557&gt;=10, "Passable", E557&lt;10, "Insuffisant")</f>
        <v>Très bien</v>
      </c>
      <c r="I557" s="14" t="str">
        <f t="shared" si="24"/>
        <v>RAS</v>
      </c>
      <c r="J557" s="14" t="str">
        <f t="shared" si="25"/>
        <v>Autre filière</v>
      </c>
      <c r="K557" s="15"/>
      <c r="L557" s="16"/>
    </row>
    <row r="558" spans="1:12">
      <c r="A558" t="s">
        <v>903</v>
      </c>
      <c r="B558" t="s">
        <v>61</v>
      </c>
      <c r="C558" t="s">
        <v>27</v>
      </c>
      <c r="D558">
        <v>11.09</v>
      </c>
      <c r="E558">
        <v>12.83</v>
      </c>
      <c r="F558" s="11">
        <v>0.76070000000000004</v>
      </c>
      <c r="G558" t="str">
        <f t="shared" si="26"/>
        <v>Admis sous condition</v>
      </c>
      <c r="H558" t="str" cm="1">
        <f t="array" ref="H558">_xlfn.IFS(E558&gt;=16, "Excellent",E558&gt;=14, "Très bien", E558&gt;=12, "Bien", E558&gt;=10, "Passable", E558&lt;10, "Insuffisant")</f>
        <v>Bien</v>
      </c>
      <c r="I558" s="14" t="str">
        <f t="shared" si="24"/>
        <v>RAS</v>
      </c>
      <c r="J558" s="14" t="str">
        <f t="shared" si="25"/>
        <v>Autre filière</v>
      </c>
      <c r="L558" s="16"/>
    </row>
    <row r="559" spans="1:12">
      <c r="A559" t="s">
        <v>132</v>
      </c>
      <c r="B559" t="s">
        <v>133</v>
      </c>
      <c r="C559" t="s">
        <v>27</v>
      </c>
      <c r="D559">
        <v>15.75</v>
      </c>
      <c r="E559">
        <v>15</v>
      </c>
      <c r="F559" s="11">
        <v>0.92410000000000003</v>
      </c>
      <c r="G559" t="str">
        <f t="shared" si="26"/>
        <v>Admis</v>
      </c>
      <c r="H559" t="str" cm="1">
        <f t="array" ref="H559">_xlfn.IFS(E559&gt;=16, "Excellent",E559&gt;=14, "Très bien", E559&gt;=12, "Bien", E559&gt;=10, "Passable", E559&lt;10, "Insuffisant")</f>
        <v>Très bien</v>
      </c>
      <c r="I559" s="14" t="str">
        <f t="shared" si="24"/>
        <v>RAS</v>
      </c>
      <c r="J559" s="14" t="str">
        <f t="shared" si="25"/>
        <v>Autre filière</v>
      </c>
      <c r="L559" s="16"/>
    </row>
    <row r="560" spans="1:12">
      <c r="A560" t="s">
        <v>765</v>
      </c>
      <c r="B560" t="s">
        <v>50</v>
      </c>
      <c r="C560" t="s">
        <v>48</v>
      </c>
      <c r="D560">
        <v>12.08</v>
      </c>
      <c r="E560">
        <v>12.25</v>
      </c>
      <c r="F560" s="11">
        <v>0.8881</v>
      </c>
      <c r="G560" t="str">
        <f t="shared" si="26"/>
        <v>Admis</v>
      </c>
      <c r="H560" t="str" cm="1">
        <f t="array" ref="H560">_xlfn.IFS(E560&gt;=16, "Excellent",E560&gt;=14, "Très bien", E560&gt;=12, "Bien", E560&gt;=10, "Passable", E560&lt;10, "Insuffisant")</f>
        <v>Bien</v>
      </c>
      <c r="I560" s="14" t="str">
        <f t="shared" si="24"/>
        <v>RAS</v>
      </c>
      <c r="J560" s="14" t="str">
        <f t="shared" si="25"/>
        <v>Autre filière</v>
      </c>
      <c r="K560" s="15"/>
      <c r="L560" s="16"/>
    </row>
    <row r="561" spans="1:12">
      <c r="A561" t="s">
        <v>1218</v>
      </c>
      <c r="B561" t="s">
        <v>562</v>
      </c>
      <c r="C561" t="s">
        <v>22</v>
      </c>
      <c r="D561">
        <v>19.73</v>
      </c>
      <c r="E561">
        <v>17.98</v>
      </c>
      <c r="F561" s="11">
        <v>0.90469999999999995</v>
      </c>
      <c r="G561" t="str">
        <f t="shared" si="26"/>
        <v>Admis</v>
      </c>
      <c r="H561" t="str" cm="1">
        <f t="array" ref="H561">_xlfn.IFS(E561&gt;=16, "Excellent",E561&gt;=14, "Très bien", E561&gt;=12, "Bien", E561&gt;=10, "Passable", E561&lt;10, "Insuffisant")</f>
        <v>Excellent</v>
      </c>
      <c r="I561" s="14" t="str">
        <f t="shared" si="24"/>
        <v>RAS</v>
      </c>
      <c r="J561" s="14" t="str">
        <f t="shared" si="25"/>
        <v>Data</v>
      </c>
      <c r="L561" s="16"/>
    </row>
    <row r="562" spans="1:12">
      <c r="A562" t="s">
        <v>879</v>
      </c>
      <c r="B562" t="s">
        <v>880</v>
      </c>
      <c r="C562" t="s">
        <v>22</v>
      </c>
      <c r="D562">
        <v>12.15</v>
      </c>
      <c r="E562">
        <v>13.32</v>
      </c>
      <c r="F562" s="11">
        <v>0.61860000000000004</v>
      </c>
      <c r="G562" t="str">
        <f t="shared" si="26"/>
        <v>Admis sous condition</v>
      </c>
      <c r="H562" t="str" cm="1">
        <f t="array" ref="H562">_xlfn.IFS(E562&gt;=16, "Excellent",E562&gt;=14, "Très bien", E562&gt;=12, "Bien", E562&gt;=10, "Passable", E562&lt;10, "Insuffisant")</f>
        <v>Bien</v>
      </c>
      <c r="I562" s="14" t="str">
        <f t="shared" si="24"/>
        <v>A surveiller</v>
      </c>
      <c r="J562" s="14" t="str">
        <f t="shared" si="25"/>
        <v>Data</v>
      </c>
      <c r="L562" s="16"/>
    </row>
    <row r="563" spans="1:12">
      <c r="A563" t="s">
        <v>773</v>
      </c>
      <c r="B563" t="s">
        <v>372</v>
      </c>
      <c r="C563" t="s">
        <v>35</v>
      </c>
      <c r="D563">
        <v>16</v>
      </c>
      <c r="E563">
        <v>15.25</v>
      </c>
      <c r="F563" s="11">
        <v>0.97099999999999997</v>
      </c>
      <c r="G563" t="str">
        <f t="shared" si="26"/>
        <v>Admis</v>
      </c>
      <c r="H563" t="str" cm="1">
        <f t="array" ref="H563">_xlfn.IFS(E563&gt;=16, "Excellent",E563&gt;=14, "Très bien", E563&gt;=12, "Bien", E563&gt;=10, "Passable", E563&lt;10, "Insuffisant")</f>
        <v>Très bien</v>
      </c>
      <c r="I563" s="14" t="str">
        <f t="shared" si="24"/>
        <v>RAS</v>
      </c>
      <c r="J563" s="14" t="str">
        <f t="shared" si="25"/>
        <v>Autre filière</v>
      </c>
      <c r="L563" s="16"/>
    </row>
    <row r="564" spans="1:12">
      <c r="A564" t="s">
        <v>70</v>
      </c>
      <c r="B564" t="s">
        <v>71</v>
      </c>
      <c r="C564" t="s">
        <v>27</v>
      </c>
      <c r="D564">
        <v>14.68</v>
      </c>
      <c r="E564">
        <v>10.58</v>
      </c>
      <c r="F564" s="11">
        <v>0.87709999999999999</v>
      </c>
      <c r="G564" t="str">
        <f t="shared" si="26"/>
        <v>Admis sous condition</v>
      </c>
      <c r="H564" t="str" cm="1">
        <f t="array" ref="H564">_xlfn.IFS(E564&gt;=16, "Excellent",E564&gt;=14, "Très bien", E564&gt;=12, "Bien", E564&gt;=10, "Passable", E564&lt;10, "Insuffisant")</f>
        <v>Passable</v>
      </c>
      <c r="I564" s="14" t="str">
        <f t="shared" si="24"/>
        <v>RAS</v>
      </c>
      <c r="J564" s="14" t="str">
        <f t="shared" si="25"/>
        <v>Autre filière</v>
      </c>
      <c r="K564" s="15"/>
      <c r="L564" s="16"/>
    </row>
    <row r="565" spans="1:12">
      <c r="A565" t="s">
        <v>259</v>
      </c>
      <c r="B565" t="s">
        <v>260</v>
      </c>
      <c r="C565" t="s">
        <v>35</v>
      </c>
      <c r="D565">
        <v>11.41</v>
      </c>
      <c r="E565">
        <v>15.43</v>
      </c>
      <c r="F565" s="11">
        <v>0.77380000000000004</v>
      </c>
      <c r="G565" t="str">
        <f t="shared" si="26"/>
        <v>Admis sous condition</v>
      </c>
      <c r="H565" t="str" cm="1">
        <f t="array" ref="H565">_xlfn.IFS(E565&gt;=16, "Excellent",E565&gt;=14, "Très bien", E565&gt;=12, "Bien", E565&gt;=10, "Passable", E565&lt;10, "Insuffisant")</f>
        <v>Très bien</v>
      </c>
      <c r="I565" s="14" t="str">
        <f t="shared" si="24"/>
        <v>RAS</v>
      </c>
      <c r="J565" s="14" t="str">
        <f t="shared" si="25"/>
        <v>Autre filière</v>
      </c>
      <c r="L565" s="16"/>
    </row>
    <row r="566" spans="1:12">
      <c r="A566" t="s">
        <v>715</v>
      </c>
      <c r="B566" t="s">
        <v>632</v>
      </c>
      <c r="C566" t="s">
        <v>48</v>
      </c>
      <c r="D566">
        <v>14.22</v>
      </c>
      <c r="E566">
        <v>17.739999999999998</v>
      </c>
      <c r="F566" s="11">
        <v>0.84509999999999996</v>
      </c>
      <c r="G566" t="str">
        <f t="shared" si="26"/>
        <v>Admis</v>
      </c>
      <c r="H566" t="str" cm="1">
        <f t="array" ref="H566">_xlfn.IFS(E566&gt;=16, "Excellent",E566&gt;=14, "Très bien", E566&gt;=12, "Bien", E566&gt;=10, "Passable", E566&lt;10, "Insuffisant")</f>
        <v>Excellent</v>
      </c>
      <c r="I566" s="14" t="str">
        <f t="shared" si="24"/>
        <v>RAS</v>
      </c>
      <c r="J566" s="14" t="str">
        <f t="shared" si="25"/>
        <v>Autre filière</v>
      </c>
      <c r="K566" s="15"/>
      <c r="L566" s="16"/>
    </row>
    <row r="567" spans="1:12">
      <c r="A567" t="s">
        <v>1223</v>
      </c>
      <c r="B567" t="s">
        <v>50</v>
      </c>
      <c r="C567" t="s">
        <v>27</v>
      </c>
      <c r="D567">
        <v>13.75</v>
      </c>
      <c r="E567">
        <v>13.79</v>
      </c>
      <c r="F567" s="11">
        <v>0.62170000000000003</v>
      </c>
      <c r="G567" t="str">
        <f t="shared" si="26"/>
        <v>Admis sous condition</v>
      </c>
      <c r="H567" t="str" cm="1">
        <f t="array" ref="H567">_xlfn.IFS(E567&gt;=16, "Excellent",E567&gt;=14, "Très bien", E567&gt;=12, "Bien", E567&gt;=10, "Passable", E567&lt;10, "Insuffisant")</f>
        <v>Bien</v>
      </c>
      <c r="I567" s="14" t="str">
        <f t="shared" si="24"/>
        <v>A surveiller</v>
      </c>
      <c r="J567" s="14" t="str">
        <f t="shared" si="25"/>
        <v>Autre filière</v>
      </c>
      <c r="L567" s="16"/>
    </row>
    <row r="568" spans="1:12">
      <c r="A568" t="s">
        <v>1320</v>
      </c>
      <c r="B568" t="s">
        <v>1321</v>
      </c>
      <c r="C568" t="s">
        <v>35</v>
      </c>
      <c r="D568">
        <v>18.82</v>
      </c>
      <c r="E568">
        <v>12.55</v>
      </c>
      <c r="F568" s="11">
        <v>0.66259999999999997</v>
      </c>
      <c r="G568" t="str">
        <f t="shared" si="26"/>
        <v>Admis sous condition</v>
      </c>
      <c r="H568" t="str" cm="1">
        <f t="array" ref="H568">_xlfn.IFS(E568&gt;=16, "Excellent",E568&gt;=14, "Très bien", E568&gt;=12, "Bien", E568&gt;=10, "Passable", E568&lt;10, "Insuffisant")</f>
        <v>Bien</v>
      </c>
      <c r="I568" s="14" t="str">
        <f t="shared" si="24"/>
        <v>A surveiller</v>
      </c>
      <c r="J568" s="14" t="str">
        <f t="shared" si="25"/>
        <v>Autre filière</v>
      </c>
      <c r="L568" s="16"/>
    </row>
    <row r="569" spans="1:12">
      <c r="A569" t="s">
        <v>512</v>
      </c>
      <c r="B569" t="s">
        <v>113</v>
      </c>
      <c r="C569" t="s">
        <v>48</v>
      </c>
      <c r="D569">
        <v>13.37</v>
      </c>
      <c r="E569">
        <v>14.54</v>
      </c>
      <c r="F569" s="11">
        <v>0.89810000000000001</v>
      </c>
      <c r="G569" t="str">
        <f t="shared" si="26"/>
        <v>Admis</v>
      </c>
      <c r="H569" t="str" cm="1">
        <f t="array" ref="H569">_xlfn.IFS(E569&gt;=16, "Excellent",E569&gt;=14, "Très bien", E569&gt;=12, "Bien", E569&gt;=10, "Passable", E569&lt;10, "Insuffisant")</f>
        <v>Très bien</v>
      </c>
      <c r="I569" s="14" t="str">
        <f t="shared" si="24"/>
        <v>RAS</v>
      </c>
      <c r="J569" s="14" t="str">
        <f t="shared" si="25"/>
        <v>Autre filière</v>
      </c>
      <c r="K569" s="15"/>
      <c r="L569" s="16"/>
    </row>
    <row r="570" spans="1:12">
      <c r="A570" t="s">
        <v>520</v>
      </c>
      <c r="B570" t="s">
        <v>521</v>
      </c>
      <c r="C570" t="s">
        <v>22</v>
      </c>
      <c r="D570">
        <v>14.41</v>
      </c>
      <c r="E570">
        <v>12.11</v>
      </c>
      <c r="F570" s="11">
        <v>0.78539999999999999</v>
      </c>
      <c r="G570" t="str">
        <f t="shared" si="26"/>
        <v>Admis sous condition</v>
      </c>
      <c r="H570" t="str" cm="1">
        <f t="array" ref="H570">_xlfn.IFS(E570&gt;=16, "Excellent",E570&gt;=14, "Très bien", E570&gt;=12, "Bien", E570&gt;=10, "Passable", E570&lt;10, "Insuffisant")</f>
        <v>Bien</v>
      </c>
      <c r="I570" s="14" t="str">
        <f t="shared" si="24"/>
        <v>RAS</v>
      </c>
      <c r="J570" s="14" t="str">
        <f t="shared" si="25"/>
        <v>Data</v>
      </c>
      <c r="L570" s="16"/>
    </row>
    <row r="571" spans="1:12">
      <c r="A571" t="s">
        <v>586</v>
      </c>
      <c r="B571" t="s">
        <v>378</v>
      </c>
      <c r="C571" t="s">
        <v>22</v>
      </c>
      <c r="D571">
        <v>10.56</v>
      </c>
      <c r="E571">
        <v>9.2899999999999991</v>
      </c>
      <c r="F571" s="11">
        <v>0.85799999999999998</v>
      </c>
      <c r="G571" t="str">
        <f t="shared" si="26"/>
        <v>Refusé</v>
      </c>
      <c r="H571" t="str" cm="1">
        <f t="array" ref="H571">_xlfn.IFS(E571&gt;=16, "Excellent",E571&gt;=14, "Très bien", E571&gt;=12, "Bien", E571&gt;=10, "Passable", E571&lt;10, "Insuffisant")</f>
        <v>Insuffisant</v>
      </c>
      <c r="I571" s="14" t="str">
        <f t="shared" si="24"/>
        <v>A surveiller</v>
      </c>
      <c r="J571" s="14" t="str">
        <f t="shared" si="25"/>
        <v>Data</v>
      </c>
      <c r="K571" s="15"/>
      <c r="L571" s="16"/>
    </row>
    <row r="572" spans="1:12">
      <c r="A572" t="s">
        <v>367</v>
      </c>
      <c r="B572" t="s">
        <v>331</v>
      </c>
      <c r="C572" t="s">
        <v>22</v>
      </c>
      <c r="D572">
        <v>11.45</v>
      </c>
      <c r="E572">
        <v>16.18</v>
      </c>
      <c r="F572" s="11">
        <v>0.74980000000000002</v>
      </c>
      <c r="G572" t="str">
        <f t="shared" si="26"/>
        <v>Admis sous condition</v>
      </c>
      <c r="H572" t="str" cm="1">
        <f t="array" ref="H572">_xlfn.IFS(E572&gt;=16, "Excellent",E572&gt;=14, "Très bien", E572&gt;=12, "Bien", E572&gt;=10, "Passable", E572&lt;10, "Insuffisant")</f>
        <v>Excellent</v>
      </c>
      <c r="I572" s="14" t="str">
        <f t="shared" si="24"/>
        <v>RAS</v>
      </c>
      <c r="J572" s="14" t="str">
        <f t="shared" si="25"/>
        <v>Data</v>
      </c>
      <c r="L572" s="16"/>
    </row>
    <row r="573" spans="1:12">
      <c r="A573" t="s">
        <v>637</v>
      </c>
      <c r="B573" t="s">
        <v>75</v>
      </c>
      <c r="C573" t="s">
        <v>48</v>
      </c>
      <c r="D573">
        <v>11.48</v>
      </c>
      <c r="E573">
        <v>10.62</v>
      </c>
      <c r="F573" s="11">
        <v>0.87890000000000001</v>
      </c>
      <c r="G573" t="str">
        <f t="shared" si="26"/>
        <v>Admis sous condition</v>
      </c>
      <c r="H573" t="str" cm="1">
        <f t="array" ref="H573">_xlfn.IFS(E573&gt;=16, "Excellent",E573&gt;=14, "Très bien", E573&gt;=12, "Bien", E573&gt;=10, "Passable", E573&lt;10, "Insuffisant")</f>
        <v>Passable</v>
      </c>
      <c r="I573" s="14" t="str">
        <f t="shared" si="24"/>
        <v>RAS</v>
      </c>
      <c r="J573" s="14" t="str">
        <f t="shared" si="25"/>
        <v>Autre filière</v>
      </c>
      <c r="K573" s="15"/>
      <c r="L573" s="16"/>
    </row>
    <row r="574" spans="1:12">
      <c r="A574" t="s">
        <v>1039</v>
      </c>
      <c r="B574" t="s">
        <v>557</v>
      </c>
      <c r="C574" t="s">
        <v>22</v>
      </c>
      <c r="D574">
        <v>10.66</v>
      </c>
      <c r="E574">
        <v>13.74</v>
      </c>
      <c r="F574" s="11">
        <v>0.80149999999999999</v>
      </c>
      <c r="G574" t="str">
        <f t="shared" si="26"/>
        <v>Admis sous condition</v>
      </c>
      <c r="H574" t="str" cm="1">
        <f t="array" ref="H574">_xlfn.IFS(E574&gt;=16, "Excellent",E574&gt;=14, "Très bien", E574&gt;=12, "Bien", E574&gt;=10, "Passable", E574&lt;10, "Insuffisant")</f>
        <v>Bien</v>
      </c>
      <c r="I574" s="14" t="str">
        <f t="shared" si="24"/>
        <v>RAS</v>
      </c>
      <c r="J574" s="14" t="str">
        <f t="shared" si="25"/>
        <v>Data</v>
      </c>
      <c r="K574" s="15"/>
      <c r="L574" s="16"/>
    </row>
    <row r="575" spans="1:12">
      <c r="A575" t="s">
        <v>468</v>
      </c>
      <c r="B575" t="s">
        <v>469</v>
      </c>
      <c r="C575" t="s">
        <v>22</v>
      </c>
      <c r="D575">
        <v>17.14</v>
      </c>
      <c r="E575">
        <v>11.32</v>
      </c>
      <c r="F575" s="11">
        <v>0.93889999999999996</v>
      </c>
      <c r="G575" t="str">
        <f t="shared" si="26"/>
        <v>Admis sous condition</v>
      </c>
      <c r="H575" t="str" cm="1">
        <f t="array" ref="H575">_xlfn.IFS(E575&gt;=16, "Excellent",E575&gt;=14, "Très bien", E575&gt;=12, "Bien", E575&gt;=10, "Passable", E575&lt;10, "Insuffisant")</f>
        <v>Passable</v>
      </c>
      <c r="I575" s="14" t="str">
        <f t="shared" si="24"/>
        <v>RAS</v>
      </c>
      <c r="J575" s="14" t="str">
        <f t="shared" si="25"/>
        <v>Data</v>
      </c>
      <c r="L575" s="16"/>
    </row>
    <row r="576" spans="1:12">
      <c r="A576" t="s">
        <v>1319</v>
      </c>
      <c r="B576" t="s">
        <v>589</v>
      </c>
      <c r="C576" t="s">
        <v>22</v>
      </c>
      <c r="D576">
        <v>14.06</v>
      </c>
      <c r="E576">
        <v>14.88</v>
      </c>
      <c r="F576" s="11">
        <v>0.94850000000000001</v>
      </c>
      <c r="G576" t="str">
        <f t="shared" si="26"/>
        <v>Admis</v>
      </c>
      <c r="H576" t="str" cm="1">
        <f t="array" ref="H576">_xlfn.IFS(E576&gt;=16, "Excellent",E576&gt;=14, "Très bien", E576&gt;=12, "Bien", E576&gt;=10, "Passable", E576&lt;10, "Insuffisant")</f>
        <v>Très bien</v>
      </c>
      <c r="I576" s="14" t="str">
        <f t="shared" si="24"/>
        <v>RAS</v>
      </c>
      <c r="J576" s="14" t="str">
        <f t="shared" si="25"/>
        <v>Data</v>
      </c>
      <c r="L576" s="16"/>
    </row>
    <row r="577" spans="1:12">
      <c r="A577" t="s">
        <v>1259</v>
      </c>
      <c r="B577" t="s">
        <v>720</v>
      </c>
      <c r="C577" t="s">
        <v>22</v>
      </c>
      <c r="D577">
        <v>12.23</v>
      </c>
      <c r="E577">
        <v>11.91</v>
      </c>
      <c r="F577" s="11">
        <v>0.85250000000000004</v>
      </c>
      <c r="G577" t="str">
        <f t="shared" si="26"/>
        <v>Admis sous condition</v>
      </c>
      <c r="H577" t="str" cm="1">
        <f t="array" ref="H577">_xlfn.IFS(E577&gt;=16, "Excellent",E577&gt;=14, "Très bien", E577&gt;=12, "Bien", E577&gt;=10, "Passable", E577&lt;10, "Insuffisant")</f>
        <v>Passable</v>
      </c>
      <c r="I577" s="14" t="str">
        <f t="shared" si="24"/>
        <v>RAS</v>
      </c>
      <c r="J577" s="14" t="str">
        <f t="shared" si="25"/>
        <v>Data</v>
      </c>
      <c r="K577" s="15"/>
      <c r="L577" s="16"/>
    </row>
    <row r="578" spans="1:12">
      <c r="A578" t="s">
        <v>203</v>
      </c>
      <c r="B578" t="s">
        <v>204</v>
      </c>
      <c r="C578" t="s">
        <v>27</v>
      </c>
      <c r="D578">
        <v>14.4</v>
      </c>
      <c r="E578">
        <v>15.58</v>
      </c>
      <c r="F578" s="11">
        <v>0.94669999999999999</v>
      </c>
      <c r="G578" t="str">
        <f t="shared" si="26"/>
        <v>Admis</v>
      </c>
      <c r="H578" t="str" cm="1">
        <f t="array" ref="H578">_xlfn.IFS(E578&gt;=16, "Excellent",E578&gt;=14, "Très bien", E578&gt;=12, "Bien", E578&gt;=10, "Passable", E578&lt;10, "Insuffisant")</f>
        <v>Très bien</v>
      </c>
      <c r="I578" s="14" t="str">
        <f t="shared" si="24"/>
        <v>RAS</v>
      </c>
      <c r="J578" s="14" t="str">
        <f t="shared" si="25"/>
        <v>Autre filière</v>
      </c>
      <c r="L578" s="16"/>
    </row>
    <row r="579" spans="1:12">
      <c r="A579" t="s">
        <v>1062</v>
      </c>
      <c r="B579" t="s">
        <v>141</v>
      </c>
      <c r="C579" t="s">
        <v>35</v>
      </c>
      <c r="D579">
        <v>10.66</v>
      </c>
      <c r="E579">
        <v>18.75</v>
      </c>
      <c r="F579" s="11">
        <v>0.90059999999999996</v>
      </c>
      <c r="G579" t="str">
        <f t="shared" si="26"/>
        <v>Admis sous condition</v>
      </c>
      <c r="H579" t="str" cm="1">
        <f t="array" ref="H579">_xlfn.IFS(E579&gt;=16, "Excellent",E579&gt;=14, "Très bien", E579&gt;=12, "Bien", E579&gt;=10, "Passable", E579&lt;10, "Insuffisant")</f>
        <v>Excellent</v>
      </c>
      <c r="I579" s="14" t="str">
        <f t="shared" ref="I579:I642" si="27">IF(OR(D579&lt;10,E579&lt;10,F579&lt;70%), "A surveiller", "RAS")</f>
        <v>RAS</v>
      </c>
      <c r="J579" s="14" t="str">
        <f t="shared" ref="J579:J642" si="28">IF(NOT(C579="Data"), "Autre filière", "Data")</f>
        <v>Autre filière</v>
      </c>
      <c r="L579" s="16"/>
    </row>
    <row r="580" spans="1:12">
      <c r="A580" t="s">
        <v>711</v>
      </c>
      <c r="B580" t="s">
        <v>712</v>
      </c>
      <c r="C580" t="s">
        <v>22</v>
      </c>
      <c r="D580">
        <v>14.46</v>
      </c>
      <c r="E580">
        <v>18.170000000000002</v>
      </c>
      <c r="F580" s="11">
        <v>0.89910000000000001</v>
      </c>
      <c r="G580" t="str">
        <f t="shared" si="26"/>
        <v>Admis</v>
      </c>
      <c r="H580" t="str" cm="1">
        <f t="array" ref="H580">_xlfn.IFS(E580&gt;=16, "Excellent",E580&gt;=14, "Très bien", E580&gt;=12, "Bien", E580&gt;=10, "Passable", E580&lt;10, "Insuffisant")</f>
        <v>Excellent</v>
      </c>
      <c r="I580" s="14" t="str">
        <f t="shared" si="27"/>
        <v>RAS</v>
      </c>
      <c r="J580" s="14" t="str">
        <f t="shared" si="28"/>
        <v>Data</v>
      </c>
      <c r="K580" s="15"/>
      <c r="L580" s="16"/>
    </row>
    <row r="581" spans="1:12">
      <c r="A581" t="s">
        <v>660</v>
      </c>
      <c r="B581" t="s">
        <v>514</v>
      </c>
      <c r="C581" t="s">
        <v>22</v>
      </c>
      <c r="D581">
        <v>12.47</v>
      </c>
      <c r="E581">
        <v>12.73</v>
      </c>
      <c r="F581" s="11">
        <v>0.76500000000000001</v>
      </c>
      <c r="G581" t="str">
        <f t="shared" si="26"/>
        <v>Admis sous condition</v>
      </c>
      <c r="H581" t="str" cm="1">
        <f t="array" ref="H581">_xlfn.IFS(E581&gt;=16, "Excellent",E581&gt;=14, "Très bien", E581&gt;=12, "Bien", E581&gt;=10, "Passable", E581&lt;10, "Insuffisant")</f>
        <v>Bien</v>
      </c>
      <c r="I581" s="14" t="str">
        <f t="shared" si="27"/>
        <v>RAS</v>
      </c>
      <c r="J581" s="14" t="str">
        <f t="shared" si="28"/>
        <v>Data</v>
      </c>
      <c r="L581" s="16"/>
    </row>
    <row r="582" spans="1:12">
      <c r="A582" t="s">
        <v>619</v>
      </c>
      <c r="B582" t="s">
        <v>620</v>
      </c>
      <c r="C582" t="s">
        <v>35</v>
      </c>
      <c r="D582">
        <v>11</v>
      </c>
      <c r="E582">
        <v>13.33</v>
      </c>
      <c r="F582" s="11">
        <v>0.69179999999999997</v>
      </c>
      <c r="G582" t="str">
        <f t="shared" si="26"/>
        <v>Admis sous condition</v>
      </c>
      <c r="H582" t="str" cm="1">
        <f t="array" ref="H582">_xlfn.IFS(E582&gt;=16, "Excellent",E582&gt;=14, "Très bien", E582&gt;=12, "Bien", E582&gt;=10, "Passable", E582&lt;10, "Insuffisant")</f>
        <v>Bien</v>
      </c>
      <c r="I582" s="14" t="str">
        <f t="shared" si="27"/>
        <v>A surveiller</v>
      </c>
      <c r="J582" s="14" t="str">
        <f t="shared" si="28"/>
        <v>Autre filière</v>
      </c>
      <c r="L582" s="16"/>
    </row>
    <row r="583" spans="1:12">
      <c r="A583" t="s">
        <v>1072</v>
      </c>
      <c r="B583" t="s">
        <v>724</v>
      </c>
      <c r="C583" t="s">
        <v>22</v>
      </c>
      <c r="D583">
        <v>6.39</v>
      </c>
      <c r="E583">
        <v>11.84</v>
      </c>
      <c r="F583" s="11">
        <v>0.76139999999999997</v>
      </c>
      <c r="G583" t="str">
        <f t="shared" si="26"/>
        <v>Refusé</v>
      </c>
      <c r="H583" t="str" cm="1">
        <f t="array" ref="H583">_xlfn.IFS(E583&gt;=16, "Excellent",E583&gt;=14, "Très bien", E583&gt;=12, "Bien", E583&gt;=10, "Passable", E583&lt;10, "Insuffisant")</f>
        <v>Passable</v>
      </c>
      <c r="I583" s="14" t="str">
        <f t="shared" si="27"/>
        <v>A surveiller</v>
      </c>
      <c r="J583" s="14" t="str">
        <f t="shared" si="28"/>
        <v>Data</v>
      </c>
      <c r="L583" s="16"/>
    </row>
    <row r="584" spans="1:12">
      <c r="A584" t="s">
        <v>758</v>
      </c>
      <c r="B584" t="s">
        <v>759</v>
      </c>
      <c r="C584" t="s">
        <v>35</v>
      </c>
      <c r="D584">
        <v>9.61</v>
      </c>
      <c r="E584">
        <v>11.82</v>
      </c>
      <c r="F584" s="11">
        <v>0.85699999999999998</v>
      </c>
      <c r="G584" t="str">
        <f t="shared" si="26"/>
        <v>Refusé</v>
      </c>
      <c r="H584" t="str" cm="1">
        <f t="array" ref="H584">_xlfn.IFS(E584&gt;=16, "Excellent",E584&gt;=14, "Très bien", E584&gt;=12, "Bien", E584&gt;=10, "Passable", E584&lt;10, "Insuffisant")</f>
        <v>Passable</v>
      </c>
      <c r="I584" s="14" t="str">
        <f t="shared" si="27"/>
        <v>A surveiller</v>
      </c>
      <c r="J584" s="14" t="str">
        <f t="shared" si="28"/>
        <v>Autre filière</v>
      </c>
      <c r="K584" s="15"/>
      <c r="L584" s="16"/>
    </row>
    <row r="585" spans="1:12">
      <c r="A585" t="s">
        <v>1276</v>
      </c>
      <c r="B585" t="s">
        <v>111</v>
      </c>
      <c r="C585" t="s">
        <v>22</v>
      </c>
      <c r="D585">
        <v>16.190000000000001</v>
      </c>
      <c r="E585">
        <v>18.32</v>
      </c>
      <c r="F585" s="11">
        <v>0.9002</v>
      </c>
      <c r="G585" t="str">
        <f t="shared" si="26"/>
        <v>Admis</v>
      </c>
      <c r="H585" t="str" cm="1">
        <f t="array" ref="H585">_xlfn.IFS(E585&gt;=16, "Excellent",E585&gt;=14, "Très bien", E585&gt;=12, "Bien", E585&gt;=10, "Passable", E585&lt;10, "Insuffisant")</f>
        <v>Excellent</v>
      </c>
      <c r="I585" s="14" t="str">
        <f t="shared" si="27"/>
        <v>RAS</v>
      </c>
      <c r="J585" s="14" t="str">
        <f t="shared" si="28"/>
        <v>Data</v>
      </c>
      <c r="L585" s="16"/>
    </row>
    <row r="586" spans="1:12">
      <c r="A586" t="s">
        <v>517</v>
      </c>
      <c r="B586" t="s">
        <v>518</v>
      </c>
      <c r="C586" t="s">
        <v>22</v>
      </c>
      <c r="D586">
        <v>18.760000000000002</v>
      </c>
      <c r="E586">
        <v>15.29</v>
      </c>
      <c r="F586" s="11">
        <v>0.94489999999999996</v>
      </c>
      <c r="G586" t="str">
        <f t="shared" si="26"/>
        <v>Admis</v>
      </c>
      <c r="H586" t="str" cm="1">
        <f t="array" ref="H586">_xlfn.IFS(E586&gt;=16, "Excellent",E586&gt;=14, "Très bien", E586&gt;=12, "Bien", E586&gt;=10, "Passable", E586&lt;10, "Insuffisant")</f>
        <v>Très bien</v>
      </c>
      <c r="I586" s="14" t="str">
        <f t="shared" si="27"/>
        <v>RAS</v>
      </c>
      <c r="J586" s="14" t="str">
        <f t="shared" si="28"/>
        <v>Data</v>
      </c>
      <c r="L586" s="16"/>
    </row>
    <row r="587" spans="1:12">
      <c r="A587" t="s">
        <v>733</v>
      </c>
      <c r="B587" t="s">
        <v>734</v>
      </c>
      <c r="C587" t="s">
        <v>27</v>
      </c>
      <c r="D587">
        <v>14.84</v>
      </c>
      <c r="E587">
        <v>11.66</v>
      </c>
      <c r="F587" s="11">
        <v>0.93779999999999997</v>
      </c>
      <c r="G587" t="str">
        <f t="shared" si="26"/>
        <v>Admis sous condition</v>
      </c>
      <c r="H587" t="str" cm="1">
        <f t="array" ref="H587">_xlfn.IFS(E587&gt;=16, "Excellent",E587&gt;=14, "Très bien", E587&gt;=12, "Bien", E587&gt;=10, "Passable", E587&lt;10, "Insuffisant")</f>
        <v>Passable</v>
      </c>
      <c r="I587" s="14" t="str">
        <f t="shared" si="27"/>
        <v>RAS</v>
      </c>
      <c r="J587" s="14" t="str">
        <f t="shared" si="28"/>
        <v>Autre filière</v>
      </c>
      <c r="L587" s="16"/>
    </row>
    <row r="588" spans="1:12">
      <c r="A588" t="s">
        <v>1193</v>
      </c>
      <c r="B588" t="s">
        <v>1074</v>
      </c>
      <c r="C588" t="s">
        <v>35</v>
      </c>
      <c r="D588">
        <v>11</v>
      </c>
      <c r="E588">
        <v>10.53</v>
      </c>
      <c r="F588" s="11">
        <v>0.99199999999999999</v>
      </c>
      <c r="G588" t="str">
        <f t="shared" si="26"/>
        <v>Admis sous condition</v>
      </c>
      <c r="H588" t="str" cm="1">
        <f t="array" ref="H588">_xlfn.IFS(E588&gt;=16, "Excellent",E588&gt;=14, "Très bien", E588&gt;=12, "Bien", E588&gt;=10, "Passable", E588&lt;10, "Insuffisant")</f>
        <v>Passable</v>
      </c>
      <c r="I588" s="14" t="str">
        <f t="shared" si="27"/>
        <v>RAS</v>
      </c>
      <c r="J588" s="14" t="str">
        <f t="shared" si="28"/>
        <v>Autre filière</v>
      </c>
      <c r="L588" s="16"/>
    </row>
    <row r="589" spans="1:12">
      <c r="A589" t="s">
        <v>913</v>
      </c>
      <c r="B589" t="s">
        <v>833</v>
      </c>
      <c r="C589" t="s">
        <v>35</v>
      </c>
      <c r="D589">
        <v>12.94</v>
      </c>
      <c r="E589">
        <v>15.69</v>
      </c>
      <c r="F589" s="11">
        <v>0.66120000000000001</v>
      </c>
      <c r="G589" t="str">
        <f t="shared" ref="G589:G652" si="29">IF(AND(D589&gt;=12,E589&gt;=12,F589&gt;=80%),"Admis",IF(AND(D589&gt;=10,E589&gt;=10),"Admis sous condition","Refusé"))</f>
        <v>Admis sous condition</v>
      </c>
      <c r="H589" t="str" cm="1">
        <f t="array" ref="H589">_xlfn.IFS(E589&gt;=16, "Excellent",E589&gt;=14, "Très bien", E589&gt;=12, "Bien", E589&gt;=10, "Passable", E589&lt;10, "Insuffisant")</f>
        <v>Très bien</v>
      </c>
      <c r="I589" s="14" t="str">
        <f t="shared" si="27"/>
        <v>A surveiller</v>
      </c>
      <c r="J589" s="14" t="str">
        <f t="shared" si="28"/>
        <v>Autre filière</v>
      </c>
      <c r="L589" s="16"/>
    </row>
    <row r="590" spans="1:12">
      <c r="A590" t="s">
        <v>708</v>
      </c>
      <c r="B590" t="s">
        <v>408</v>
      </c>
      <c r="C590" t="s">
        <v>48</v>
      </c>
      <c r="D590">
        <v>13.98</v>
      </c>
      <c r="E590">
        <v>14.1</v>
      </c>
      <c r="F590" s="11">
        <v>0.55000000000000004</v>
      </c>
      <c r="G590" t="str">
        <f t="shared" si="29"/>
        <v>Admis sous condition</v>
      </c>
      <c r="H590" t="str" cm="1">
        <f t="array" ref="H590">_xlfn.IFS(E590&gt;=16, "Excellent",E590&gt;=14, "Très bien", E590&gt;=12, "Bien", E590&gt;=10, "Passable", E590&lt;10, "Insuffisant")</f>
        <v>Très bien</v>
      </c>
      <c r="I590" s="14" t="str">
        <f t="shared" si="27"/>
        <v>A surveiller</v>
      </c>
      <c r="J590" s="14" t="str">
        <f t="shared" si="28"/>
        <v>Autre filière</v>
      </c>
      <c r="L590" s="16"/>
    </row>
    <row r="591" spans="1:12">
      <c r="A591" t="s">
        <v>673</v>
      </c>
      <c r="B591" t="s">
        <v>291</v>
      </c>
      <c r="C591" t="s">
        <v>27</v>
      </c>
      <c r="D591">
        <v>14.47</v>
      </c>
      <c r="E591">
        <v>12.67</v>
      </c>
      <c r="F591" s="11">
        <v>0.66169999999999995</v>
      </c>
      <c r="G591" t="str">
        <f t="shared" si="29"/>
        <v>Admis sous condition</v>
      </c>
      <c r="H591" t="str" cm="1">
        <f t="array" ref="H591">_xlfn.IFS(E591&gt;=16, "Excellent",E591&gt;=14, "Très bien", E591&gt;=12, "Bien", E591&gt;=10, "Passable", E591&lt;10, "Insuffisant")</f>
        <v>Bien</v>
      </c>
      <c r="I591" s="14" t="str">
        <f t="shared" si="27"/>
        <v>A surveiller</v>
      </c>
      <c r="J591" s="14" t="str">
        <f t="shared" si="28"/>
        <v>Autre filière</v>
      </c>
      <c r="L591" s="16"/>
    </row>
    <row r="592" spans="1:12">
      <c r="A592" t="s">
        <v>158</v>
      </c>
      <c r="B592" t="s">
        <v>159</v>
      </c>
      <c r="C592" t="s">
        <v>48</v>
      </c>
      <c r="D592">
        <v>12.39</v>
      </c>
      <c r="E592">
        <v>14.7</v>
      </c>
      <c r="F592" s="11">
        <v>0.84919999999999995</v>
      </c>
      <c r="G592" t="str">
        <f t="shared" si="29"/>
        <v>Admis</v>
      </c>
      <c r="H592" t="str" cm="1">
        <f t="array" ref="H592">_xlfn.IFS(E592&gt;=16, "Excellent",E592&gt;=14, "Très bien", E592&gt;=12, "Bien", E592&gt;=10, "Passable", E592&lt;10, "Insuffisant")</f>
        <v>Très bien</v>
      </c>
      <c r="I592" s="14" t="str">
        <f t="shared" si="27"/>
        <v>RAS</v>
      </c>
      <c r="J592" s="14" t="str">
        <f t="shared" si="28"/>
        <v>Autre filière</v>
      </c>
      <c r="K592" s="15"/>
      <c r="L592" s="16"/>
    </row>
    <row r="593" spans="1:12">
      <c r="A593" t="s">
        <v>596</v>
      </c>
      <c r="B593" t="s">
        <v>378</v>
      </c>
      <c r="C593" t="s">
        <v>48</v>
      </c>
      <c r="D593">
        <v>15.43</v>
      </c>
      <c r="E593">
        <v>18.39</v>
      </c>
      <c r="F593" s="11">
        <v>0.83609999999999995</v>
      </c>
      <c r="G593" t="str">
        <f t="shared" si="29"/>
        <v>Admis</v>
      </c>
      <c r="H593" t="str" cm="1">
        <f t="array" ref="H593">_xlfn.IFS(E593&gt;=16, "Excellent",E593&gt;=14, "Très bien", E593&gt;=12, "Bien", E593&gt;=10, "Passable", E593&lt;10, "Insuffisant")</f>
        <v>Excellent</v>
      </c>
      <c r="I593" s="14" t="str">
        <f t="shared" si="27"/>
        <v>RAS</v>
      </c>
      <c r="J593" s="14" t="str">
        <f t="shared" si="28"/>
        <v>Autre filière</v>
      </c>
      <c r="K593" s="15"/>
      <c r="L593" s="16"/>
    </row>
    <row r="594" spans="1:12">
      <c r="A594" t="s">
        <v>473</v>
      </c>
      <c r="B594" t="s">
        <v>474</v>
      </c>
      <c r="C594" t="s">
        <v>48</v>
      </c>
      <c r="D594">
        <v>14.62</v>
      </c>
      <c r="E594">
        <v>14.45</v>
      </c>
      <c r="F594" s="11">
        <v>0.9153</v>
      </c>
      <c r="G594" t="str">
        <f t="shared" si="29"/>
        <v>Admis</v>
      </c>
      <c r="H594" t="str" cm="1">
        <f t="array" ref="H594">_xlfn.IFS(E594&gt;=16, "Excellent",E594&gt;=14, "Très bien", E594&gt;=12, "Bien", E594&gt;=10, "Passable", E594&lt;10, "Insuffisant")</f>
        <v>Très bien</v>
      </c>
      <c r="I594" s="14" t="str">
        <f t="shared" si="27"/>
        <v>RAS</v>
      </c>
      <c r="J594" s="14" t="str">
        <f t="shared" si="28"/>
        <v>Autre filière</v>
      </c>
      <c r="L594" s="16"/>
    </row>
    <row r="595" spans="1:12">
      <c r="A595" t="s">
        <v>58</v>
      </c>
      <c r="B595" t="s">
        <v>59</v>
      </c>
      <c r="C595" t="s">
        <v>27</v>
      </c>
      <c r="D595">
        <v>10.09</v>
      </c>
      <c r="E595">
        <v>5.93</v>
      </c>
      <c r="F595" s="11">
        <v>0.95089999999999997</v>
      </c>
      <c r="G595" t="str">
        <f t="shared" si="29"/>
        <v>Refusé</v>
      </c>
      <c r="H595" t="str" cm="1">
        <f t="array" ref="H595">_xlfn.IFS(E595&gt;=16, "Excellent",E595&gt;=14, "Très bien", E595&gt;=12, "Bien", E595&gt;=10, "Passable", E595&lt;10, "Insuffisant")</f>
        <v>Insuffisant</v>
      </c>
      <c r="I595" s="14" t="str">
        <f t="shared" si="27"/>
        <v>A surveiller</v>
      </c>
      <c r="J595" s="14" t="str">
        <f t="shared" si="28"/>
        <v>Autre filière</v>
      </c>
      <c r="L595" s="16"/>
    </row>
    <row r="596" spans="1:12">
      <c r="A596" t="s">
        <v>446</v>
      </c>
      <c r="B596" t="s">
        <v>231</v>
      </c>
      <c r="C596" t="s">
        <v>27</v>
      </c>
      <c r="D596">
        <v>9.5399999999999991</v>
      </c>
      <c r="E596">
        <v>13.21</v>
      </c>
      <c r="F596" s="11">
        <v>0.94869999999999999</v>
      </c>
      <c r="G596" t="str">
        <f t="shared" si="29"/>
        <v>Refusé</v>
      </c>
      <c r="H596" t="str" cm="1">
        <f t="array" ref="H596">_xlfn.IFS(E596&gt;=16, "Excellent",E596&gt;=14, "Très bien", E596&gt;=12, "Bien", E596&gt;=10, "Passable", E596&lt;10, "Insuffisant")</f>
        <v>Bien</v>
      </c>
      <c r="I596" s="14" t="str">
        <f t="shared" si="27"/>
        <v>A surveiller</v>
      </c>
      <c r="J596" s="14" t="str">
        <f t="shared" si="28"/>
        <v>Autre filière</v>
      </c>
      <c r="L596" s="16"/>
    </row>
    <row r="597" spans="1:12">
      <c r="A597" t="s">
        <v>1161</v>
      </c>
      <c r="B597" t="s">
        <v>410</v>
      </c>
      <c r="C597" t="s">
        <v>27</v>
      </c>
      <c r="D597">
        <v>12.47</v>
      </c>
      <c r="E597">
        <v>11.81</v>
      </c>
      <c r="F597" s="11">
        <v>0.77400000000000002</v>
      </c>
      <c r="G597" t="str">
        <f t="shared" si="29"/>
        <v>Admis sous condition</v>
      </c>
      <c r="H597" t="str" cm="1">
        <f t="array" ref="H597">_xlfn.IFS(E597&gt;=16, "Excellent",E597&gt;=14, "Très bien", E597&gt;=12, "Bien", E597&gt;=10, "Passable", E597&lt;10, "Insuffisant")</f>
        <v>Passable</v>
      </c>
      <c r="I597" s="14" t="str">
        <f t="shared" si="27"/>
        <v>RAS</v>
      </c>
      <c r="J597" s="14" t="str">
        <f t="shared" si="28"/>
        <v>Autre filière</v>
      </c>
      <c r="L597" s="16"/>
    </row>
    <row r="598" spans="1:12">
      <c r="A598" t="s">
        <v>1045</v>
      </c>
      <c r="B598" t="s">
        <v>1046</v>
      </c>
      <c r="C598" t="s">
        <v>27</v>
      </c>
      <c r="D598">
        <v>7.79</v>
      </c>
      <c r="E598">
        <v>9.8699999999999992</v>
      </c>
      <c r="F598" s="11">
        <v>0.83299999999999996</v>
      </c>
      <c r="G598" t="str">
        <f t="shared" si="29"/>
        <v>Refusé</v>
      </c>
      <c r="H598" t="str" cm="1">
        <f t="array" ref="H598">_xlfn.IFS(E598&gt;=16, "Excellent",E598&gt;=14, "Très bien", E598&gt;=12, "Bien", E598&gt;=10, "Passable", E598&lt;10, "Insuffisant")</f>
        <v>Insuffisant</v>
      </c>
      <c r="I598" s="14" t="str">
        <f t="shared" si="27"/>
        <v>A surveiller</v>
      </c>
      <c r="J598" s="14" t="str">
        <f t="shared" si="28"/>
        <v>Autre filière</v>
      </c>
      <c r="K598" s="15"/>
      <c r="L598" s="16"/>
    </row>
    <row r="599" spans="1:12">
      <c r="A599" t="s">
        <v>478</v>
      </c>
      <c r="B599" t="s">
        <v>479</v>
      </c>
      <c r="C599" t="s">
        <v>35</v>
      </c>
      <c r="D599">
        <v>18.239999999999998</v>
      </c>
      <c r="E599">
        <v>13.27</v>
      </c>
      <c r="F599" s="11">
        <v>0.55000000000000004</v>
      </c>
      <c r="G599" t="str">
        <f t="shared" si="29"/>
        <v>Admis sous condition</v>
      </c>
      <c r="H599" t="str" cm="1">
        <f t="array" ref="H599">_xlfn.IFS(E599&gt;=16, "Excellent",E599&gt;=14, "Très bien", E599&gt;=12, "Bien", E599&gt;=10, "Passable", E599&lt;10, "Insuffisant")</f>
        <v>Bien</v>
      </c>
      <c r="I599" s="14" t="str">
        <f t="shared" si="27"/>
        <v>A surveiller</v>
      </c>
      <c r="J599" s="14" t="str">
        <f t="shared" si="28"/>
        <v>Autre filière</v>
      </c>
      <c r="L599" s="16"/>
    </row>
    <row r="600" spans="1:12">
      <c r="A600" t="s">
        <v>452</v>
      </c>
      <c r="B600" t="s">
        <v>453</v>
      </c>
      <c r="C600" t="s">
        <v>27</v>
      </c>
      <c r="D600">
        <v>11.73</v>
      </c>
      <c r="E600">
        <v>10.93</v>
      </c>
      <c r="F600" s="11">
        <v>0.68320000000000003</v>
      </c>
      <c r="G600" t="str">
        <f t="shared" si="29"/>
        <v>Admis sous condition</v>
      </c>
      <c r="H600" t="str" cm="1">
        <f t="array" ref="H600">_xlfn.IFS(E600&gt;=16, "Excellent",E600&gt;=14, "Très bien", E600&gt;=12, "Bien", E600&gt;=10, "Passable", E600&lt;10, "Insuffisant")</f>
        <v>Passable</v>
      </c>
      <c r="I600" s="14" t="str">
        <f t="shared" si="27"/>
        <v>A surveiller</v>
      </c>
      <c r="J600" s="14" t="str">
        <f t="shared" si="28"/>
        <v>Autre filière</v>
      </c>
      <c r="L600" s="16"/>
    </row>
    <row r="601" spans="1:12">
      <c r="A601" t="s">
        <v>960</v>
      </c>
      <c r="B601" t="s">
        <v>872</v>
      </c>
      <c r="C601" t="s">
        <v>22</v>
      </c>
      <c r="D601">
        <v>6.96</v>
      </c>
      <c r="E601">
        <v>16.489999999999998</v>
      </c>
      <c r="F601" s="11">
        <v>0.80489999999999995</v>
      </c>
      <c r="G601" t="str">
        <f t="shared" si="29"/>
        <v>Refusé</v>
      </c>
      <c r="H601" t="str" cm="1">
        <f t="array" ref="H601">_xlfn.IFS(E601&gt;=16, "Excellent",E601&gt;=14, "Très bien", E601&gt;=12, "Bien", E601&gt;=10, "Passable", E601&lt;10, "Insuffisant")</f>
        <v>Excellent</v>
      </c>
      <c r="I601" s="14" t="str">
        <f t="shared" si="27"/>
        <v>A surveiller</v>
      </c>
      <c r="J601" s="14" t="str">
        <f t="shared" si="28"/>
        <v>Data</v>
      </c>
      <c r="K601" s="15"/>
      <c r="L601" s="16"/>
    </row>
    <row r="602" spans="1:12">
      <c r="A602" t="s">
        <v>149</v>
      </c>
      <c r="B602" t="s">
        <v>150</v>
      </c>
      <c r="C602" t="s">
        <v>27</v>
      </c>
      <c r="D602">
        <v>12.92</v>
      </c>
      <c r="E602">
        <v>16.98</v>
      </c>
      <c r="F602" s="11">
        <v>0.95489999999999997</v>
      </c>
      <c r="G602" t="str">
        <f t="shared" si="29"/>
        <v>Admis</v>
      </c>
      <c r="H602" t="str" cm="1">
        <f t="array" ref="H602">_xlfn.IFS(E602&gt;=16, "Excellent",E602&gt;=14, "Très bien", E602&gt;=12, "Bien", E602&gt;=10, "Passable", E602&lt;10, "Insuffisant")</f>
        <v>Excellent</v>
      </c>
      <c r="I602" s="14" t="str">
        <f t="shared" si="27"/>
        <v>RAS</v>
      </c>
      <c r="J602" s="14" t="str">
        <f t="shared" si="28"/>
        <v>Autre filière</v>
      </c>
      <c r="L602" s="16"/>
    </row>
    <row r="603" spans="1:12">
      <c r="A603" t="s">
        <v>39</v>
      </c>
      <c r="B603" t="s">
        <v>40</v>
      </c>
      <c r="C603" t="s">
        <v>27</v>
      </c>
      <c r="D603">
        <v>16.97</v>
      </c>
      <c r="E603">
        <v>15.2</v>
      </c>
      <c r="F603" s="11">
        <v>0.75839999999999996</v>
      </c>
      <c r="G603" t="str">
        <f t="shared" si="29"/>
        <v>Admis sous condition</v>
      </c>
      <c r="H603" t="str" cm="1">
        <f t="array" ref="H603">_xlfn.IFS(E603&gt;=16, "Excellent",E603&gt;=14, "Très bien", E603&gt;=12, "Bien", E603&gt;=10, "Passable", E603&lt;10, "Insuffisant")</f>
        <v>Très bien</v>
      </c>
      <c r="I603" s="14" t="str">
        <f t="shared" si="27"/>
        <v>RAS</v>
      </c>
      <c r="J603" s="14" t="str">
        <f t="shared" si="28"/>
        <v>Autre filière</v>
      </c>
      <c r="L603" s="16"/>
    </row>
    <row r="604" spans="1:12">
      <c r="A604" t="s">
        <v>99</v>
      </c>
      <c r="B604" t="s">
        <v>100</v>
      </c>
      <c r="C604" t="s">
        <v>35</v>
      </c>
      <c r="D604">
        <v>7.93</v>
      </c>
      <c r="E604">
        <v>12.82</v>
      </c>
      <c r="F604" s="11">
        <v>0.7046</v>
      </c>
      <c r="G604" t="str">
        <f t="shared" si="29"/>
        <v>Refusé</v>
      </c>
      <c r="H604" t="str" cm="1">
        <f t="array" ref="H604">_xlfn.IFS(E604&gt;=16, "Excellent",E604&gt;=14, "Très bien", E604&gt;=12, "Bien", E604&gt;=10, "Passable", E604&lt;10, "Insuffisant")</f>
        <v>Bien</v>
      </c>
      <c r="I604" s="14" t="str">
        <f t="shared" si="27"/>
        <v>A surveiller</v>
      </c>
      <c r="J604" s="14" t="str">
        <f t="shared" si="28"/>
        <v>Autre filière</v>
      </c>
      <c r="L604" s="16"/>
    </row>
    <row r="605" spans="1:12">
      <c r="A605" t="s">
        <v>309</v>
      </c>
      <c r="B605" t="s">
        <v>310</v>
      </c>
      <c r="C605" t="s">
        <v>27</v>
      </c>
      <c r="D605">
        <v>11.93</v>
      </c>
      <c r="E605">
        <v>11.22</v>
      </c>
      <c r="F605" s="11">
        <v>0.82089999999999996</v>
      </c>
      <c r="G605" t="str">
        <f t="shared" si="29"/>
        <v>Admis sous condition</v>
      </c>
      <c r="H605" t="str" cm="1">
        <f t="array" ref="H605">_xlfn.IFS(E605&gt;=16, "Excellent",E605&gt;=14, "Très bien", E605&gt;=12, "Bien", E605&gt;=10, "Passable", E605&lt;10, "Insuffisant")</f>
        <v>Passable</v>
      </c>
      <c r="I605" s="14" t="str">
        <f t="shared" si="27"/>
        <v>RAS</v>
      </c>
      <c r="J605" s="14" t="str">
        <f t="shared" si="28"/>
        <v>Autre filière</v>
      </c>
      <c r="K605" s="15"/>
      <c r="L605" s="16"/>
    </row>
    <row r="606" spans="1:12">
      <c r="A606" t="s">
        <v>674</v>
      </c>
      <c r="B606" t="s">
        <v>675</v>
      </c>
      <c r="C606" t="s">
        <v>35</v>
      </c>
      <c r="D606">
        <v>15.77</v>
      </c>
      <c r="E606">
        <v>16.95</v>
      </c>
      <c r="F606" s="11">
        <v>0.86729999999999996</v>
      </c>
      <c r="G606" t="str">
        <f t="shared" si="29"/>
        <v>Admis</v>
      </c>
      <c r="H606" t="str" cm="1">
        <f t="array" ref="H606">_xlfn.IFS(E606&gt;=16, "Excellent",E606&gt;=14, "Très bien", E606&gt;=12, "Bien", E606&gt;=10, "Passable", E606&lt;10, "Insuffisant")</f>
        <v>Excellent</v>
      </c>
      <c r="I606" s="14" t="str">
        <f t="shared" si="27"/>
        <v>RAS</v>
      </c>
      <c r="J606" s="14" t="str">
        <f t="shared" si="28"/>
        <v>Autre filière</v>
      </c>
      <c r="K606" s="15"/>
      <c r="L606" s="16"/>
    </row>
    <row r="607" spans="1:12">
      <c r="A607" t="s">
        <v>1182</v>
      </c>
      <c r="B607" t="s">
        <v>408</v>
      </c>
      <c r="C607" t="s">
        <v>35</v>
      </c>
      <c r="D607">
        <v>12.02</v>
      </c>
      <c r="E607">
        <v>13.04</v>
      </c>
      <c r="F607" s="11">
        <v>0.96989999999999998</v>
      </c>
      <c r="G607" t="str">
        <f t="shared" si="29"/>
        <v>Admis</v>
      </c>
      <c r="H607" t="str" cm="1">
        <f t="array" ref="H607">_xlfn.IFS(E607&gt;=16, "Excellent",E607&gt;=14, "Très bien", E607&gt;=12, "Bien", E607&gt;=10, "Passable", E607&lt;10, "Insuffisant")</f>
        <v>Bien</v>
      </c>
      <c r="I607" s="14" t="str">
        <f t="shared" si="27"/>
        <v>RAS</v>
      </c>
      <c r="J607" s="14" t="str">
        <f t="shared" si="28"/>
        <v>Autre filière</v>
      </c>
      <c r="L607" s="16"/>
    </row>
    <row r="608" spans="1:12">
      <c r="A608" t="s">
        <v>798</v>
      </c>
      <c r="B608" t="s">
        <v>620</v>
      </c>
      <c r="C608" t="s">
        <v>27</v>
      </c>
      <c r="D608">
        <v>9.91</v>
      </c>
      <c r="E608">
        <v>10.67</v>
      </c>
      <c r="F608" s="11">
        <v>0.87590000000000001</v>
      </c>
      <c r="G608" t="str">
        <f t="shared" si="29"/>
        <v>Refusé</v>
      </c>
      <c r="H608" t="str" cm="1">
        <f t="array" ref="H608">_xlfn.IFS(E608&gt;=16, "Excellent",E608&gt;=14, "Très bien", E608&gt;=12, "Bien", E608&gt;=10, "Passable", E608&lt;10, "Insuffisant")</f>
        <v>Passable</v>
      </c>
      <c r="I608" s="14" t="str">
        <f t="shared" si="27"/>
        <v>A surveiller</v>
      </c>
      <c r="J608" s="14" t="str">
        <f t="shared" si="28"/>
        <v>Autre filière</v>
      </c>
      <c r="K608" s="15"/>
      <c r="L608" s="16"/>
    </row>
    <row r="609" spans="1:12">
      <c r="A609" t="s">
        <v>398</v>
      </c>
      <c r="B609" t="s">
        <v>274</v>
      </c>
      <c r="C609" t="s">
        <v>48</v>
      </c>
      <c r="D609">
        <v>13.91</v>
      </c>
      <c r="E609">
        <v>9.08</v>
      </c>
      <c r="F609" s="11">
        <v>0.92500000000000004</v>
      </c>
      <c r="G609" t="str">
        <f t="shared" si="29"/>
        <v>Refusé</v>
      </c>
      <c r="H609" t="str" cm="1">
        <f t="array" ref="H609">_xlfn.IFS(E609&gt;=16, "Excellent",E609&gt;=14, "Très bien", E609&gt;=12, "Bien", E609&gt;=10, "Passable", E609&lt;10, "Insuffisant")</f>
        <v>Insuffisant</v>
      </c>
      <c r="I609" s="14" t="str">
        <f t="shared" si="27"/>
        <v>A surveiller</v>
      </c>
      <c r="J609" s="14" t="str">
        <f t="shared" si="28"/>
        <v>Autre filière</v>
      </c>
      <c r="L609" s="16"/>
    </row>
    <row r="610" spans="1:12">
      <c r="A610" t="s">
        <v>429</v>
      </c>
      <c r="B610" t="s">
        <v>354</v>
      </c>
      <c r="C610" t="s">
        <v>22</v>
      </c>
      <c r="D610">
        <v>14.62</v>
      </c>
      <c r="E610">
        <v>11.1</v>
      </c>
      <c r="F610" s="11">
        <v>0.91810000000000003</v>
      </c>
      <c r="G610" t="str">
        <f t="shared" si="29"/>
        <v>Admis sous condition</v>
      </c>
      <c r="H610" t="str" cm="1">
        <f t="array" ref="H610">_xlfn.IFS(E610&gt;=16, "Excellent",E610&gt;=14, "Très bien", E610&gt;=12, "Bien", E610&gt;=10, "Passable", E610&lt;10, "Insuffisant")</f>
        <v>Passable</v>
      </c>
      <c r="I610" s="14" t="str">
        <f t="shared" si="27"/>
        <v>RAS</v>
      </c>
      <c r="J610" s="14" t="str">
        <f t="shared" si="28"/>
        <v>Data</v>
      </c>
      <c r="L610" s="16"/>
    </row>
    <row r="611" spans="1:12">
      <c r="A611" t="s">
        <v>1278</v>
      </c>
      <c r="B611" t="s">
        <v>607</v>
      </c>
      <c r="C611" t="s">
        <v>22</v>
      </c>
      <c r="D611">
        <v>13.01</v>
      </c>
      <c r="E611">
        <v>14.49</v>
      </c>
      <c r="F611" s="11">
        <v>0.65469999999999995</v>
      </c>
      <c r="G611" t="str">
        <f t="shared" si="29"/>
        <v>Admis sous condition</v>
      </c>
      <c r="H611" t="str" cm="1">
        <f t="array" ref="H611">_xlfn.IFS(E611&gt;=16, "Excellent",E611&gt;=14, "Très bien", E611&gt;=12, "Bien", E611&gt;=10, "Passable", E611&lt;10, "Insuffisant")</f>
        <v>Très bien</v>
      </c>
      <c r="I611" s="14" t="str">
        <f t="shared" si="27"/>
        <v>A surveiller</v>
      </c>
      <c r="J611" s="14" t="str">
        <f t="shared" si="28"/>
        <v>Data</v>
      </c>
      <c r="K611" s="15"/>
      <c r="L611" s="16"/>
    </row>
    <row r="612" spans="1:12">
      <c r="A612" t="s">
        <v>206</v>
      </c>
      <c r="B612" t="s">
        <v>207</v>
      </c>
      <c r="C612" t="s">
        <v>48</v>
      </c>
      <c r="D612">
        <v>16.86</v>
      </c>
      <c r="E612">
        <v>13.37</v>
      </c>
      <c r="F612" s="11">
        <v>0.73799999999999999</v>
      </c>
      <c r="G612" t="str">
        <f t="shared" si="29"/>
        <v>Admis sous condition</v>
      </c>
      <c r="H612" t="str" cm="1">
        <f t="array" ref="H612">_xlfn.IFS(E612&gt;=16, "Excellent",E612&gt;=14, "Très bien", E612&gt;=12, "Bien", E612&gt;=10, "Passable", E612&lt;10, "Insuffisant")</f>
        <v>Bien</v>
      </c>
      <c r="I612" s="14" t="str">
        <f t="shared" si="27"/>
        <v>RAS</v>
      </c>
      <c r="J612" s="14" t="str">
        <f t="shared" si="28"/>
        <v>Autre filière</v>
      </c>
      <c r="L612" s="16"/>
    </row>
    <row r="613" spans="1:12">
      <c r="A613" t="s">
        <v>961</v>
      </c>
      <c r="B613" t="s">
        <v>485</v>
      </c>
      <c r="C613" t="s">
        <v>35</v>
      </c>
      <c r="D613">
        <v>11.99</v>
      </c>
      <c r="E613">
        <v>9.58</v>
      </c>
      <c r="F613" s="11">
        <v>0.9093</v>
      </c>
      <c r="G613" t="str">
        <f t="shared" si="29"/>
        <v>Refusé</v>
      </c>
      <c r="H613" t="str" cm="1">
        <f t="array" ref="H613">_xlfn.IFS(E613&gt;=16, "Excellent",E613&gt;=14, "Très bien", E613&gt;=12, "Bien", E613&gt;=10, "Passable", E613&lt;10, "Insuffisant")</f>
        <v>Insuffisant</v>
      </c>
      <c r="I613" s="14" t="str">
        <f t="shared" si="27"/>
        <v>A surveiller</v>
      </c>
      <c r="J613" s="14" t="str">
        <f t="shared" si="28"/>
        <v>Autre filière</v>
      </c>
      <c r="L613" s="16"/>
    </row>
    <row r="614" spans="1:12">
      <c r="A614" t="s">
        <v>439</v>
      </c>
      <c r="B614" t="s">
        <v>111</v>
      </c>
      <c r="C614" t="s">
        <v>35</v>
      </c>
      <c r="D614">
        <v>11.63</v>
      </c>
      <c r="E614">
        <v>15.88</v>
      </c>
      <c r="F614" s="11">
        <v>0.76190000000000002</v>
      </c>
      <c r="G614" t="str">
        <f t="shared" si="29"/>
        <v>Admis sous condition</v>
      </c>
      <c r="H614" t="str" cm="1">
        <f t="array" ref="H614">_xlfn.IFS(E614&gt;=16, "Excellent",E614&gt;=14, "Très bien", E614&gt;=12, "Bien", E614&gt;=10, "Passable", E614&lt;10, "Insuffisant")</f>
        <v>Très bien</v>
      </c>
      <c r="I614" s="14" t="str">
        <f t="shared" si="27"/>
        <v>RAS</v>
      </c>
      <c r="J614" s="14" t="str">
        <f t="shared" si="28"/>
        <v>Autre filière</v>
      </c>
      <c r="L614" s="16"/>
    </row>
    <row r="615" spans="1:12">
      <c r="A615" t="s">
        <v>1286</v>
      </c>
      <c r="B615" t="s">
        <v>975</v>
      </c>
      <c r="C615" t="s">
        <v>35</v>
      </c>
      <c r="D615">
        <v>13.01</v>
      </c>
      <c r="E615">
        <v>15.36</v>
      </c>
      <c r="F615" s="11">
        <v>0.89159999999999995</v>
      </c>
      <c r="G615" t="str">
        <f t="shared" si="29"/>
        <v>Admis</v>
      </c>
      <c r="H615" t="str" cm="1">
        <f t="array" ref="H615">_xlfn.IFS(E615&gt;=16, "Excellent",E615&gt;=14, "Très bien", E615&gt;=12, "Bien", E615&gt;=10, "Passable", E615&lt;10, "Insuffisant")</f>
        <v>Très bien</v>
      </c>
      <c r="I615" s="14" t="str">
        <f t="shared" si="27"/>
        <v>RAS</v>
      </c>
      <c r="J615" s="14" t="str">
        <f t="shared" si="28"/>
        <v>Autre filière</v>
      </c>
      <c r="K615" s="15"/>
      <c r="L615" s="16"/>
    </row>
    <row r="616" spans="1:12">
      <c r="A616" t="s">
        <v>605</v>
      </c>
      <c r="B616" t="s">
        <v>81</v>
      </c>
      <c r="C616" t="s">
        <v>22</v>
      </c>
      <c r="D616">
        <v>7.57</v>
      </c>
      <c r="E616">
        <v>19.010000000000002</v>
      </c>
      <c r="F616" s="11">
        <v>0.80830000000000002</v>
      </c>
      <c r="G616" t="str">
        <f t="shared" si="29"/>
        <v>Refusé</v>
      </c>
      <c r="H616" t="str" cm="1">
        <f t="array" ref="H616">_xlfn.IFS(E616&gt;=16, "Excellent",E616&gt;=14, "Très bien", E616&gt;=12, "Bien", E616&gt;=10, "Passable", E616&lt;10, "Insuffisant")</f>
        <v>Excellent</v>
      </c>
      <c r="I616" s="14" t="str">
        <f t="shared" si="27"/>
        <v>A surveiller</v>
      </c>
      <c r="J616" s="14" t="str">
        <f t="shared" si="28"/>
        <v>Data</v>
      </c>
      <c r="K616" s="15"/>
      <c r="L616" s="16"/>
    </row>
    <row r="617" spans="1:12">
      <c r="A617" t="s">
        <v>982</v>
      </c>
      <c r="B617" t="s">
        <v>123</v>
      </c>
      <c r="C617" t="s">
        <v>48</v>
      </c>
      <c r="D617">
        <v>17.600000000000001</v>
      </c>
      <c r="E617">
        <v>15.12</v>
      </c>
      <c r="F617" s="11">
        <v>0.86370000000000002</v>
      </c>
      <c r="G617" t="str">
        <f t="shared" si="29"/>
        <v>Admis</v>
      </c>
      <c r="H617" t="str" cm="1">
        <f t="array" ref="H617">_xlfn.IFS(E617&gt;=16, "Excellent",E617&gt;=14, "Très bien", E617&gt;=12, "Bien", E617&gt;=10, "Passable", E617&lt;10, "Insuffisant")</f>
        <v>Très bien</v>
      </c>
      <c r="I617" s="14" t="str">
        <f t="shared" si="27"/>
        <v>RAS</v>
      </c>
      <c r="J617" s="14" t="str">
        <f t="shared" si="28"/>
        <v>Autre filière</v>
      </c>
      <c r="K617" s="15"/>
      <c r="L617" s="16"/>
    </row>
    <row r="618" spans="1:12">
      <c r="A618" t="s">
        <v>598</v>
      </c>
      <c r="B618" t="s">
        <v>113</v>
      </c>
      <c r="C618" t="s">
        <v>35</v>
      </c>
      <c r="D618">
        <v>12.59</v>
      </c>
      <c r="E618">
        <v>13.38</v>
      </c>
      <c r="F618" s="11">
        <v>0.90110000000000001</v>
      </c>
      <c r="G618" t="str">
        <f t="shared" si="29"/>
        <v>Admis</v>
      </c>
      <c r="H618" t="str" cm="1">
        <f t="array" ref="H618">_xlfn.IFS(E618&gt;=16, "Excellent",E618&gt;=14, "Très bien", E618&gt;=12, "Bien", E618&gt;=10, "Passable", E618&lt;10, "Insuffisant")</f>
        <v>Bien</v>
      </c>
      <c r="I618" s="14" t="str">
        <f t="shared" si="27"/>
        <v>RAS</v>
      </c>
      <c r="J618" s="14" t="str">
        <f t="shared" si="28"/>
        <v>Autre filière</v>
      </c>
      <c r="L618" s="16"/>
    </row>
    <row r="619" spans="1:12">
      <c r="A619" t="s">
        <v>1328</v>
      </c>
      <c r="B619" t="s">
        <v>218</v>
      </c>
      <c r="C619" t="s">
        <v>22</v>
      </c>
      <c r="D619">
        <v>13.8</v>
      </c>
      <c r="E619">
        <v>11.59</v>
      </c>
      <c r="F619" s="11">
        <v>0.87019999999999997</v>
      </c>
      <c r="G619" t="str">
        <f t="shared" si="29"/>
        <v>Admis sous condition</v>
      </c>
      <c r="H619" t="str" cm="1">
        <f t="array" ref="H619">_xlfn.IFS(E619&gt;=16, "Excellent",E619&gt;=14, "Très bien", E619&gt;=12, "Bien", E619&gt;=10, "Passable", E619&lt;10, "Insuffisant")</f>
        <v>Passable</v>
      </c>
      <c r="I619" s="14" t="str">
        <f t="shared" si="27"/>
        <v>RAS</v>
      </c>
      <c r="J619" s="14" t="str">
        <f t="shared" si="28"/>
        <v>Data</v>
      </c>
      <c r="K619" s="15"/>
      <c r="L619" s="16"/>
    </row>
    <row r="620" spans="1:12">
      <c r="A620" t="s">
        <v>621</v>
      </c>
      <c r="B620" t="s">
        <v>444</v>
      </c>
      <c r="C620" t="s">
        <v>22</v>
      </c>
      <c r="D620">
        <v>14.08</v>
      </c>
      <c r="E620">
        <v>10.24</v>
      </c>
      <c r="F620" s="11">
        <v>0.89070000000000005</v>
      </c>
      <c r="G620" t="str">
        <f t="shared" si="29"/>
        <v>Admis sous condition</v>
      </c>
      <c r="H620" t="str" cm="1">
        <f t="array" ref="H620">_xlfn.IFS(E620&gt;=16, "Excellent",E620&gt;=14, "Très bien", E620&gt;=12, "Bien", E620&gt;=10, "Passable", E620&lt;10, "Insuffisant")</f>
        <v>Passable</v>
      </c>
      <c r="I620" s="14" t="str">
        <f t="shared" si="27"/>
        <v>RAS</v>
      </c>
      <c r="J620" s="14" t="str">
        <f t="shared" si="28"/>
        <v>Data</v>
      </c>
      <c r="K620" s="15"/>
      <c r="L620" s="16"/>
    </row>
    <row r="621" spans="1:12">
      <c r="A621" t="s">
        <v>938</v>
      </c>
      <c r="B621" t="s">
        <v>939</v>
      </c>
      <c r="C621" t="s">
        <v>35</v>
      </c>
      <c r="D621">
        <v>5.53</v>
      </c>
      <c r="E621">
        <v>11.59</v>
      </c>
      <c r="F621" s="11">
        <v>0.90610000000000002</v>
      </c>
      <c r="G621" t="str">
        <f t="shared" si="29"/>
        <v>Refusé</v>
      </c>
      <c r="H621" t="str" cm="1">
        <f t="array" ref="H621">_xlfn.IFS(E621&gt;=16, "Excellent",E621&gt;=14, "Très bien", E621&gt;=12, "Bien", E621&gt;=10, "Passable", E621&lt;10, "Insuffisant")</f>
        <v>Passable</v>
      </c>
      <c r="I621" s="14" t="str">
        <f t="shared" si="27"/>
        <v>A surveiller</v>
      </c>
      <c r="J621" s="14" t="str">
        <f t="shared" si="28"/>
        <v>Autre filière</v>
      </c>
      <c r="L621" s="16"/>
    </row>
    <row r="622" spans="1:12">
      <c r="A622" t="s">
        <v>363</v>
      </c>
      <c r="B622" t="s">
        <v>127</v>
      </c>
      <c r="C622" t="s">
        <v>48</v>
      </c>
      <c r="D622">
        <v>8.1199999999999992</v>
      </c>
      <c r="E622">
        <v>10.050000000000001</v>
      </c>
      <c r="F622" s="11">
        <v>0.91849999999999998</v>
      </c>
      <c r="G622" t="str">
        <f t="shared" si="29"/>
        <v>Refusé</v>
      </c>
      <c r="H622" t="str" cm="1">
        <f t="array" ref="H622">_xlfn.IFS(E622&gt;=16, "Excellent",E622&gt;=14, "Très bien", E622&gt;=12, "Bien", E622&gt;=10, "Passable", E622&lt;10, "Insuffisant")</f>
        <v>Passable</v>
      </c>
      <c r="I622" s="14" t="str">
        <f t="shared" si="27"/>
        <v>A surveiller</v>
      </c>
      <c r="J622" s="14" t="str">
        <f t="shared" si="28"/>
        <v>Autre filière</v>
      </c>
      <c r="L622" s="16"/>
    </row>
    <row r="623" spans="1:12">
      <c r="A623" t="s">
        <v>753</v>
      </c>
      <c r="B623" t="s">
        <v>744</v>
      </c>
      <c r="C623" t="s">
        <v>35</v>
      </c>
      <c r="D623">
        <v>15.78</v>
      </c>
      <c r="E623">
        <v>13.4</v>
      </c>
      <c r="F623" s="11">
        <v>0.97750000000000004</v>
      </c>
      <c r="G623" t="str">
        <f t="shared" si="29"/>
        <v>Admis</v>
      </c>
      <c r="H623" t="str" cm="1">
        <f t="array" ref="H623">_xlfn.IFS(E623&gt;=16, "Excellent",E623&gt;=14, "Très bien", E623&gt;=12, "Bien", E623&gt;=10, "Passable", E623&lt;10, "Insuffisant")</f>
        <v>Bien</v>
      </c>
      <c r="I623" s="14" t="str">
        <f t="shared" si="27"/>
        <v>RAS</v>
      </c>
      <c r="J623" s="14" t="str">
        <f t="shared" si="28"/>
        <v>Autre filière</v>
      </c>
      <c r="L623" s="16"/>
    </row>
    <row r="624" spans="1:12">
      <c r="A624" t="s">
        <v>999</v>
      </c>
      <c r="B624" t="s">
        <v>420</v>
      </c>
      <c r="C624" t="s">
        <v>35</v>
      </c>
      <c r="D624">
        <v>13.31</v>
      </c>
      <c r="E624">
        <v>12.77</v>
      </c>
      <c r="F624" s="11">
        <v>0.92469999999999997</v>
      </c>
      <c r="G624" t="str">
        <f t="shared" si="29"/>
        <v>Admis</v>
      </c>
      <c r="H624" t="str" cm="1">
        <f t="array" ref="H624">_xlfn.IFS(E624&gt;=16, "Excellent",E624&gt;=14, "Très bien", E624&gt;=12, "Bien", E624&gt;=10, "Passable", E624&lt;10, "Insuffisant")</f>
        <v>Bien</v>
      </c>
      <c r="I624" s="14" t="str">
        <f t="shared" si="27"/>
        <v>RAS</v>
      </c>
      <c r="J624" s="14" t="str">
        <f t="shared" si="28"/>
        <v>Autre filière</v>
      </c>
      <c r="L624" s="16"/>
    </row>
    <row r="625" spans="1:12">
      <c r="A625" t="s">
        <v>242</v>
      </c>
      <c r="B625" t="s">
        <v>243</v>
      </c>
      <c r="C625" t="s">
        <v>22</v>
      </c>
      <c r="D625">
        <v>11.48</v>
      </c>
      <c r="E625">
        <v>12.61</v>
      </c>
      <c r="F625" s="11">
        <v>0.55089999999999995</v>
      </c>
      <c r="G625" t="str">
        <f t="shared" si="29"/>
        <v>Admis sous condition</v>
      </c>
      <c r="H625" t="str" cm="1">
        <f t="array" ref="H625">_xlfn.IFS(E625&gt;=16, "Excellent",E625&gt;=14, "Très bien", E625&gt;=12, "Bien", E625&gt;=10, "Passable", E625&lt;10, "Insuffisant")</f>
        <v>Bien</v>
      </c>
      <c r="I625" s="14" t="str">
        <f t="shared" si="27"/>
        <v>A surveiller</v>
      </c>
      <c r="J625" s="14" t="str">
        <f t="shared" si="28"/>
        <v>Data</v>
      </c>
      <c r="L625" s="16"/>
    </row>
    <row r="626" spans="1:12">
      <c r="A626" t="s">
        <v>658</v>
      </c>
      <c r="B626" t="s">
        <v>659</v>
      </c>
      <c r="C626" t="s">
        <v>27</v>
      </c>
      <c r="D626">
        <v>11.24</v>
      </c>
      <c r="E626">
        <v>11.47</v>
      </c>
      <c r="F626" s="11">
        <v>0.86140000000000005</v>
      </c>
      <c r="G626" t="str">
        <f t="shared" si="29"/>
        <v>Admis sous condition</v>
      </c>
      <c r="H626" t="str" cm="1">
        <f t="array" ref="H626">_xlfn.IFS(E626&gt;=16, "Excellent",E626&gt;=14, "Très bien", E626&gt;=12, "Bien", E626&gt;=10, "Passable", E626&lt;10, "Insuffisant")</f>
        <v>Passable</v>
      </c>
      <c r="I626" s="14" t="str">
        <f t="shared" si="27"/>
        <v>RAS</v>
      </c>
      <c r="J626" s="14" t="str">
        <f t="shared" si="28"/>
        <v>Autre filière</v>
      </c>
      <c r="K626" s="15"/>
      <c r="L626" s="16"/>
    </row>
    <row r="627" spans="1:12">
      <c r="A627" t="s">
        <v>1002</v>
      </c>
      <c r="B627" t="s">
        <v>467</v>
      </c>
      <c r="C627" t="s">
        <v>35</v>
      </c>
      <c r="D627">
        <v>10.09</v>
      </c>
      <c r="E627">
        <v>12.3</v>
      </c>
      <c r="F627" s="11">
        <v>0.81459999999999999</v>
      </c>
      <c r="G627" t="str">
        <f t="shared" si="29"/>
        <v>Admis sous condition</v>
      </c>
      <c r="H627" t="str" cm="1">
        <f t="array" ref="H627">_xlfn.IFS(E627&gt;=16, "Excellent",E627&gt;=14, "Très bien", E627&gt;=12, "Bien", E627&gt;=10, "Passable", E627&lt;10, "Insuffisant")</f>
        <v>Bien</v>
      </c>
      <c r="I627" s="14" t="str">
        <f t="shared" si="27"/>
        <v>RAS</v>
      </c>
      <c r="J627" s="14" t="str">
        <f t="shared" si="28"/>
        <v>Autre filière</v>
      </c>
      <c r="K627" s="15"/>
      <c r="L627" s="16"/>
    </row>
    <row r="628" spans="1:12">
      <c r="A628" t="s">
        <v>162</v>
      </c>
      <c r="B628" t="s">
        <v>115</v>
      </c>
      <c r="C628" t="s">
        <v>35</v>
      </c>
      <c r="D628">
        <v>16.13</v>
      </c>
      <c r="E628">
        <v>14.09</v>
      </c>
      <c r="F628" s="11">
        <v>0.86950000000000005</v>
      </c>
      <c r="G628" t="str">
        <f t="shared" si="29"/>
        <v>Admis</v>
      </c>
      <c r="H628" t="str" cm="1">
        <f t="array" ref="H628">_xlfn.IFS(E628&gt;=16, "Excellent",E628&gt;=14, "Très bien", E628&gt;=12, "Bien", E628&gt;=10, "Passable", E628&lt;10, "Insuffisant")</f>
        <v>Très bien</v>
      </c>
      <c r="I628" s="14" t="str">
        <f t="shared" si="27"/>
        <v>RAS</v>
      </c>
      <c r="J628" s="14" t="str">
        <f t="shared" si="28"/>
        <v>Autre filière</v>
      </c>
      <c r="K628" s="15"/>
      <c r="L628" s="16"/>
    </row>
    <row r="629" spans="1:12">
      <c r="A629" t="s">
        <v>244</v>
      </c>
      <c r="B629" t="s">
        <v>173</v>
      </c>
      <c r="C629" t="s">
        <v>35</v>
      </c>
      <c r="D629">
        <v>15.07</v>
      </c>
      <c r="E629">
        <v>13.51</v>
      </c>
      <c r="F629" s="11">
        <v>0.91290000000000004</v>
      </c>
      <c r="G629" t="str">
        <f t="shared" si="29"/>
        <v>Admis</v>
      </c>
      <c r="H629" t="str" cm="1">
        <f t="array" ref="H629">_xlfn.IFS(E629&gt;=16, "Excellent",E629&gt;=14, "Très bien", E629&gt;=12, "Bien", E629&gt;=10, "Passable", E629&lt;10, "Insuffisant")</f>
        <v>Bien</v>
      </c>
      <c r="I629" s="14" t="str">
        <f t="shared" si="27"/>
        <v>RAS</v>
      </c>
      <c r="J629" s="14" t="str">
        <f t="shared" si="28"/>
        <v>Autre filière</v>
      </c>
      <c r="L629" s="16"/>
    </row>
    <row r="630" spans="1:12">
      <c r="A630" t="s">
        <v>120</v>
      </c>
      <c r="B630" t="s">
        <v>121</v>
      </c>
      <c r="C630" t="s">
        <v>35</v>
      </c>
      <c r="D630">
        <v>6.68</v>
      </c>
      <c r="E630">
        <v>7.31</v>
      </c>
      <c r="F630" s="11">
        <v>0.94130000000000003</v>
      </c>
      <c r="G630" t="str">
        <f t="shared" si="29"/>
        <v>Refusé</v>
      </c>
      <c r="H630" t="str" cm="1">
        <f t="array" ref="H630">_xlfn.IFS(E630&gt;=16, "Excellent",E630&gt;=14, "Très bien", E630&gt;=12, "Bien", E630&gt;=10, "Passable", E630&lt;10, "Insuffisant")</f>
        <v>Insuffisant</v>
      </c>
      <c r="I630" s="14" t="str">
        <f t="shared" si="27"/>
        <v>A surveiller</v>
      </c>
      <c r="J630" s="14" t="str">
        <f t="shared" si="28"/>
        <v>Autre filière</v>
      </c>
      <c r="L630" s="16"/>
    </row>
    <row r="631" spans="1:12">
      <c r="A631" t="s">
        <v>1229</v>
      </c>
      <c r="B631" t="s">
        <v>75</v>
      </c>
      <c r="C631" t="s">
        <v>35</v>
      </c>
      <c r="D631">
        <v>13.99</v>
      </c>
      <c r="E631">
        <v>14.39</v>
      </c>
      <c r="F631" s="11">
        <v>0.90300000000000002</v>
      </c>
      <c r="G631" t="str">
        <f t="shared" si="29"/>
        <v>Admis</v>
      </c>
      <c r="H631" t="str" cm="1">
        <f t="array" ref="H631">_xlfn.IFS(E631&gt;=16, "Excellent",E631&gt;=14, "Très bien", E631&gt;=12, "Bien", E631&gt;=10, "Passable", E631&lt;10, "Insuffisant")</f>
        <v>Très bien</v>
      </c>
      <c r="I631" s="14" t="str">
        <f t="shared" si="27"/>
        <v>RAS</v>
      </c>
      <c r="J631" s="14" t="str">
        <f t="shared" si="28"/>
        <v>Autre filière</v>
      </c>
      <c r="L631" s="16"/>
    </row>
    <row r="632" spans="1:12">
      <c r="A632" t="s">
        <v>1298</v>
      </c>
      <c r="B632" t="s">
        <v>194</v>
      </c>
      <c r="C632" t="s">
        <v>35</v>
      </c>
      <c r="D632">
        <v>8.07</v>
      </c>
      <c r="E632">
        <v>8.0500000000000007</v>
      </c>
      <c r="F632" s="11">
        <v>0.92620000000000002</v>
      </c>
      <c r="G632" t="str">
        <f t="shared" si="29"/>
        <v>Refusé</v>
      </c>
      <c r="H632" t="str" cm="1">
        <f t="array" ref="H632">_xlfn.IFS(E632&gt;=16, "Excellent",E632&gt;=14, "Très bien", E632&gt;=12, "Bien", E632&gt;=10, "Passable", E632&lt;10, "Insuffisant")</f>
        <v>Insuffisant</v>
      </c>
      <c r="I632" s="14" t="str">
        <f t="shared" si="27"/>
        <v>A surveiller</v>
      </c>
      <c r="J632" s="14" t="str">
        <f t="shared" si="28"/>
        <v>Autre filière</v>
      </c>
      <c r="L632" s="16"/>
    </row>
    <row r="633" spans="1:12">
      <c r="A633" t="s">
        <v>901</v>
      </c>
      <c r="B633" t="s">
        <v>710</v>
      </c>
      <c r="C633" t="s">
        <v>27</v>
      </c>
      <c r="D633">
        <v>12.07</v>
      </c>
      <c r="E633">
        <v>7.96</v>
      </c>
      <c r="F633" s="11">
        <v>0.59350000000000003</v>
      </c>
      <c r="G633" t="str">
        <f t="shared" si="29"/>
        <v>Refusé</v>
      </c>
      <c r="H633" t="str" cm="1">
        <f t="array" ref="H633">_xlfn.IFS(E633&gt;=16, "Excellent",E633&gt;=14, "Très bien", E633&gt;=12, "Bien", E633&gt;=10, "Passable", E633&lt;10, "Insuffisant")</f>
        <v>Insuffisant</v>
      </c>
      <c r="I633" s="14" t="str">
        <f t="shared" si="27"/>
        <v>A surveiller</v>
      </c>
      <c r="J633" s="14" t="str">
        <f t="shared" si="28"/>
        <v>Autre filière</v>
      </c>
      <c r="L633" s="16"/>
    </row>
    <row r="634" spans="1:12">
      <c r="A634" t="s">
        <v>1075</v>
      </c>
      <c r="B634" t="s">
        <v>161</v>
      </c>
      <c r="C634" t="s">
        <v>27</v>
      </c>
      <c r="D634">
        <v>10.98</v>
      </c>
      <c r="E634">
        <v>7.35</v>
      </c>
      <c r="F634" s="11">
        <v>0.55000000000000004</v>
      </c>
      <c r="G634" t="str">
        <f t="shared" si="29"/>
        <v>Refusé</v>
      </c>
      <c r="H634" t="str" cm="1">
        <f t="array" ref="H634">_xlfn.IFS(E634&gt;=16, "Excellent",E634&gt;=14, "Très bien", E634&gt;=12, "Bien", E634&gt;=10, "Passable", E634&lt;10, "Insuffisant")</f>
        <v>Insuffisant</v>
      </c>
      <c r="I634" s="14" t="str">
        <f t="shared" si="27"/>
        <v>A surveiller</v>
      </c>
      <c r="J634" s="14" t="str">
        <f t="shared" si="28"/>
        <v>Autre filière</v>
      </c>
      <c r="L634" s="16"/>
    </row>
    <row r="635" spans="1:12">
      <c r="A635" t="s">
        <v>1165</v>
      </c>
      <c r="B635" t="s">
        <v>415</v>
      </c>
      <c r="C635" t="s">
        <v>27</v>
      </c>
      <c r="D635">
        <v>11.31</v>
      </c>
      <c r="E635">
        <v>13.92</v>
      </c>
      <c r="F635" s="11">
        <v>0.98080000000000001</v>
      </c>
      <c r="G635" t="str">
        <f t="shared" si="29"/>
        <v>Admis sous condition</v>
      </c>
      <c r="H635" t="str" cm="1">
        <f t="array" ref="H635">_xlfn.IFS(E635&gt;=16, "Excellent",E635&gt;=14, "Très bien", E635&gt;=12, "Bien", E635&gt;=10, "Passable", E635&lt;10, "Insuffisant")</f>
        <v>Bien</v>
      </c>
      <c r="I635" s="14" t="str">
        <f t="shared" si="27"/>
        <v>RAS</v>
      </c>
      <c r="J635" s="14" t="str">
        <f t="shared" si="28"/>
        <v>Autre filière</v>
      </c>
      <c r="L635" s="16"/>
    </row>
    <row r="636" spans="1:12">
      <c r="A636" t="s">
        <v>247</v>
      </c>
      <c r="B636" t="s">
        <v>248</v>
      </c>
      <c r="C636" t="s">
        <v>27</v>
      </c>
      <c r="D636">
        <v>13.77</v>
      </c>
      <c r="E636">
        <v>15.21</v>
      </c>
      <c r="F636" s="11">
        <v>0.94169999999999998</v>
      </c>
      <c r="G636" t="str">
        <f t="shared" si="29"/>
        <v>Admis</v>
      </c>
      <c r="H636" t="str" cm="1">
        <f t="array" ref="H636">_xlfn.IFS(E636&gt;=16, "Excellent",E636&gt;=14, "Très bien", E636&gt;=12, "Bien", E636&gt;=10, "Passable", E636&lt;10, "Insuffisant")</f>
        <v>Très bien</v>
      </c>
      <c r="I636" s="14" t="str">
        <f t="shared" si="27"/>
        <v>RAS</v>
      </c>
      <c r="J636" s="14" t="str">
        <f t="shared" si="28"/>
        <v>Autre filière</v>
      </c>
      <c r="L636" s="16"/>
    </row>
    <row r="637" spans="1:12">
      <c r="A637" t="s">
        <v>888</v>
      </c>
      <c r="B637" t="s">
        <v>528</v>
      </c>
      <c r="C637" t="s">
        <v>35</v>
      </c>
      <c r="D637">
        <v>9.93</v>
      </c>
      <c r="E637">
        <v>12.03</v>
      </c>
      <c r="F637" s="11">
        <v>0.79039999999999999</v>
      </c>
      <c r="G637" t="str">
        <f t="shared" si="29"/>
        <v>Refusé</v>
      </c>
      <c r="H637" t="str" cm="1">
        <f t="array" ref="H637">_xlfn.IFS(E637&gt;=16, "Excellent",E637&gt;=14, "Très bien", E637&gt;=12, "Bien", E637&gt;=10, "Passable", E637&lt;10, "Insuffisant")</f>
        <v>Bien</v>
      </c>
      <c r="I637" s="14" t="str">
        <f t="shared" si="27"/>
        <v>A surveiller</v>
      </c>
      <c r="J637" s="14" t="str">
        <f t="shared" si="28"/>
        <v>Autre filière</v>
      </c>
      <c r="L637" s="16"/>
    </row>
    <row r="638" spans="1:12">
      <c r="A638" t="s">
        <v>635</v>
      </c>
      <c r="B638" t="s">
        <v>636</v>
      </c>
      <c r="C638" t="s">
        <v>27</v>
      </c>
      <c r="D638">
        <v>11.61</v>
      </c>
      <c r="E638">
        <v>12.87</v>
      </c>
      <c r="F638" s="11">
        <v>0.80689999999999995</v>
      </c>
      <c r="G638" t="str">
        <f t="shared" si="29"/>
        <v>Admis sous condition</v>
      </c>
      <c r="H638" t="str" cm="1">
        <f t="array" ref="H638">_xlfn.IFS(E638&gt;=16, "Excellent",E638&gt;=14, "Très bien", E638&gt;=12, "Bien", E638&gt;=10, "Passable", E638&lt;10, "Insuffisant")</f>
        <v>Bien</v>
      </c>
      <c r="I638" s="14" t="str">
        <f t="shared" si="27"/>
        <v>RAS</v>
      </c>
      <c r="J638" s="14" t="str">
        <f t="shared" si="28"/>
        <v>Autre filière</v>
      </c>
      <c r="K638" s="15"/>
      <c r="L638" s="16"/>
    </row>
    <row r="639" spans="1:12">
      <c r="A639" t="s">
        <v>36</v>
      </c>
      <c r="B639" t="s">
        <v>37</v>
      </c>
      <c r="C639" t="s">
        <v>27</v>
      </c>
      <c r="D639">
        <v>16.079999999999998</v>
      </c>
      <c r="E639">
        <v>12.22</v>
      </c>
      <c r="F639" s="11">
        <v>0.7429</v>
      </c>
      <c r="G639" t="str">
        <f t="shared" si="29"/>
        <v>Admis sous condition</v>
      </c>
      <c r="H639" t="str" cm="1">
        <f t="array" ref="H639">_xlfn.IFS(E639&gt;=16, "Excellent",E639&gt;=14, "Très bien", E639&gt;=12, "Bien", E639&gt;=10, "Passable", E639&lt;10, "Insuffisant")</f>
        <v>Bien</v>
      </c>
      <c r="I639" s="14" t="str">
        <f t="shared" si="27"/>
        <v>RAS</v>
      </c>
      <c r="J639" s="14" t="str">
        <f t="shared" si="28"/>
        <v>Autre filière</v>
      </c>
      <c r="L639" s="16"/>
    </row>
    <row r="640" spans="1:12">
      <c r="A640" t="s">
        <v>1111</v>
      </c>
      <c r="B640" t="s">
        <v>297</v>
      </c>
      <c r="C640" t="s">
        <v>22</v>
      </c>
      <c r="D640">
        <v>13.36</v>
      </c>
      <c r="E640">
        <v>9.73</v>
      </c>
      <c r="F640" s="11">
        <v>0.93810000000000004</v>
      </c>
      <c r="G640" t="str">
        <f t="shared" si="29"/>
        <v>Refusé</v>
      </c>
      <c r="H640" t="str" cm="1">
        <f t="array" ref="H640">_xlfn.IFS(E640&gt;=16, "Excellent",E640&gt;=14, "Très bien", E640&gt;=12, "Bien", E640&gt;=10, "Passable", E640&lt;10, "Insuffisant")</f>
        <v>Insuffisant</v>
      </c>
      <c r="I640" s="14" t="str">
        <f t="shared" si="27"/>
        <v>A surveiller</v>
      </c>
      <c r="J640" s="14" t="str">
        <f t="shared" si="28"/>
        <v>Data</v>
      </c>
      <c r="L640" s="16"/>
    </row>
    <row r="641" spans="1:12">
      <c r="A641" t="s">
        <v>221</v>
      </c>
      <c r="B641" t="s">
        <v>37</v>
      </c>
      <c r="C641" t="s">
        <v>27</v>
      </c>
      <c r="D641">
        <v>10.3</v>
      </c>
      <c r="E641">
        <v>13.16</v>
      </c>
      <c r="F641" s="11">
        <v>0.62409999999999999</v>
      </c>
      <c r="G641" t="str">
        <f t="shared" si="29"/>
        <v>Admis sous condition</v>
      </c>
      <c r="H641" t="str" cm="1">
        <f t="array" ref="H641">_xlfn.IFS(E641&gt;=16, "Excellent",E641&gt;=14, "Très bien", E641&gt;=12, "Bien", E641&gt;=10, "Passable", E641&lt;10, "Insuffisant")</f>
        <v>Bien</v>
      </c>
      <c r="I641" s="14" t="str">
        <f t="shared" si="27"/>
        <v>A surveiller</v>
      </c>
      <c r="J641" s="14" t="str">
        <f t="shared" si="28"/>
        <v>Autre filière</v>
      </c>
      <c r="L641" s="16"/>
    </row>
    <row r="642" spans="1:12">
      <c r="A642" t="s">
        <v>840</v>
      </c>
      <c r="B642" t="s">
        <v>133</v>
      </c>
      <c r="C642" t="s">
        <v>22</v>
      </c>
      <c r="D642">
        <v>12.33</v>
      </c>
      <c r="E642">
        <v>15.55</v>
      </c>
      <c r="F642" s="11">
        <v>0.96040000000000003</v>
      </c>
      <c r="G642" t="str">
        <f t="shared" si="29"/>
        <v>Admis</v>
      </c>
      <c r="H642" t="str" cm="1">
        <f t="array" ref="H642">_xlfn.IFS(E642&gt;=16, "Excellent",E642&gt;=14, "Très bien", E642&gt;=12, "Bien", E642&gt;=10, "Passable", E642&lt;10, "Insuffisant")</f>
        <v>Très bien</v>
      </c>
      <c r="I642" s="14" t="str">
        <f t="shared" si="27"/>
        <v>RAS</v>
      </c>
      <c r="J642" s="14" t="str">
        <f t="shared" si="28"/>
        <v>Data</v>
      </c>
      <c r="L642" s="16"/>
    </row>
    <row r="643" spans="1:12">
      <c r="A643" t="s">
        <v>430</v>
      </c>
      <c r="B643" t="s">
        <v>431</v>
      </c>
      <c r="C643" t="s">
        <v>27</v>
      </c>
      <c r="D643">
        <v>13.93</v>
      </c>
      <c r="E643">
        <v>9.5399999999999991</v>
      </c>
      <c r="F643" s="11">
        <v>0.8478</v>
      </c>
      <c r="G643" t="str">
        <f t="shared" si="29"/>
        <v>Refusé</v>
      </c>
      <c r="H643" t="str" cm="1">
        <f t="array" ref="H643">_xlfn.IFS(E643&gt;=16, "Excellent",E643&gt;=14, "Très bien", E643&gt;=12, "Bien", E643&gt;=10, "Passable", E643&lt;10, "Insuffisant")</f>
        <v>Insuffisant</v>
      </c>
      <c r="I643" s="14" t="str">
        <f t="shared" ref="I643:I706" si="30">IF(OR(D643&lt;10,E643&lt;10,F643&lt;70%), "A surveiller", "RAS")</f>
        <v>A surveiller</v>
      </c>
      <c r="J643" s="14" t="str">
        <f t="shared" ref="J643:J706" si="31">IF(NOT(C643="Data"), "Autre filière", "Data")</f>
        <v>Autre filière</v>
      </c>
      <c r="K643" s="15"/>
      <c r="L643" s="16"/>
    </row>
    <row r="644" spans="1:12">
      <c r="A644" t="s">
        <v>1032</v>
      </c>
      <c r="B644" t="s">
        <v>912</v>
      </c>
      <c r="C644" t="s">
        <v>35</v>
      </c>
      <c r="D644">
        <v>9.36</v>
      </c>
      <c r="E644">
        <v>11.8</v>
      </c>
      <c r="F644" s="11">
        <v>0.71240000000000003</v>
      </c>
      <c r="G644" t="str">
        <f t="shared" si="29"/>
        <v>Refusé</v>
      </c>
      <c r="H644" t="str" cm="1">
        <f t="array" ref="H644">_xlfn.IFS(E644&gt;=16, "Excellent",E644&gt;=14, "Très bien", E644&gt;=12, "Bien", E644&gt;=10, "Passable", E644&lt;10, "Insuffisant")</f>
        <v>Passable</v>
      </c>
      <c r="I644" s="14" t="str">
        <f t="shared" si="30"/>
        <v>A surveiller</v>
      </c>
      <c r="J644" s="14" t="str">
        <f t="shared" si="31"/>
        <v>Autre filière</v>
      </c>
      <c r="L644" s="16"/>
    </row>
    <row r="645" spans="1:12">
      <c r="A645" t="s">
        <v>1029</v>
      </c>
      <c r="B645" t="s">
        <v>79</v>
      </c>
      <c r="C645" t="s">
        <v>22</v>
      </c>
      <c r="D645">
        <v>10.74</v>
      </c>
      <c r="E645">
        <v>11.92</v>
      </c>
      <c r="F645" s="11">
        <v>0.76700000000000002</v>
      </c>
      <c r="G645" t="str">
        <f t="shared" si="29"/>
        <v>Admis sous condition</v>
      </c>
      <c r="H645" t="str" cm="1">
        <f t="array" ref="H645">_xlfn.IFS(E645&gt;=16, "Excellent",E645&gt;=14, "Très bien", E645&gt;=12, "Bien", E645&gt;=10, "Passable", E645&lt;10, "Insuffisant")</f>
        <v>Passable</v>
      </c>
      <c r="I645" s="14" t="str">
        <f t="shared" si="30"/>
        <v>RAS</v>
      </c>
      <c r="J645" s="14" t="str">
        <f t="shared" si="31"/>
        <v>Data</v>
      </c>
      <c r="L645" s="16"/>
    </row>
    <row r="646" spans="1:12">
      <c r="A646" t="s">
        <v>227</v>
      </c>
      <c r="B646" t="s">
        <v>191</v>
      </c>
      <c r="C646" t="s">
        <v>35</v>
      </c>
      <c r="D646">
        <v>7.62</v>
      </c>
      <c r="E646">
        <v>9.44</v>
      </c>
      <c r="F646" s="11">
        <v>0.85189999999999999</v>
      </c>
      <c r="G646" t="str">
        <f t="shared" si="29"/>
        <v>Refusé</v>
      </c>
      <c r="H646" t="str" cm="1">
        <f t="array" ref="H646">_xlfn.IFS(E646&gt;=16, "Excellent",E646&gt;=14, "Très bien", E646&gt;=12, "Bien", E646&gt;=10, "Passable", E646&lt;10, "Insuffisant")</f>
        <v>Insuffisant</v>
      </c>
      <c r="I646" s="14" t="str">
        <f t="shared" si="30"/>
        <v>A surveiller</v>
      </c>
      <c r="J646" s="14" t="str">
        <f t="shared" si="31"/>
        <v>Autre filière</v>
      </c>
      <c r="K646" s="15"/>
      <c r="L646" s="16"/>
    </row>
    <row r="647" spans="1:12">
      <c r="A647" t="s">
        <v>828</v>
      </c>
      <c r="B647" t="s">
        <v>329</v>
      </c>
      <c r="C647" t="s">
        <v>27</v>
      </c>
      <c r="D647">
        <v>7.23</v>
      </c>
      <c r="E647">
        <v>9.68</v>
      </c>
      <c r="F647" s="11">
        <v>0.9899</v>
      </c>
      <c r="G647" t="str">
        <f t="shared" si="29"/>
        <v>Refusé</v>
      </c>
      <c r="H647" t="str" cm="1">
        <f t="array" ref="H647">_xlfn.IFS(E647&gt;=16, "Excellent",E647&gt;=14, "Très bien", E647&gt;=12, "Bien", E647&gt;=10, "Passable", E647&lt;10, "Insuffisant")</f>
        <v>Insuffisant</v>
      </c>
      <c r="I647" s="14" t="str">
        <f t="shared" si="30"/>
        <v>A surveiller</v>
      </c>
      <c r="J647" s="14" t="str">
        <f t="shared" si="31"/>
        <v>Autre filière</v>
      </c>
      <c r="L647" s="16"/>
    </row>
    <row r="648" spans="1:12">
      <c r="A648" t="s">
        <v>1152</v>
      </c>
      <c r="B648" t="s">
        <v>288</v>
      </c>
      <c r="C648" t="s">
        <v>35</v>
      </c>
      <c r="D648">
        <v>16.11</v>
      </c>
      <c r="E648">
        <v>14.83</v>
      </c>
      <c r="F648" s="11">
        <v>0.95730000000000004</v>
      </c>
      <c r="G648" t="str">
        <f t="shared" si="29"/>
        <v>Admis</v>
      </c>
      <c r="H648" t="str" cm="1">
        <f t="array" ref="H648">_xlfn.IFS(E648&gt;=16, "Excellent",E648&gt;=14, "Très bien", E648&gt;=12, "Bien", E648&gt;=10, "Passable", E648&lt;10, "Insuffisant")</f>
        <v>Très bien</v>
      </c>
      <c r="I648" s="14" t="str">
        <f t="shared" si="30"/>
        <v>RAS</v>
      </c>
      <c r="J648" s="14" t="str">
        <f t="shared" si="31"/>
        <v>Autre filière</v>
      </c>
      <c r="L648" s="16"/>
    </row>
    <row r="649" spans="1:12">
      <c r="A649" t="s">
        <v>644</v>
      </c>
      <c r="B649" t="s">
        <v>370</v>
      </c>
      <c r="C649" t="s">
        <v>35</v>
      </c>
      <c r="D649">
        <v>7.21</v>
      </c>
      <c r="E649">
        <v>9.4600000000000009</v>
      </c>
      <c r="F649" s="11">
        <v>0.78449999999999998</v>
      </c>
      <c r="G649" t="str">
        <f t="shared" si="29"/>
        <v>Refusé</v>
      </c>
      <c r="H649" t="str" cm="1">
        <f t="array" ref="H649">_xlfn.IFS(E649&gt;=16, "Excellent",E649&gt;=14, "Très bien", E649&gt;=12, "Bien", E649&gt;=10, "Passable", E649&lt;10, "Insuffisant")</f>
        <v>Insuffisant</v>
      </c>
      <c r="I649" s="14" t="str">
        <f t="shared" si="30"/>
        <v>A surveiller</v>
      </c>
      <c r="J649" s="14" t="str">
        <f t="shared" si="31"/>
        <v>Autre filière</v>
      </c>
      <c r="L649" s="16"/>
    </row>
    <row r="650" spans="1:12">
      <c r="A650" t="s">
        <v>183</v>
      </c>
      <c r="B650" t="s">
        <v>184</v>
      </c>
      <c r="C650" t="s">
        <v>35</v>
      </c>
      <c r="D650">
        <v>15.58</v>
      </c>
      <c r="E650">
        <v>15.71</v>
      </c>
      <c r="F650" s="11">
        <v>0.84179999999999999</v>
      </c>
      <c r="G650" t="str">
        <f t="shared" si="29"/>
        <v>Admis</v>
      </c>
      <c r="H650" t="str" cm="1">
        <f t="array" ref="H650">_xlfn.IFS(E650&gt;=16, "Excellent",E650&gt;=14, "Très bien", E650&gt;=12, "Bien", E650&gt;=10, "Passable", E650&lt;10, "Insuffisant")</f>
        <v>Très bien</v>
      </c>
      <c r="I650" s="14" t="str">
        <f t="shared" si="30"/>
        <v>RAS</v>
      </c>
      <c r="J650" s="14" t="str">
        <f t="shared" si="31"/>
        <v>Autre filière</v>
      </c>
      <c r="K650" s="15"/>
      <c r="L650" s="16"/>
    </row>
    <row r="651" spans="1:12">
      <c r="A651" t="s">
        <v>633</v>
      </c>
      <c r="B651" t="s">
        <v>135</v>
      </c>
      <c r="C651" t="s">
        <v>35</v>
      </c>
      <c r="D651">
        <v>10.47</v>
      </c>
      <c r="E651">
        <v>15.1</v>
      </c>
      <c r="F651" s="11">
        <v>0.9073</v>
      </c>
      <c r="G651" t="str">
        <f t="shared" si="29"/>
        <v>Admis sous condition</v>
      </c>
      <c r="H651" t="str" cm="1">
        <f t="array" ref="H651">_xlfn.IFS(E651&gt;=16, "Excellent",E651&gt;=14, "Très bien", E651&gt;=12, "Bien", E651&gt;=10, "Passable", E651&lt;10, "Insuffisant")</f>
        <v>Très bien</v>
      </c>
      <c r="I651" s="14" t="str">
        <f t="shared" si="30"/>
        <v>RAS</v>
      </c>
      <c r="J651" s="14" t="str">
        <f t="shared" si="31"/>
        <v>Autre filière</v>
      </c>
      <c r="L651" s="16"/>
    </row>
    <row r="652" spans="1:12">
      <c r="A652" t="s">
        <v>1220</v>
      </c>
      <c r="B652" t="s">
        <v>325</v>
      </c>
      <c r="C652" t="s">
        <v>22</v>
      </c>
      <c r="D652">
        <v>10.31</v>
      </c>
      <c r="E652">
        <v>13.47</v>
      </c>
      <c r="F652" s="11">
        <v>0.82040000000000002</v>
      </c>
      <c r="G652" t="str">
        <f t="shared" si="29"/>
        <v>Admis sous condition</v>
      </c>
      <c r="H652" t="str" cm="1">
        <f t="array" ref="H652">_xlfn.IFS(E652&gt;=16, "Excellent",E652&gt;=14, "Très bien", E652&gt;=12, "Bien", E652&gt;=10, "Passable", E652&lt;10, "Insuffisant")</f>
        <v>Bien</v>
      </c>
      <c r="I652" s="14" t="str">
        <f t="shared" si="30"/>
        <v>RAS</v>
      </c>
      <c r="J652" s="14" t="str">
        <f t="shared" si="31"/>
        <v>Data</v>
      </c>
      <c r="K652" s="15"/>
      <c r="L652" s="16"/>
    </row>
    <row r="653" spans="1:12">
      <c r="A653" t="s">
        <v>409</v>
      </c>
      <c r="B653" t="s">
        <v>410</v>
      </c>
      <c r="C653" t="s">
        <v>48</v>
      </c>
      <c r="D653">
        <v>8.73</v>
      </c>
      <c r="E653">
        <v>11.99</v>
      </c>
      <c r="F653" s="11">
        <v>0.67549999999999999</v>
      </c>
      <c r="G653" t="str">
        <f t="shared" ref="G653:G716" si="32">IF(AND(D653&gt;=12,E653&gt;=12,F653&gt;=80%),"Admis",IF(AND(D653&gt;=10,E653&gt;=10),"Admis sous condition","Refusé"))</f>
        <v>Refusé</v>
      </c>
      <c r="H653" t="str" cm="1">
        <f t="array" ref="H653">_xlfn.IFS(E653&gt;=16, "Excellent",E653&gt;=14, "Très bien", E653&gt;=12, "Bien", E653&gt;=10, "Passable", E653&lt;10, "Insuffisant")</f>
        <v>Passable</v>
      </c>
      <c r="I653" s="14" t="str">
        <f t="shared" si="30"/>
        <v>A surveiller</v>
      </c>
      <c r="J653" s="14" t="str">
        <f t="shared" si="31"/>
        <v>Autre filière</v>
      </c>
      <c r="L653" s="16"/>
    </row>
    <row r="654" spans="1:12">
      <c r="A654" t="s">
        <v>745</v>
      </c>
      <c r="B654" t="s">
        <v>137</v>
      </c>
      <c r="C654" t="s">
        <v>48</v>
      </c>
      <c r="D654">
        <v>11.22</v>
      </c>
      <c r="E654">
        <v>10.37</v>
      </c>
      <c r="F654" s="11">
        <v>0.89729999999999999</v>
      </c>
      <c r="G654" t="str">
        <f t="shared" si="32"/>
        <v>Admis sous condition</v>
      </c>
      <c r="H654" t="str" cm="1">
        <f t="array" ref="H654">_xlfn.IFS(E654&gt;=16, "Excellent",E654&gt;=14, "Très bien", E654&gt;=12, "Bien", E654&gt;=10, "Passable", E654&lt;10, "Insuffisant")</f>
        <v>Passable</v>
      </c>
      <c r="I654" s="14" t="str">
        <f t="shared" si="30"/>
        <v>RAS</v>
      </c>
      <c r="J654" s="14" t="str">
        <f t="shared" si="31"/>
        <v>Autre filière</v>
      </c>
      <c r="K654" s="15"/>
      <c r="L654" s="16"/>
    </row>
    <row r="655" spans="1:12">
      <c r="A655" t="s">
        <v>533</v>
      </c>
      <c r="B655" t="s">
        <v>431</v>
      </c>
      <c r="C655" t="s">
        <v>35</v>
      </c>
      <c r="D655">
        <v>15.42</v>
      </c>
      <c r="E655">
        <v>14.68</v>
      </c>
      <c r="F655" s="11">
        <v>0.79059999999999997</v>
      </c>
      <c r="G655" t="str">
        <f t="shared" si="32"/>
        <v>Admis sous condition</v>
      </c>
      <c r="H655" t="str" cm="1">
        <f t="array" ref="H655">_xlfn.IFS(E655&gt;=16, "Excellent",E655&gt;=14, "Très bien", E655&gt;=12, "Bien", E655&gt;=10, "Passable", E655&lt;10, "Insuffisant")</f>
        <v>Très bien</v>
      </c>
      <c r="I655" s="14" t="str">
        <f t="shared" si="30"/>
        <v>RAS</v>
      </c>
      <c r="J655" s="14" t="str">
        <f t="shared" si="31"/>
        <v>Autre filière</v>
      </c>
      <c r="L655" s="16"/>
    </row>
    <row r="656" spans="1:12">
      <c r="A656" t="s">
        <v>1201</v>
      </c>
      <c r="B656" t="s">
        <v>564</v>
      </c>
      <c r="C656" t="s">
        <v>48</v>
      </c>
      <c r="D656">
        <v>8.98</v>
      </c>
      <c r="E656">
        <v>14.61</v>
      </c>
      <c r="F656" s="11">
        <v>0.97450000000000003</v>
      </c>
      <c r="G656" t="str">
        <f t="shared" si="32"/>
        <v>Refusé</v>
      </c>
      <c r="H656" t="str" cm="1">
        <f t="array" ref="H656">_xlfn.IFS(E656&gt;=16, "Excellent",E656&gt;=14, "Très bien", E656&gt;=12, "Bien", E656&gt;=10, "Passable", E656&lt;10, "Insuffisant")</f>
        <v>Très bien</v>
      </c>
      <c r="I656" s="14" t="str">
        <f t="shared" si="30"/>
        <v>A surveiller</v>
      </c>
      <c r="J656" s="14" t="str">
        <f t="shared" si="31"/>
        <v>Autre filière</v>
      </c>
      <c r="L656" s="16"/>
    </row>
    <row r="657" spans="1:12">
      <c r="A657" t="s">
        <v>1088</v>
      </c>
      <c r="B657" t="s">
        <v>632</v>
      </c>
      <c r="C657" t="s">
        <v>27</v>
      </c>
      <c r="D657">
        <v>11.99</v>
      </c>
      <c r="E657">
        <v>13.02</v>
      </c>
      <c r="F657" s="11">
        <v>0.90510000000000002</v>
      </c>
      <c r="G657" t="str">
        <f t="shared" si="32"/>
        <v>Admis sous condition</v>
      </c>
      <c r="H657" t="str" cm="1">
        <f t="array" ref="H657">_xlfn.IFS(E657&gt;=16, "Excellent",E657&gt;=14, "Très bien", E657&gt;=12, "Bien", E657&gt;=10, "Passable", E657&lt;10, "Insuffisant")</f>
        <v>Bien</v>
      </c>
      <c r="I657" s="14" t="str">
        <f t="shared" si="30"/>
        <v>RAS</v>
      </c>
      <c r="J657" s="14" t="str">
        <f t="shared" si="31"/>
        <v>Autre filière</v>
      </c>
      <c r="L657" s="16"/>
    </row>
    <row r="658" spans="1:12">
      <c r="A658" t="s">
        <v>1238</v>
      </c>
      <c r="B658" t="s">
        <v>471</v>
      </c>
      <c r="C658" t="s">
        <v>35</v>
      </c>
      <c r="D658">
        <v>10.34</v>
      </c>
      <c r="E658">
        <v>14.55</v>
      </c>
      <c r="F658" s="11">
        <v>0.84130000000000005</v>
      </c>
      <c r="G658" t="str">
        <f t="shared" si="32"/>
        <v>Admis sous condition</v>
      </c>
      <c r="H658" t="str" cm="1">
        <f t="array" ref="H658">_xlfn.IFS(E658&gt;=16, "Excellent",E658&gt;=14, "Très bien", E658&gt;=12, "Bien", E658&gt;=10, "Passable", E658&lt;10, "Insuffisant")</f>
        <v>Très bien</v>
      </c>
      <c r="I658" s="14" t="str">
        <f t="shared" si="30"/>
        <v>RAS</v>
      </c>
      <c r="J658" s="14" t="str">
        <f t="shared" si="31"/>
        <v>Autre filière</v>
      </c>
      <c r="K658" s="15"/>
      <c r="L658" s="16"/>
    </row>
    <row r="659" spans="1:12">
      <c r="A659" t="s">
        <v>910</v>
      </c>
      <c r="B659" t="s">
        <v>239</v>
      </c>
      <c r="C659" t="s">
        <v>48</v>
      </c>
      <c r="D659">
        <v>15.17</v>
      </c>
      <c r="E659">
        <v>13.55</v>
      </c>
      <c r="F659" s="11">
        <v>0.55000000000000004</v>
      </c>
      <c r="G659" t="str">
        <f t="shared" si="32"/>
        <v>Admis sous condition</v>
      </c>
      <c r="H659" t="str" cm="1">
        <f t="array" ref="H659">_xlfn.IFS(E659&gt;=16, "Excellent",E659&gt;=14, "Très bien", E659&gt;=12, "Bien", E659&gt;=10, "Passable", E659&lt;10, "Insuffisant")</f>
        <v>Bien</v>
      </c>
      <c r="I659" s="14" t="str">
        <f t="shared" si="30"/>
        <v>A surveiller</v>
      </c>
      <c r="J659" s="14" t="str">
        <f t="shared" si="31"/>
        <v>Autre filière</v>
      </c>
      <c r="L659" s="16"/>
    </row>
    <row r="660" spans="1:12">
      <c r="A660" t="s">
        <v>693</v>
      </c>
      <c r="B660" t="s">
        <v>455</v>
      </c>
      <c r="C660" t="s">
        <v>35</v>
      </c>
      <c r="D660">
        <v>10.55</v>
      </c>
      <c r="E660">
        <v>10.050000000000001</v>
      </c>
      <c r="F660" s="11">
        <v>0.75629999999999997</v>
      </c>
      <c r="G660" t="str">
        <f t="shared" si="32"/>
        <v>Admis sous condition</v>
      </c>
      <c r="H660" t="str" cm="1">
        <f t="array" ref="H660">_xlfn.IFS(E660&gt;=16, "Excellent",E660&gt;=14, "Très bien", E660&gt;=12, "Bien", E660&gt;=10, "Passable", E660&lt;10, "Insuffisant")</f>
        <v>Passable</v>
      </c>
      <c r="I660" s="14" t="str">
        <f t="shared" si="30"/>
        <v>RAS</v>
      </c>
      <c r="J660" s="14" t="str">
        <f t="shared" si="31"/>
        <v>Autre filière</v>
      </c>
      <c r="L660" s="16"/>
    </row>
    <row r="661" spans="1:12">
      <c r="A661" t="s">
        <v>1012</v>
      </c>
      <c r="B661" t="s">
        <v>532</v>
      </c>
      <c r="C661" t="s">
        <v>22</v>
      </c>
      <c r="D661">
        <v>16.86</v>
      </c>
      <c r="E661">
        <v>14.69</v>
      </c>
      <c r="F661" s="11">
        <v>0.84560000000000002</v>
      </c>
      <c r="G661" t="str">
        <f t="shared" si="32"/>
        <v>Admis</v>
      </c>
      <c r="H661" t="str" cm="1">
        <f t="array" ref="H661">_xlfn.IFS(E661&gt;=16, "Excellent",E661&gt;=14, "Très bien", E661&gt;=12, "Bien", E661&gt;=10, "Passable", E661&lt;10, "Insuffisant")</f>
        <v>Très bien</v>
      </c>
      <c r="I661" s="14" t="str">
        <f t="shared" si="30"/>
        <v>RAS</v>
      </c>
      <c r="J661" s="14" t="str">
        <f t="shared" si="31"/>
        <v>Data</v>
      </c>
      <c r="K661" s="15"/>
      <c r="L661" s="16"/>
    </row>
    <row r="662" spans="1:12">
      <c r="A662" t="s">
        <v>958</v>
      </c>
      <c r="B662" t="s">
        <v>127</v>
      </c>
      <c r="C662" t="s">
        <v>35</v>
      </c>
      <c r="D662">
        <v>13.9</v>
      </c>
      <c r="E662">
        <v>15.77</v>
      </c>
      <c r="F662" s="11">
        <v>0.97140000000000004</v>
      </c>
      <c r="G662" t="str">
        <f t="shared" si="32"/>
        <v>Admis</v>
      </c>
      <c r="H662" t="str" cm="1">
        <f t="array" ref="H662">_xlfn.IFS(E662&gt;=16, "Excellent",E662&gt;=14, "Très bien", E662&gt;=12, "Bien", E662&gt;=10, "Passable", E662&lt;10, "Insuffisant")</f>
        <v>Très bien</v>
      </c>
      <c r="I662" s="14" t="str">
        <f t="shared" si="30"/>
        <v>RAS</v>
      </c>
      <c r="J662" s="14" t="str">
        <f t="shared" si="31"/>
        <v>Autre filière</v>
      </c>
      <c r="L662" s="16"/>
    </row>
    <row r="663" spans="1:12">
      <c r="A663" t="s">
        <v>882</v>
      </c>
      <c r="B663" t="s">
        <v>200</v>
      </c>
      <c r="C663" t="s">
        <v>35</v>
      </c>
      <c r="D663">
        <v>13.37</v>
      </c>
      <c r="E663">
        <v>14.03</v>
      </c>
      <c r="F663" s="11">
        <v>0.99139999999999995</v>
      </c>
      <c r="G663" t="str">
        <f t="shared" si="32"/>
        <v>Admis</v>
      </c>
      <c r="H663" t="str" cm="1">
        <f t="array" ref="H663">_xlfn.IFS(E663&gt;=16, "Excellent",E663&gt;=14, "Très bien", E663&gt;=12, "Bien", E663&gt;=10, "Passable", E663&lt;10, "Insuffisant")</f>
        <v>Très bien</v>
      </c>
      <c r="I663" s="14" t="str">
        <f t="shared" si="30"/>
        <v>RAS</v>
      </c>
      <c r="J663" s="14" t="str">
        <f t="shared" si="31"/>
        <v>Autre filière</v>
      </c>
      <c r="L663" s="16"/>
    </row>
    <row r="664" spans="1:12">
      <c r="A664" t="s">
        <v>1335</v>
      </c>
      <c r="B664" t="s">
        <v>378</v>
      </c>
      <c r="C664" t="s">
        <v>35</v>
      </c>
      <c r="D664">
        <v>11.33</v>
      </c>
      <c r="E664">
        <v>10.73</v>
      </c>
      <c r="F664" s="11">
        <v>0.96430000000000005</v>
      </c>
      <c r="G664" t="str">
        <f t="shared" si="32"/>
        <v>Admis sous condition</v>
      </c>
      <c r="H664" t="str" cm="1">
        <f t="array" ref="H664">_xlfn.IFS(E664&gt;=16, "Excellent",E664&gt;=14, "Très bien", E664&gt;=12, "Bien", E664&gt;=10, "Passable", E664&lt;10, "Insuffisant")</f>
        <v>Passable</v>
      </c>
      <c r="I664" s="14" t="str">
        <f t="shared" si="30"/>
        <v>RAS</v>
      </c>
      <c r="J664" s="14" t="str">
        <f t="shared" si="31"/>
        <v>Autre filière</v>
      </c>
      <c r="L664" s="16"/>
    </row>
    <row r="665" spans="1:12">
      <c r="A665" t="s">
        <v>1333</v>
      </c>
      <c r="B665" t="s">
        <v>71</v>
      </c>
      <c r="C665" t="s">
        <v>48</v>
      </c>
      <c r="D665">
        <v>12.97</v>
      </c>
      <c r="E665">
        <v>11.09</v>
      </c>
      <c r="F665" s="11">
        <v>0.63160000000000005</v>
      </c>
      <c r="G665" t="str">
        <f t="shared" si="32"/>
        <v>Admis sous condition</v>
      </c>
      <c r="H665" t="str" cm="1">
        <f t="array" ref="H665">_xlfn.IFS(E665&gt;=16, "Excellent",E665&gt;=14, "Très bien", E665&gt;=12, "Bien", E665&gt;=10, "Passable", E665&lt;10, "Insuffisant")</f>
        <v>Passable</v>
      </c>
      <c r="I665" s="14" t="str">
        <f t="shared" si="30"/>
        <v>A surveiller</v>
      </c>
      <c r="J665" s="14" t="str">
        <f t="shared" si="31"/>
        <v>Autre filière</v>
      </c>
      <c r="L665" s="16"/>
    </row>
    <row r="666" spans="1:12">
      <c r="A666" t="s">
        <v>1211</v>
      </c>
      <c r="B666" t="s">
        <v>127</v>
      </c>
      <c r="C666" t="s">
        <v>27</v>
      </c>
      <c r="D666">
        <v>12.65</v>
      </c>
      <c r="E666">
        <v>17.14</v>
      </c>
      <c r="F666" s="11">
        <v>0.94079999999999997</v>
      </c>
      <c r="G666" t="str">
        <f t="shared" si="32"/>
        <v>Admis</v>
      </c>
      <c r="H666" t="str" cm="1">
        <f t="array" ref="H666">_xlfn.IFS(E666&gt;=16, "Excellent",E666&gt;=14, "Très bien", E666&gt;=12, "Bien", E666&gt;=10, "Passable", E666&lt;10, "Insuffisant")</f>
        <v>Excellent</v>
      </c>
      <c r="I666" s="14" t="str">
        <f t="shared" si="30"/>
        <v>RAS</v>
      </c>
      <c r="J666" s="14" t="str">
        <f t="shared" si="31"/>
        <v>Autre filière</v>
      </c>
      <c r="L666" s="16"/>
    </row>
    <row r="667" spans="1:12">
      <c r="A667" t="s">
        <v>515</v>
      </c>
      <c r="B667" t="s">
        <v>516</v>
      </c>
      <c r="C667" t="s">
        <v>48</v>
      </c>
      <c r="D667">
        <v>13.51</v>
      </c>
      <c r="E667">
        <v>15.65</v>
      </c>
      <c r="F667" s="11">
        <v>0.87549999999999994</v>
      </c>
      <c r="G667" t="str">
        <f t="shared" si="32"/>
        <v>Admis</v>
      </c>
      <c r="H667" t="str" cm="1">
        <f t="array" ref="H667">_xlfn.IFS(E667&gt;=16, "Excellent",E667&gt;=14, "Très bien", E667&gt;=12, "Bien", E667&gt;=10, "Passable", E667&lt;10, "Insuffisant")</f>
        <v>Très bien</v>
      </c>
      <c r="I667" s="14" t="str">
        <f t="shared" si="30"/>
        <v>RAS</v>
      </c>
      <c r="J667" s="14" t="str">
        <f t="shared" si="31"/>
        <v>Autre filière</v>
      </c>
      <c r="K667" s="15"/>
      <c r="L667" s="16"/>
    </row>
    <row r="668" spans="1:12">
      <c r="A668" t="s">
        <v>154</v>
      </c>
      <c r="B668" t="s">
        <v>155</v>
      </c>
      <c r="C668" t="s">
        <v>22</v>
      </c>
      <c r="D668">
        <v>12.29</v>
      </c>
      <c r="E668">
        <v>8.81</v>
      </c>
      <c r="F668" s="11">
        <v>0.80159999999999998</v>
      </c>
      <c r="G668" t="str">
        <f t="shared" si="32"/>
        <v>Refusé</v>
      </c>
      <c r="H668" t="str" cm="1">
        <f t="array" ref="H668">_xlfn.IFS(E668&gt;=16, "Excellent",E668&gt;=14, "Très bien", E668&gt;=12, "Bien", E668&gt;=10, "Passable", E668&lt;10, "Insuffisant")</f>
        <v>Insuffisant</v>
      </c>
      <c r="I668" s="14" t="str">
        <f t="shared" si="30"/>
        <v>A surveiller</v>
      </c>
      <c r="J668" s="14" t="str">
        <f t="shared" si="31"/>
        <v>Data</v>
      </c>
      <c r="K668" s="15"/>
      <c r="L668" s="16"/>
    </row>
    <row r="669" spans="1:12">
      <c r="A669" t="s">
        <v>1064</v>
      </c>
      <c r="B669" t="s">
        <v>204</v>
      </c>
      <c r="C669" t="s">
        <v>27</v>
      </c>
      <c r="D669">
        <v>14.29</v>
      </c>
      <c r="E669">
        <v>7.29</v>
      </c>
      <c r="F669" s="11">
        <v>0.90700000000000003</v>
      </c>
      <c r="G669" t="str">
        <f t="shared" si="32"/>
        <v>Refusé</v>
      </c>
      <c r="H669" t="str" cm="1">
        <f t="array" ref="H669">_xlfn.IFS(E669&gt;=16, "Excellent",E669&gt;=14, "Très bien", E669&gt;=12, "Bien", E669&gt;=10, "Passable", E669&lt;10, "Insuffisant")</f>
        <v>Insuffisant</v>
      </c>
      <c r="I669" s="14" t="str">
        <f t="shared" si="30"/>
        <v>A surveiller</v>
      </c>
      <c r="J669" s="14" t="str">
        <f t="shared" si="31"/>
        <v>Autre filière</v>
      </c>
      <c r="L669" s="16"/>
    </row>
    <row r="670" spans="1:12">
      <c r="A670" t="s">
        <v>326</v>
      </c>
      <c r="B670" t="s">
        <v>88</v>
      </c>
      <c r="C670" t="s">
        <v>27</v>
      </c>
      <c r="D670">
        <v>9.26</v>
      </c>
      <c r="E670">
        <v>14.8</v>
      </c>
      <c r="F670" s="11">
        <v>0.93049999999999999</v>
      </c>
      <c r="G670" t="str">
        <f t="shared" si="32"/>
        <v>Refusé</v>
      </c>
      <c r="H670" t="str" cm="1">
        <f t="array" ref="H670">_xlfn.IFS(E670&gt;=16, "Excellent",E670&gt;=14, "Très bien", E670&gt;=12, "Bien", E670&gt;=10, "Passable", E670&lt;10, "Insuffisant")</f>
        <v>Très bien</v>
      </c>
      <c r="I670" s="14" t="str">
        <f t="shared" si="30"/>
        <v>A surveiller</v>
      </c>
      <c r="J670" s="14" t="str">
        <f t="shared" si="31"/>
        <v>Autre filière</v>
      </c>
      <c r="L670" s="16"/>
    </row>
    <row r="671" spans="1:12">
      <c r="A671" t="s">
        <v>1284</v>
      </c>
      <c r="B671" t="s">
        <v>115</v>
      </c>
      <c r="C671" t="s">
        <v>22</v>
      </c>
      <c r="D671">
        <v>11.99</v>
      </c>
      <c r="E671">
        <v>14.37</v>
      </c>
      <c r="F671" s="11">
        <v>0.73440000000000005</v>
      </c>
      <c r="G671" t="str">
        <f t="shared" si="32"/>
        <v>Admis sous condition</v>
      </c>
      <c r="H671" t="str" cm="1">
        <f t="array" ref="H671">_xlfn.IFS(E671&gt;=16, "Excellent",E671&gt;=14, "Très bien", E671&gt;=12, "Bien", E671&gt;=10, "Passable", E671&lt;10, "Insuffisant")</f>
        <v>Très bien</v>
      </c>
      <c r="I671" s="14" t="str">
        <f t="shared" si="30"/>
        <v>RAS</v>
      </c>
      <c r="J671" s="14" t="str">
        <f t="shared" si="31"/>
        <v>Data</v>
      </c>
      <c r="L671" s="16"/>
    </row>
    <row r="672" spans="1:12">
      <c r="A672" t="s">
        <v>834</v>
      </c>
      <c r="B672" t="s">
        <v>354</v>
      </c>
      <c r="C672" t="s">
        <v>22</v>
      </c>
      <c r="D672">
        <v>12.32</v>
      </c>
      <c r="E672">
        <v>13.69</v>
      </c>
      <c r="F672" s="11">
        <v>0.86860000000000004</v>
      </c>
      <c r="G672" t="str">
        <f t="shared" si="32"/>
        <v>Admis</v>
      </c>
      <c r="H672" t="str" cm="1">
        <f t="array" ref="H672">_xlfn.IFS(E672&gt;=16, "Excellent",E672&gt;=14, "Très bien", E672&gt;=12, "Bien", E672&gt;=10, "Passable", E672&lt;10, "Insuffisant")</f>
        <v>Bien</v>
      </c>
      <c r="I672" s="14" t="str">
        <f t="shared" si="30"/>
        <v>RAS</v>
      </c>
      <c r="J672" s="14" t="str">
        <f t="shared" si="31"/>
        <v>Data</v>
      </c>
      <c r="K672" s="15"/>
      <c r="L672" s="16"/>
    </row>
    <row r="673" spans="1:12">
      <c r="A673" t="s">
        <v>1239</v>
      </c>
      <c r="B673" t="s">
        <v>121</v>
      </c>
      <c r="C673" t="s">
        <v>35</v>
      </c>
      <c r="D673">
        <v>9.16</v>
      </c>
      <c r="E673">
        <v>6</v>
      </c>
      <c r="F673" s="11">
        <v>0.92610000000000003</v>
      </c>
      <c r="G673" t="str">
        <f t="shared" si="32"/>
        <v>Refusé</v>
      </c>
      <c r="H673" t="str" cm="1">
        <f t="array" ref="H673">_xlfn.IFS(E673&gt;=16, "Excellent",E673&gt;=14, "Très bien", E673&gt;=12, "Bien", E673&gt;=10, "Passable", E673&lt;10, "Insuffisant")</f>
        <v>Insuffisant</v>
      </c>
      <c r="I673" s="14" t="str">
        <f t="shared" si="30"/>
        <v>A surveiller</v>
      </c>
      <c r="J673" s="14" t="str">
        <f t="shared" si="31"/>
        <v>Autre filière</v>
      </c>
      <c r="L673" s="16"/>
    </row>
    <row r="674" spans="1:12">
      <c r="A674" t="s">
        <v>1108</v>
      </c>
      <c r="B674" t="s">
        <v>667</v>
      </c>
      <c r="C674" t="s">
        <v>48</v>
      </c>
      <c r="D674">
        <v>11.05</v>
      </c>
      <c r="E674">
        <v>16.14</v>
      </c>
      <c r="F674" s="11">
        <v>0.69879999999999998</v>
      </c>
      <c r="G674" t="str">
        <f t="shared" si="32"/>
        <v>Admis sous condition</v>
      </c>
      <c r="H674" t="str" cm="1">
        <f t="array" ref="H674">_xlfn.IFS(E674&gt;=16, "Excellent",E674&gt;=14, "Très bien", E674&gt;=12, "Bien", E674&gt;=10, "Passable", E674&lt;10, "Insuffisant")</f>
        <v>Excellent</v>
      </c>
      <c r="I674" s="14" t="str">
        <f t="shared" si="30"/>
        <v>A surveiller</v>
      </c>
      <c r="J674" s="14" t="str">
        <f t="shared" si="31"/>
        <v>Autre filière</v>
      </c>
      <c r="L674" s="16"/>
    </row>
    <row r="675" spans="1:12">
      <c r="A675" t="s">
        <v>1212</v>
      </c>
      <c r="B675" t="s">
        <v>607</v>
      </c>
      <c r="C675" t="s">
        <v>48</v>
      </c>
      <c r="D675">
        <v>10.42</v>
      </c>
      <c r="E675">
        <v>9.52</v>
      </c>
      <c r="F675" s="11">
        <v>0.65229999999999999</v>
      </c>
      <c r="G675" t="str">
        <f t="shared" si="32"/>
        <v>Refusé</v>
      </c>
      <c r="H675" t="str" cm="1">
        <f t="array" ref="H675">_xlfn.IFS(E675&gt;=16, "Excellent",E675&gt;=14, "Très bien", E675&gt;=12, "Bien", E675&gt;=10, "Passable", E675&lt;10, "Insuffisant")</f>
        <v>Insuffisant</v>
      </c>
      <c r="I675" s="14" t="str">
        <f t="shared" si="30"/>
        <v>A surveiller</v>
      </c>
      <c r="J675" s="14" t="str">
        <f t="shared" si="31"/>
        <v>Autre filière</v>
      </c>
      <c r="L675" s="16"/>
    </row>
    <row r="676" spans="1:12">
      <c r="A676" t="s">
        <v>663</v>
      </c>
      <c r="B676" t="s">
        <v>79</v>
      </c>
      <c r="C676" t="s">
        <v>27</v>
      </c>
      <c r="D676">
        <v>15.65</v>
      </c>
      <c r="E676">
        <v>14.4</v>
      </c>
      <c r="F676" s="11">
        <v>0.96989999999999998</v>
      </c>
      <c r="G676" t="str">
        <f t="shared" si="32"/>
        <v>Admis</v>
      </c>
      <c r="H676" t="str" cm="1">
        <f t="array" ref="H676">_xlfn.IFS(E676&gt;=16, "Excellent",E676&gt;=14, "Très bien", E676&gt;=12, "Bien", E676&gt;=10, "Passable", E676&lt;10, "Insuffisant")</f>
        <v>Très bien</v>
      </c>
      <c r="I676" s="14" t="str">
        <f t="shared" si="30"/>
        <v>RAS</v>
      </c>
      <c r="J676" s="14" t="str">
        <f t="shared" si="31"/>
        <v>Autre filière</v>
      </c>
      <c r="L676" s="16"/>
    </row>
    <row r="677" spans="1:12">
      <c r="A677" t="s">
        <v>1160</v>
      </c>
      <c r="B677" t="s">
        <v>131</v>
      </c>
      <c r="C677" t="s">
        <v>48</v>
      </c>
      <c r="D677">
        <v>14.99</v>
      </c>
      <c r="E677">
        <v>14.82</v>
      </c>
      <c r="F677" s="11">
        <v>0.87290000000000001</v>
      </c>
      <c r="G677" t="str">
        <f t="shared" si="32"/>
        <v>Admis</v>
      </c>
      <c r="H677" t="str" cm="1">
        <f t="array" ref="H677">_xlfn.IFS(E677&gt;=16, "Excellent",E677&gt;=14, "Très bien", E677&gt;=12, "Bien", E677&gt;=10, "Passable", E677&lt;10, "Insuffisant")</f>
        <v>Très bien</v>
      </c>
      <c r="I677" s="14" t="str">
        <f t="shared" si="30"/>
        <v>RAS</v>
      </c>
      <c r="J677" s="14" t="str">
        <f t="shared" si="31"/>
        <v>Autre filière</v>
      </c>
      <c r="K677" s="15"/>
      <c r="L677" s="16"/>
    </row>
    <row r="678" spans="1:12">
      <c r="A678" t="s">
        <v>760</v>
      </c>
      <c r="B678" t="s">
        <v>761</v>
      </c>
      <c r="C678" t="s">
        <v>48</v>
      </c>
      <c r="D678">
        <v>11.95</v>
      </c>
      <c r="E678">
        <v>18.920000000000002</v>
      </c>
      <c r="F678" s="11">
        <v>0.70750000000000002</v>
      </c>
      <c r="G678" t="str">
        <f t="shared" si="32"/>
        <v>Admis sous condition</v>
      </c>
      <c r="H678" t="str" cm="1">
        <f t="array" ref="H678">_xlfn.IFS(E678&gt;=16, "Excellent",E678&gt;=14, "Très bien", E678&gt;=12, "Bien", E678&gt;=10, "Passable", E678&lt;10, "Insuffisant")</f>
        <v>Excellent</v>
      </c>
      <c r="I678" s="14" t="str">
        <f t="shared" si="30"/>
        <v>RAS</v>
      </c>
      <c r="J678" s="14" t="str">
        <f t="shared" si="31"/>
        <v>Autre filière</v>
      </c>
      <c r="L678" s="16"/>
    </row>
    <row r="679" spans="1:12">
      <c r="A679" t="s">
        <v>214</v>
      </c>
      <c r="B679" t="s">
        <v>104</v>
      </c>
      <c r="C679" t="s">
        <v>48</v>
      </c>
      <c r="D679">
        <v>12.63</v>
      </c>
      <c r="E679">
        <v>15.87</v>
      </c>
      <c r="F679" s="11">
        <v>0.92549999999999999</v>
      </c>
      <c r="G679" t="str">
        <f t="shared" si="32"/>
        <v>Admis</v>
      </c>
      <c r="H679" t="str" cm="1">
        <f t="array" ref="H679">_xlfn.IFS(E679&gt;=16, "Excellent",E679&gt;=14, "Très bien", E679&gt;=12, "Bien", E679&gt;=10, "Passable", E679&lt;10, "Insuffisant")</f>
        <v>Très bien</v>
      </c>
      <c r="I679" s="14" t="str">
        <f t="shared" si="30"/>
        <v>RAS</v>
      </c>
      <c r="J679" s="14" t="str">
        <f t="shared" si="31"/>
        <v>Autre filière</v>
      </c>
      <c r="L679" s="16"/>
    </row>
    <row r="680" spans="1:12">
      <c r="A680" t="s">
        <v>955</v>
      </c>
      <c r="B680" t="s">
        <v>433</v>
      </c>
      <c r="C680" t="s">
        <v>35</v>
      </c>
      <c r="D680">
        <v>11.28</v>
      </c>
      <c r="E680">
        <v>9.26</v>
      </c>
      <c r="F680" s="11">
        <v>0.91769999999999996</v>
      </c>
      <c r="G680" t="str">
        <f t="shared" si="32"/>
        <v>Refusé</v>
      </c>
      <c r="H680" t="str" cm="1">
        <f t="array" ref="H680">_xlfn.IFS(E680&gt;=16, "Excellent",E680&gt;=14, "Très bien", E680&gt;=12, "Bien", E680&gt;=10, "Passable", E680&lt;10, "Insuffisant")</f>
        <v>Insuffisant</v>
      </c>
      <c r="I680" s="14" t="str">
        <f t="shared" si="30"/>
        <v>A surveiller</v>
      </c>
      <c r="J680" s="14" t="str">
        <f t="shared" si="31"/>
        <v>Autre filière</v>
      </c>
      <c r="L680" s="16"/>
    </row>
    <row r="681" spans="1:12">
      <c r="A681" t="s">
        <v>626</v>
      </c>
      <c r="B681" t="s">
        <v>627</v>
      </c>
      <c r="C681" t="s">
        <v>48</v>
      </c>
      <c r="D681">
        <v>11.45</v>
      </c>
      <c r="E681">
        <v>9.4700000000000006</v>
      </c>
      <c r="F681" s="11">
        <v>0.90229999999999999</v>
      </c>
      <c r="G681" t="str">
        <f t="shared" si="32"/>
        <v>Refusé</v>
      </c>
      <c r="H681" t="str" cm="1">
        <f t="array" ref="H681">_xlfn.IFS(E681&gt;=16, "Excellent",E681&gt;=14, "Très bien", E681&gt;=12, "Bien", E681&gt;=10, "Passable", E681&lt;10, "Insuffisant")</f>
        <v>Insuffisant</v>
      </c>
      <c r="I681" s="14" t="str">
        <f t="shared" si="30"/>
        <v>A surveiller</v>
      </c>
      <c r="J681" s="14" t="str">
        <f t="shared" si="31"/>
        <v>Autre filière</v>
      </c>
      <c r="L681" s="16"/>
    </row>
    <row r="682" spans="1:12">
      <c r="A682" t="s">
        <v>1171</v>
      </c>
      <c r="B682" t="s">
        <v>104</v>
      </c>
      <c r="C682" t="s">
        <v>48</v>
      </c>
      <c r="D682">
        <v>19.899999999999999</v>
      </c>
      <c r="E682">
        <v>12.96</v>
      </c>
      <c r="F682" s="11">
        <v>0.93700000000000006</v>
      </c>
      <c r="G682" t="str">
        <f t="shared" si="32"/>
        <v>Admis</v>
      </c>
      <c r="H682" t="str" cm="1">
        <f t="array" ref="H682">_xlfn.IFS(E682&gt;=16, "Excellent",E682&gt;=14, "Très bien", E682&gt;=12, "Bien", E682&gt;=10, "Passable", E682&lt;10, "Insuffisant")</f>
        <v>Bien</v>
      </c>
      <c r="I682" s="14" t="str">
        <f t="shared" si="30"/>
        <v>RAS</v>
      </c>
      <c r="J682" s="14" t="str">
        <f t="shared" si="31"/>
        <v>Autre filière</v>
      </c>
      <c r="L682" s="16"/>
    </row>
    <row r="683" spans="1:12">
      <c r="A683" t="s">
        <v>472</v>
      </c>
      <c r="B683" t="s">
        <v>98</v>
      </c>
      <c r="C683" t="s">
        <v>22</v>
      </c>
      <c r="D683">
        <v>11.03</v>
      </c>
      <c r="E683">
        <v>7.19</v>
      </c>
      <c r="F683" s="11">
        <v>0.98909999999999998</v>
      </c>
      <c r="G683" t="str">
        <f t="shared" si="32"/>
        <v>Refusé</v>
      </c>
      <c r="H683" t="str" cm="1">
        <f t="array" ref="H683">_xlfn.IFS(E683&gt;=16, "Excellent",E683&gt;=14, "Très bien", E683&gt;=12, "Bien", E683&gt;=10, "Passable", E683&lt;10, "Insuffisant")</f>
        <v>Insuffisant</v>
      </c>
      <c r="I683" s="14" t="str">
        <f t="shared" si="30"/>
        <v>A surveiller</v>
      </c>
      <c r="J683" s="14" t="str">
        <f t="shared" si="31"/>
        <v>Data</v>
      </c>
      <c r="L683" s="16"/>
    </row>
    <row r="684" spans="1:12">
      <c r="A684" t="s">
        <v>385</v>
      </c>
      <c r="B684" t="s">
        <v>386</v>
      </c>
      <c r="C684" t="s">
        <v>48</v>
      </c>
      <c r="D684">
        <v>12.59</v>
      </c>
      <c r="E684">
        <v>14.54</v>
      </c>
      <c r="F684" s="11">
        <v>0.98960000000000004</v>
      </c>
      <c r="G684" t="str">
        <f t="shared" si="32"/>
        <v>Admis</v>
      </c>
      <c r="H684" t="str" cm="1">
        <f t="array" ref="H684">_xlfn.IFS(E684&gt;=16, "Excellent",E684&gt;=14, "Très bien", E684&gt;=12, "Bien", E684&gt;=10, "Passable", E684&lt;10, "Insuffisant")</f>
        <v>Très bien</v>
      </c>
      <c r="I684" s="14" t="str">
        <f t="shared" si="30"/>
        <v>RAS</v>
      </c>
      <c r="J684" s="14" t="str">
        <f t="shared" si="31"/>
        <v>Autre filière</v>
      </c>
      <c r="L684" s="16"/>
    </row>
    <row r="685" spans="1:12">
      <c r="A685" t="s">
        <v>1329</v>
      </c>
      <c r="B685" t="s">
        <v>1330</v>
      </c>
      <c r="C685" t="s">
        <v>35</v>
      </c>
      <c r="D685">
        <v>12.64</v>
      </c>
      <c r="E685">
        <v>13.57</v>
      </c>
      <c r="F685" s="11">
        <v>0.87929999999999997</v>
      </c>
      <c r="G685" t="str">
        <f t="shared" si="32"/>
        <v>Admis</v>
      </c>
      <c r="H685" t="str" cm="1">
        <f t="array" ref="H685">_xlfn.IFS(E685&gt;=16, "Excellent",E685&gt;=14, "Très bien", E685&gt;=12, "Bien", E685&gt;=10, "Passable", E685&lt;10, "Insuffisant")</f>
        <v>Bien</v>
      </c>
      <c r="I685" s="14" t="str">
        <f t="shared" si="30"/>
        <v>RAS</v>
      </c>
      <c r="J685" s="14" t="str">
        <f t="shared" si="31"/>
        <v>Autre filière</v>
      </c>
      <c r="K685" s="15"/>
      <c r="L685" s="16"/>
    </row>
    <row r="686" spans="1:12">
      <c r="A686" t="s">
        <v>536</v>
      </c>
      <c r="B686" t="s">
        <v>444</v>
      </c>
      <c r="C686" t="s">
        <v>35</v>
      </c>
      <c r="D686">
        <v>12.09</v>
      </c>
      <c r="E686">
        <v>12.31</v>
      </c>
      <c r="F686" s="11">
        <v>0.77869999999999995</v>
      </c>
      <c r="G686" t="str">
        <f t="shared" si="32"/>
        <v>Admis sous condition</v>
      </c>
      <c r="H686" t="str" cm="1">
        <f t="array" ref="H686">_xlfn.IFS(E686&gt;=16, "Excellent",E686&gt;=14, "Très bien", E686&gt;=12, "Bien", E686&gt;=10, "Passable", E686&lt;10, "Insuffisant")</f>
        <v>Bien</v>
      </c>
      <c r="I686" s="14" t="str">
        <f t="shared" si="30"/>
        <v>RAS</v>
      </c>
      <c r="J686" s="14" t="str">
        <f t="shared" si="31"/>
        <v>Autre filière</v>
      </c>
      <c r="L686" s="16"/>
    </row>
    <row r="687" spans="1:12">
      <c r="A687" t="s">
        <v>401</v>
      </c>
      <c r="B687" t="s">
        <v>331</v>
      </c>
      <c r="C687" t="s">
        <v>48</v>
      </c>
      <c r="D687">
        <v>14.2</v>
      </c>
      <c r="E687">
        <v>18.41</v>
      </c>
      <c r="F687" s="11">
        <v>0.71450000000000002</v>
      </c>
      <c r="G687" t="str">
        <f t="shared" si="32"/>
        <v>Admis sous condition</v>
      </c>
      <c r="H687" t="str" cm="1">
        <f t="array" ref="H687">_xlfn.IFS(E687&gt;=16, "Excellent",E687&gt;=14, "Très bien", E687&gt;=12, "Bien", E687&gt;=10, "Passable", E687&lt;10, "Insuffisant")</f>
        <v>Excellent</v>
      </c>
      <c r="I687" s="14" t="str">
        <f t="shared" si="30"/>
        <v>RAS</v>
      </c>
      <c r="J687" s="14" t="str">
        <f t="shared" si="31"/>
        <v>Autre filière</v>
      </c>
      <c r="L687" s="16"/>
    </row>
    <row r="688" spans="1:12">
      <c r="A688" t="s">
        <v>1274</v>
      </c>
      <c r="B688" t="s">
        <v>415</v>
      </c>
      <c r="C688" t="s">
        <v>22</v>
      </c>
      <c r="D688">
        <v>10.4</v>
      </c>
      <c r="E688">
        <v>14.09</v>
      </c>
      <c r="F688" s="11">
        <v>0.82010000000000005</v>
      </c>
      <c r="G688" t="str">
        <f t="shared" si="32"/>
        <v>Admis sous condition</v>
      </c>
      <c r="H688" t="str" cm="1">
        <f t="array" ref="H688">_xlfn.IFS(E688&gt;=16, "Excellent",E688&gt;=14, "Très bien", E688&gt;=12, "Bien", E688&gt;=10, "Passable", E688&lt;10, "Insuffisant")</f>
        <v>Très bien</v>
      </c>
      <c r="I688" s="14" t="str">
        <f t="shared" si="30"/>
        <v>RAS</v>
      </c>
      <c r="J688" s="14" t="str">
        <f t="shared" si="31"/>
        <v>Data</v>
      </c>
      <c r="K688" s="15"/>
      <c r="L688" s="16"/>
    </row>
    <row r="689" spans="1:12">
      <c r="A689" t="s">
        <v>463</v>
      </c>
      <c r="B689" t="s">
        <v>464</v>
      </c>
      <c r="C689" t="s">
        <v>22</v>
      </c>
      <c r="D689">
        <v>14.54</v>
      </c>
      <c r="E689">
        <v>12.17</v>
      </c>
      <c r="F689" s="11">
        <v>0.83850000000000002</v>
      </c>
      <c r="G689" t="str">
        <f t="shared" si="32"/>
        <v>Admis</v>
      </c>
      <c r="H689" t="str" cm="1">
        <f t="array" ref="H689">_xlfn.IFS(E689&gt;=16, "Excellent",E689&gt;=14, "Très bien", E689&gt;=12, "Bien", E689&gt;=10, "Passable", E689&lt;10, "Insuffisant")</f>
        <v>Bien</v>
      </c>
      <c r="I689" s="14" t="str">
        <f t="shared" si="30"/>
        <v>RAS</v>
      </c>
      <c r="J689" s="14" t="str">
        <f t="shared" si="31"/>
        <v>Data</v>
      </c>
      <c r="K689" s="15"/>
      <c r="L689" s="16"/>
    </row>
    <row r="690" spans="1:12">
      <c r="A690" t="s">
        <v>491</v>
      </c>
      <c r="B690" t="s">
        <v>492</v>
      </c>
      <c r="C690" t="s">
        <v>27</v>
      </c>
      <c r="D690">
        <v>9.1999999999999993</v>
      </c>
      <c r="E690">
        <v>12.24</v>
      </c>
      <c r="F690" s="11">
        <v>0.82589999999999997</v>
      </c>
      <c r="G690" t="str">
        <f t="shared" si="32"/>
        <v>Refusé</v>
      </c>
      <c r="H690" t="str" cm="1">
        <f t="array" ref="H690">_xlfn.IFS(E690&gt;=16, "Excellent",E690&gt;=14, "Très bien", E690&gt;=12, "Bien", E690&gt;=10, "Passable", E690&lt;10, "Insuffisant")</f>
        <v>Bien</v>
      </c>
      <c r="I690" s="14" t="str">
        <f t="shared" si="30"/>
        <v>A surveiller</v>
      </c>
      <c r="J690" s="14" t="str">
        <f t="shared" si="31"/>
        <v>Autre filière</v>
      </c>
      <c r="K690" s="15"/>
      <c r="L690" s="16"/>
    </row>
    <row r="691" spans="1:12">
      <c r="A691" t="s">
        <v>201</v>
      </c>
      <c r="B691" t="s">
        <v>202</v>
      </c>
      <c r="C691" t="s">
        <v>48</v>
      </c>
      <c r="D691">
        <v>15.45</v>
      </c>
      <c r="E691">
        <v>11.24</v>
      </c>
      <c r="F691" s="11">
        <v>0.89300000000000002</v>
      </c>
      <c r="G691" t="str">
        <f t="shared" si="32"/>
        <v>Admis sous condition</v>
      </c>
      <c r="H691" t="str" cm="1">
        <f t="array" ref="H691">_xlfn.IFS(E691&gt;=16, "Excellent",E691&gt;=14, "Très bien", E691&gt;=12, "Bien", E691&gt;=10, "Passable", E691&lt;10, "Insuffisant")</f>
        <v>Passable</v>
      </c>
      <c r="I691" s="14" t="str">
        <f t="shared" si="30"/>
        <v>RAS</v>
      </c>
      <c r="J691" s="14" t="str">
        <f t="shared" si="31"/>
        <v>Autre filière</v>
      </c>
      <c r="K691" s="15"/>
      <c r="L691" s="16"/>
    </row>
    <row r="692" spans="1:12">
      <c r="A692" t="s">
        <v>1327</v>
      </c>
      <c r="B692" t="s">
        <v>632</v>
      </c>
      <c r="C692" t="s">
        <v>27</v>
      </c>
      <c r="D692">
        <v>8.43</v>
      </c>
      <c r="E692">
        <v>11.72</v>
      </c>
      <c r="F692" s="11">
        <v>0.6804</v>
      </c>
      <c r="G692" t="str">
        <f t="shared" si="32"/>
        <v>Refusé</v>
      </c>
      <c r="H692" t="str" cm="1">
        <f t="array" ref="H692">_xlfn.IFS(E692&gt;=16, "Excellent",E692&gt;=14, "Très bien", E692&gt;=12, "Bien", E692&gt;=10, "Passable", E692&lt;10, "Insuffisant")</f>
        <v>Passable</v>
      </c>
      <c r="I692" s="14" t="str">
        <f t="shared" si="30"/>
        <v>A surveiller</v>
      </c>
      <c r="J692" s="14" t="str">
        <f t="shared" si="31"/>
        <v>Autre filière</v>
      </c>
      <c r="L692" s="16"/>
    </row>
    <row r="693" spans="1:12">
      <c r="A693" t="s">
        <v>1227</v>
      </c>
      <c r="B693" t="s">
        <v>623</v>
      </c>
      <c r="C693" t="s">
        <v>35</v>
      </c>
      <c r="D693">
        <v>12.27</v>
      </c>
      <c r="E693">
        <v>17.75</v>
      </c>
      <c r="F693" s="11">
        <v>0.78939999999999999</v>
      </c>
      <c r="G693" t="str">
        <f t="shared" si="32"/>
        <v>Admis sous condition</v>
      </c>
      <c r="H693" t="str" cm="1">
        <f t="array" ref="H693">_xlfn.IFS(E693&gt;=16, "Excellent",E693&gt;=14, "Très bien", E693&gt;=12, "Bien", E693&gt;=10, "Passable", E693&lt;10, "Insuffisant")</f>
        <v>Excellent</v>
      </c>
      <c r="I693" s="14" t="str">
        <f t="shared" si="30"/>
        <v>RAS</v>
      </c>
      <c r="J693" s="14" t="str">
        <f t="shared" si="31"/>
        <v>Autre filière</v>
      </c>
      <c r="L693" s="16"/>
    </row>
    <row r="694" spans="1:12">
      <c r="A694" t="s">
        <v>1084</v>
      </c>
      <c r="B694" t="s">
        <v>1036</v>
      </c>
      <c r="C694" t="s">
        <v>35</v>
      </c>
      <c r="D694">
        <v>15.57</v>
      </c>
      <c r="E694">
        <v>13.49</v>
      </c>
      <c r="F694" s="11">
        <v>0.99560000000000004</v>
      </c>
      <c r="G694" t="str">
        <f t="shared" si="32"/>
        <v>Admis</v>
      </c>
      <c r="H694" t="str" cm="1">
        <f t="array" ref="H694">_xlfn.IFS(E694&gt;=16, "Excellent",E694&gt;=14, "Très bien", E694&gt;=12, "Bien", E694&gt;=10, "Passable", E694&lt;10, "Insuffisant")</f>
        <v>Bien</v>
      </c>
      <c r="I694" s="14" t="str">
        <f t="shared" si="30"/>
        <v>RAS</v>
      </c>
      <c r="J694" s="14" t="str">
        <f t="shared" si="31"/>
        <v>Autre filière</v>
      </c>
      <c r="L694" s="16"/>
    </row>
    <row r="695" spans="1:12">
      <c r="A695" t="s">
        <v>322</v>
      </c>
      <c r="B695" t="s">
        <v>323</v>
      </c>
      <c r="C695" t="s">
        <v>22</v>
      </c>
      <c r="D695">
        <v>11.54</v>
      </c>
      <c r="E695">
        <v>8.76</v>
      </c>
      <c r="F695" s="11">
        <v>0.86670000000000003</v>
      </c>
      <c r="G695" t="str">
        <f t="shared" si="32"/>
        <v>Refusé</v>
      </c>
      <c r="H695" t="str" cm="1">
        <f t="array" ref="H695">_xlfn.IFS(E695&gt;=16, "Excellent",E695&gt;=14, "Très bien", E695&gt;=12, "Bien", E695&gt;=10, "Passable", E695&lt;10, "Insuffisant")</f>
        <v>Insuffisant</v>
      </c>
      <c r="I695" s="14" t="str">
        <f t="shared" si="30"/>
        <v>A surveiller</v>
      </c>
      <c r="J695" s="14" t="str">
        <f t="shared" si="31"/>
        <v>Data</v>
      </c>
      <c r="K695" s="15"/>
      <c r="L695" s="16"/>
    </row>
    <row r="696" spans="1:12">
      <c r="A696" t="s">
        <v>228</v>
      </c>
      <c r="B696" t="s">
        <v>229</v>
      </c>
      <c r="C696" t="s">
        <v>27</v>
      </c>
      <c r="D696">
        <v>12.34</v>
      </c>
      <c r="E696">
        <v>9.73</v>
      </c>
      <c r="F696" s="11">
        <v>0.79859999999999998</v>
      </c>
      <c r="G696" t="str">
        <f t="shared" si="32"/>
        <v>Refusé</v>
      </c>
      <c r="H696" t="str" cm="1">
        <f t="array" ref="H696">_xlfn.IFS(E696&gt;=16, "Excellent",E696&gt;=14, "Très bien", E696&gt;=12, "Bien", E696&gt;=10, "Passable", E696&lt;10, "Insuffisant")</f>
        <v>Insuffisant</v>
      </c>
      <c r="I696" s="14" t="str">
        <f t="shared" si="30"/>
        <v>A surveiller</v>
      </c>
      <c r="J696" s="14" t="str">
        <f t="shared" si="31"/>
        <v>Autre filière</v>
      </c>
      <c r="L696" s="16"/>
    </row>
    <row r="697" spans="1:12">
      <c r="A697" t="s">
        <v>1334</v>
      </c>
      <c r="B697" t="s">
        <v>29</v>
      </c>
      <c r="C697" t="s">
        <v>35</v>
      </c>
      <c r="D697">
        <v>9.0299999999999994</v>
      </c>
      <c r="E697">
        <v>12.52</v>
      </c>
      <c r="F697" s="11">
        <v>0.87109999999999999</v>
      </c>
      <c r="G697" t="str">
        <f t="shared" si="32"/>
        <v>Refusé</v>
      </c>
      <c r="H697" t="str" cm="1">
        <f t="array" ref="H697">_xlfn.IFS(E697&gt;=16, "Excellent",E697&gt;=14, "Très bien", E697&gt;=12, "Bien", E697&gt;=10, "Passable", E697&lt;10, "Insuffisant")</f>
        <v>Bien</v>
      </c>
      <c r="I697" s="14" t="str">
        <f t="shared" si="30"/>
        <v>A surveiller</v>
      </c>
      <c r="J697" s="14" t="str">
        <f t="shared" si="31"/>
        <v>Autre filière</v>
      </c>
      <c r="K697" s="15"/>
      <c r="L697" s="16"/>
    </row>
    <row r="698" spans="1:12">
      <c r="A698" t="s">
        <v>934</v>
      </c>
      <c r="B698" t="s">
        <v>370</v>
      </c>
      <c r="C698" t="s">
        <v>48</v>
      </c>
      <c r="D698">
        <v>8.15</v>
      </c>
      <c r="E698">
        <v>13.92</v>
      </c>
      <c r="F698" s="11">
        <v>0.95050000000000001</v>
      </c>
      <c r="G698" t="str">
        <f t="shared" si="32"/>
        <v>Refusé</v>
      </c>
      <c r="H698" t="str" cm="1">
        <f t="array" ref="H698">_xlfn.IFS(E698&gt;=16, "Excellent",E698&gt;=14, "Très bien", E698&gt;=12, "Bien", E698&gt;=10, "Passable", E698&lt;10, "Insuffisant")</f>
        <v>Bien</v>
      </c>
      <c r="I698" s="14" t="str">
        <f t="shared" si="30"/>
        <v>A surveiller</v>
      </c>
      <c r="J698" s="14" t="str">
        <f t="shared" si="31"/>
        <v>Autre filière</v>
      </c>
      <c r="L698" s="16"/>
    </row>
    <row r="699" spans="1:12">
      <c r="A699" t="s">
        <v>51</v>
      </c>
      <c r="B699" t="s">
        <v>52</v>
      </c>
      <c r="C699" t="s">
        <v>22</v>
      </c>
      <c r="D699">
        <v>11.19</v>
      </c>
      <c r="E699">
        <v>8.2100000000000009</v>
      </c>
      <c r="F699" s="11">
        <v>0.9133</v>
      </c>
      <c r="G699" t="str">
        <f t="shared" si="32"/>
        <v>Refusé</v>
      </c>
      <c r="H699" t="str" cm="1">
        <f t="array" ref="H699">_xlfn.IFS(E699&gt;=16, "Excellent",E699&gt;=14, "Très bien", E699&gt;=12, "Bien", E699&gt;=10, "Passable", E699&lt;10, "Insuffisant")</f>
        <v>Insuffisant</v>
      </c>
      <c r="I699" s="14" t="str">
        <f t="shared" si="30"/>
        <v>A surveiller</v>
      </c>
      <c r="J699" s="14" t="str">
        <f t="shared" si="31"/>
        <v>Data</v>
      </c>
      <c r="L699" s="16"/>
    </row>
    <row r="700" spans="1:12">
      <c r="A700" t="s">
        <v>1129</v>
      </c>
      <c r="B700" t="s">
        <v>251</v>
      </c>
      <c r="C700" t="s">
        <v>27</v>
      </c>
      <c r="D700">
        <v>8.94</v>
      </c>
      <c r="E700">
        <v>13.6</v>
      </c>
      <c r="F700" s="11">
        <v>0.92020000000000002</v>
      </c>
      <c r="G700" t="str">
        <f t="shared" si="32"/>
        <v>Refusé</v>
      </c>
      <c r="H700" t="str" cm="1">
        <f t="array" ref="H700">_xlfn.IFS(E700&gt;=16, "Excellent",E700&gt;=14, "Très bien", E700&gt;=12, "Bien", E700&gt;=10, "Passable", E700&lt;10, "Insuffisant")</f>
        <v>Bien</v>
      </c>
      <c r="I700" s="14" t="str">
        <f t="shared" si="30"/>
        <v>A surveiller</v>
      </c>
      <c r="J700" s="14" t="str">
        <f t="shared" si="31"/>
        <v>Autre filière</v>
      </c>
      <c r="L700" s="16"/>
    </row>
    <row r="701" spans="1:12">
      <c r="A701" t="s">
        <v>1097</v>
      </c>
      <c r="B701" t="s">
        <v>1098</v>
      </c>
      <c r="C701" t="s">
        <v>27</v>
      </c>
      <c r="D701">
        <v>14.4</v>
      </c>
      <c r="E701">
        <v>11.3</v>
      </c>
      <c r="F701" s="11">
        <v>0.67949999999999999</v>
      </c>
      <c r="G701" t="str">
        <f t="shared" si="32"/>
        <v>Admis sous condition</v>
      </c>
      <c r="H701" t="str" cm="1">
        <f t="array" ref="H701">_xlfn.IFS(E701&gt;=16, "Excellent",E701&gt;=14, "Très bien", E701&gt;=12, "Bien", E701&gt;=10, "Passable", E701&lt;10, "Insuffisant")</f>
        <v>Passable</v>
      </c>
      <c r="I701" s="14" t="str">
        <f t="shared" si="30"/>
        <v>A surveiller</v>
      </c>
      <c r="J701" s="14" t="str">
        <f t="shared" si="31"/>
        <v>Autre filière</v>
      </c>
      <c r="L701" s="16"/>
    </row>
    <row r="702" spans="1:12">
      <c r="A702" t="s">
        <v>856</v>
      </c>
      <c r="B702" t="s">
        <v>699</v>
      </c>
      <c r="C702" t="s">
        <v>48</v>
      </c>
      <c r="D702">
        <v>18.190000000000001</v>
      </c>
      <c r="E702">
        <v>15.52</v>
      </c>
      <c r="F702" s="11">
        <v>0.86670000000000003</v>
      </c>
      <c r="G702" t="str">
        <f t="shared" si="32"/>
        <v>Admis</v>
      </c>
      <c r="H702" t="str" cm="1">
        <f t="array" ref="H702">_xlfn.IFS(E702&gt;=16, "Excellent",E702&gt;=14, "Très bien", E702&gt;=12, "Bien", E702&gt;=10, "Passable", E702&lt;10, "Insuffisant")</f>
        <v>Très bien</v>
      </c>
      <c r="I702" s="14" t="str">
        <f t="shared" si="30"/>
        <v>RAS</v>
      </c>
      <c r="J702" s="14" t="str">
        <f t="shared" si="31"/>
        <v>Autre filière</v>
      </c>
      <c r="K702" s="15"/>
      <c r="L702" s="16"/>
    </row>
    <row r="703" spans="1:12">
      <c r="A703" t="s">
        <v>330</v>
      </c>
      <c r="B703" t="s">
        <v>331</v>
      </c>
      <c r="C703" t="s">
        <v>48</v>
      </c>
      <c r="D703">
        <v>18.61</v>
      </c>
      <c r="E703">
        <v>14.29</v>
      </c>
      <c r="F703" s="11">
        <v>0.90839999999999999</v>
      </c>
      <c r="G703" t="str">
        <f t="shared" si="32"/>
        <v>Admis</v>
      </c>
      <c r="H703" t="str" cm="1">
        <f t="array" ref="H703">_xlfn.IFS(E703&gt;=16, "Excellent",E703&gt;=14, "Très bien", E703&gt;=12, "Bien", E703&gt;=10, "Passable", E703&lt;10, "Insuffisant")</f>
        <v>Très bien</v>
      </c>
      <c r="I703" s="14" t="str">
        <f t="shared" si="30"/>
        <v>RAS</v>
      </c>
      <c r="J703" s="14" t="str">
        <f t="shared" si="31"/>
        <v>Autre filière</v>
      </c>
      <c r="L703" s="16"/>
    </row>
    <row r="704" spans="1:12">
      <c r="A704" t="s">
        <v>916</v>
      </c>
      <c r="B704" t="s">
        <v>653</v>
      </c>
      <c r="C704" t="s">
        <v>27</v>
      </c>
      <c r="D704">
        <v>8.42</v>
      </c>
      <c r="E704">
        <v>12.96</v>
      </c>
      <c r="F704" s="11">
        <v>0.75800000000000001</v>
      </c>
      <c r="G704" t="str">
        <f t="shared" si="32"/>
        <v>Refusé</v>
      </c>
      <c r="H704" t="str" cm="1">
        <f t="array" ref="H704">_xlfn.IFS(E704&gt;=16, "Excellent",E704&gt;=14, "Très bien", E704&gt;=12, "Bien", E704&gt;=10, "Passable", E704&lt;10, "Insuffisant")</f>
        <v>Bien</v>
      </c>
      <c r="I704" s="14" t="str">
        <f t="shared" si="30"/>
        <v>A surveiller</v>
      </c>
      <c r="J704" s="14" t="str">
        <f t="shared" si="31"/>
        <v>Autre filière</v>
      </c>
      <c r="L704" s="16"/>
    </row>
    <row r="705" spans="1:12">
      <c r="A705" t="s">
        <v>179</v>
      </c>
      <c r="B705" t="s">
        <v>180</v>
      </c>
      <c r="C705" t="s">
        <v>48</v>
      </c>
      <c r="D705">
        <v>9.67</v>
      </c>
      <c r="E705">
        <v>11.74</v>
      </c>
      <c r="F705" s="11">
        <v>0.87749999999999995</v>
      </c>
      <c r="G705" t="str">
        <f t="shared" si="32"/>
        <v>Refusé</v>
      </c>
      <c r="H705" t="str" cm="1">
        <f t="array" ref="H705">_xlfn.IFS(E705&gt;=16, "Excellent",E705&gt;=14, "Très bien", E705&gt;=12, "Bien", E705&gt;=10, "Passable", E705&lt;10, "Insuffisant")</f>
        <v>Passable</v>
      </c>
      <c r="I705" s="14" t="str">
        <f t="shared" si="30"/>
        <v>A surveiller</v>
      </c>
      <c r="J705" s="14" t="str">
        <f t="shared" si="31"/>
        <v>Autre filière</v>
      </c>
      <c r="K705" s="15"/>
      <c r="L705" s="16"/>
    </row>
    <row r="706" spans="1:12">
      <c r="A706" t="s">
        <v>866</v>
      </c>
      <c r="B706" t="s">
        <v>329</v>
      </c>
      <c r="C706" t="s">
        <v>22</v>
      </c>
      <c r="D706">
        <v>13.96</v>
      </c>
      <c r="E706">
        <v>10.29</v>
      </c>
      <c r="F706" s="11">
        <v>0.91439999999999999</v>
      </c>
      <c r="G706" t="str">
        <f t="shared" si="32"/>
        <v>Admis sous condition</v>
      </c>
      <c r="H706" t="str" cm="1">
        <f t="array" ref="H706">_xlfn.IFS(E706&gt;=16, "Excellent",E706&gt;=14, "Très bien", E706&gt;=12, "Bien", E706&gt;=10, "Passable", E706&lt;10, "Insuffisant")</f>
        <v>Passable</v>
      </c>
      <c r="I706" s="14" t="str">
        <f t="shared" si="30"/>
        <v>RAS</v>
      </c>
      <c r="J706" s="14" t="str">
        <f t="shared" si="31"/>
        <v>Data</v>
      </c>
      <c r="L706" s="16"/>
    </row>
    <row r="707" spans="1:12">
      <c r="A707" t="s">
        <v>190</v>
      </c>
      <c r="B707" t="s">
        <v>191</v>
      </c>
      <c r="C707" t="s">
        <v>35</v>
      </c>
      <c r="D707">
        <v>16.07</v>
      </c>
      <c r="E707">
        <v>6.56</v>
      </c>
      <c r="F707" s="11">
        <v>0.84530000000000005</v>
      </c>
      <c r="G707" t="str">
        <f t="shared" si="32"/>
        <v>Refusé</v>
      </c>
      <c r="H707" t="str" cm="1">
        <f t="array" ref="H707">_xlfn.IFS(E707&gt;=16, "Excellent",E707&gt;=14, "Très bien", E707&gt;=12, "Bien", E707&gt;=10, "Passable", E707&lt;10, "Insuffisant")</f>
        <v>Insuffisant</v>
      </c>
      <c r="I707" s="14" t="str">
        <f t="shared" ref="I707:I770" si="33">IF(OR(D707&lt;10,E707&lt;10,F707&lt;70%), "A surveiller", "RAS")</f>
        <v>A surveiller</v>
      </c>
      <c r="J707" s="14" t="str">
        <f t="shared" ref="J707:J770" si="34">IF(NOT(C707="Data"), "Autre filière", "Data")</f>
        <v>Autre filière</v>
      </c>
      <c r="K707" s="15"/>
      <c r="L707" s="16"/>
    </row>
    <row r="708" spans="1:12">
      <c r="A708" t="s">
        <v>293</v>
      </c>
      <c r="B708" t="s">
        <v>144</v>
      </c>
      <c r="C708" t="s">
        <v>27</v>
      </c>
      <c r="D708">
        <v>11.19</v>
      </c>
      <c r="E708">
        <v>11.25</v>
      </c>
      <c r="F708" s="11">
        <v>0.91400000000000003</v>
      </c>
      <c r="G708" t="str">
        <f t="shared" si="32"/>
        <v>Admis sous condition</v>
      </c>
      <c r="H708" t="str" cm="1">
        <f t="array" ref="H708">_xlfn.IFS(E708&gt;=16, "Excellent",E708&gt;=14, "Très bien", E708&gt;=12, "Bien", E708&gt;=10, "Passable", E708&lt;10, "Insuffisant")</f>
        <v>Passable</v>
      </c>
      <c r="I708" s="14" t="str">
        <f t="shared" si="33"/>
        <v>RAS</v>
      </c>
      <c r="J708" s="14" t="str">
        <f t="shared" si="34"/>
        <v>Autre filière</v>
      </c>
      <c r="L708" s="16"/>
    </row>
    <row r="709" spans="1:12">
      <c r="A709" t="s">
        <v>1195</v>
      </c>
      <c r="B709" t="s">
        <v>77</v>
      </c>
      <c r="C709" t="s">
        <v>27</v>
      </c>
      <c r="D709">
        <v>13.81</v>
      </c>
      <c r="E709">
        <v>13.06</v>
      </c>
      <c r="F709" s="11">
        <v>0.81459999999999999</v>
      </c>
      <c r="G709" t="str">
        <f t="shared" si="32"/>
        <v>Admis</v>
      </c>
      <c r="H709" t="str" cm="1">
        <f t="array" ref="H709">_xlfn.IFS(E709&gt;=16, "Excellent",E709&gt;=14, "Très bien", E709&gt;=12, "Bien", E709&gt;=10, "Passable", E709&lt;10, "Insuffisant")</f>
        <v>Bien</v>
      </c>
      <c r="I709" s="14" t="str">
        <f t="shared" si="33"/>
        <v>RAS</v>
      </c>
      <c r="J709" s="14" t="str">
        <f t="shared" si="34"/>
        <v>Autre filière</v>
      </c>
      <c r="K709" s="15"/>
      <c r="L709" s="16"/>
    </row>
    <row r="710" spans="1:12">
      <c r="A710" t="s">
        <v>574</v>
      </c>
      <c r="B710" t="s">
        <v>575</v>
      </c>
      <c r="C710" t="s">
        <v>48</v>
      </c>
      <c r="D710">
        <v>15.26</v>
      </c>
      <c r="E710">
        <v>13.02</v>
      </c>
      <c r="F710" s="11">
        <v>0.73309999999999997</v>
      </c>
      <c r="G710" t="str">
        <f t="shared" si="32"/>
        <v>Admis sous condition</v>
      </c>
      <c r="H710" t="str" cm="1">
        <f t="array" ref="H710">_xlfn.IFS(E710&gt;=16, "Excellent",E710&gt;=14, "Très bien", E710&gt;=12, "Bien", E710&gt;=10, "Passable", E710&lt;10, "Insuffisant")</f>
        <v>Bien</v>
      </c>
      <c r="I710" s="14" t="str">
        <f t="shared" si="33"/>
        <v>RAS</v>
      </c>
      <c r="J710" s="14" t="str">
        <f t="shared" si="34"/>
        <v>Autre filière</v>
      </c>
      <c r="L710" s="16"/>
    </row>
    <row r="711" spans="1:12">
      <c r="A711" t="s">
        <v>277</v>
      </c>
      <c r="B711" t="s">
        <v>278</v>
      </c>
      <c r="C711" t="s">
        <v>22</v>
      </c>
      <c r="D711">
        <v>16</v>
      </c>
      <c r="E711">
        <v>16.79</v>
      </c>
      <c r="F711" s="11">
        <v>0.94479999999999997</v>
      </c>
      <c r="G711" t="str">
        <f t="shared" si="32"/>
        <v>Admis</v>
      </c>
      <c r="H711" t="str" cm="1">
        <f t="array" ref="H711">_xlfn.IFS(E711&gt;=16, "Excellent",E711&gt;=14, "Très bien", E711&gt;=12, "Bien", E711&gt;=10, "Passable", E711&lt;10, "Insuffisant")</f>
        <v>Excellent</v>
      </c>
      <c r="I711" s="14" t="str">
        <f t="shared" si="33"/>
        <v>RAS</v>
      </c>
      <c r="J711" s="14" t="str">
        <f t="shared" si="34"/>
        <v>Data</v>
      </c>
      <c r="L711" s="16"/>
    </row>
    <row r="712" spans="1:12">
      <c r="A712" t="s">
        <v>1019</v>
      </c>
      <c r="B712" t="s">
        <v>975</v>
      </c>
      <c r="C712" t="s">
        <v>22</v>
      </c>
      <c r="D712">
        <v>11.69</v>
      </c>
      <c r="E712">
        <v>14.87</v>
      </c>
      <c r="F712" s="11">
        <v>0.90649999999999997</v>
      </c>
      <c r="G712" t="str">
        <f t="shared" si="32"/>
        <v>Admis sous condition</v>
      </c>
      <c r="H712" t="str" cm="1">
        <f t="array" ref="H712">_xlfn.IFS(E712&gt;=16, "Excellent",E712&gt;=14, "Très bien", E712&gt;=12, "Bien", E712&gt;=10, "Passable", E712&lt;10, "Insuffisant")</f>
        <v>Très bien</v>
      </c>
      <c r="I712" s="14" t="str">
        <f t="shared" si="33"/>
        <v>RAS</v>
      </c>
      <c r="J712" s="14" t="str">
        <f t="shared" si="34"/>
        <v>Data</v>
      </c>
      <c r="L712" s="16"/>
    </row>
    <row r="713" spans="1:12">
      <c r="A713" t="s">
        <v>920</v>
      </c>
      <c r="B713" t="s">
        <v>697</v>
      </c>
      <c r="C713" t="s">
        <v>22</v>
      </c>
      <c r="D713">
        <v>18.420000000000002</v>
      </c>
      <c r="E713">
        <v>17.2</v>
      </c>
      <c r="F713" s="11">
        <v>0.55000000000000004</v>
      </c>
      <c r="G713" t="str">
        <f t="shared" si="32"/>
        <v>Admis sous condition</v>
      </c>
      <c r="H713" t="str" cm="1">
        <f t="array" ref="H713">_xlfn.IFS(E713&gt;=16, "Excellent",E713&gt;=14, "Très bien", E713&gt;=12, "Bien", E713&gt;=10, "Passable", E713&lt;10, "Insuffisant")</f>
        <v>Excellent</v>
      </c>
      <c r="I713" s="14" t="str">
        <f t="shared" si="33"/>
        <v>A surveiller</v>
      </c>
      <c r="J713" s="14" t="str">
        <f t="shared" si="34"/>
        <v>Data</v>
      </c>
      <c r="L713" s="16"/>
    </row>
    <row r="714" spans="1:12">
      <c r="A714" t="s">
        <v>1216</v>
      </c>
      <c r="B714" t="s">
        <v>1034</v>
      </c>
      <c r="C714" t="s">
        <v>22</v>
      </c>
      <c r="D714">
        <v>13.13</v>
      </c>
      <c r="E714">
        <v>15.82</v>
      </c>
      <c r="F714" s="11">
        <v>0.76170000000000004</v>
      </c>
      <c r="G714" t="str">
        <f t="shared" si="32"/>
        <v>Admis sous condition</v>
      </c>
      <c r="H714" t="str" cm="1">
        <f t="array" ref="H714">_xlfn.IFS(E714&gt;=16, "Excellent",E714&gt;=14, "Très bien", E714&gt;=12, "Bien", E714&gt;=10, "Passable", E714&lt;10, "Insuffisant")</f>
        <v>Très bien</v>
      </c>
      <c r="I714" s="14" t="str">
        <f t="shared" si="33"/>
        <v>RAS</v>
      </c>
      <c r="J714" s="14" t="str">
        <f t="shared" si="34"/>
        <v>Data</v>
      </c>
      <c r="L714" s="16"/>
    </row>
    <row r="715" spans="1:12">
      <c r="A715" t="s">
        <v>403</v>
      </c>
      <c r="B715" t="s">
        <v>404</v>
      </c>
      <c r="C715" t="s">
        <v>22</v>
      </c>
      <c r="D715">
        <v>13.73</v>
      </c>
      <c r="E715">
        <v>17.62</v>
      </c>
      <c r="F715" s="11">
        <v>0.76500000000000001</v>
      </c>
      <c r="G715" t="str">
        <f t="shared" si="32"/>
        <v>Admis sous condition</v>
      </c>
      <c r="H715" t="str" cm="1">
        <f t="array" ref="H715">_xlfn.IFS(E715&gt;=16, "Excellent",E715&gt;=14, "Très bien", E715&gt;=12, "Bien", E715&gt;=10, "Passable", E715&lt;10, "Insuffisant")</f>
        <v>Excellent</v>
      </c>
      <c r="I715" s="14" t="str">
        <f t="shared" si="33"/>
        <v>RAS</v>
      </c>
      <c r="J715" s="14" t="str">
        <f t="shared" si="34"/>
        <v>Data</v>
      </c>
      <c r="L715" s="16"/>
    </row>
    <row r="716" spans="1:12">
      <c r="A716" t="s">
        <v>666</v>
      </c>
      <c r="B716" t="s">
        <v>667</v>
      </c>
      <c r="C716" t="s">
        <v>27</v>
      </c>
      <c r="D716">
        <v>9.51</v>
      </c>
      <c r="E716">
        <v>8.35</v>
      </c>
      <c r="F716" s="11">
        <v>0.66739999999999999</v>
      </c>
      <c r="G716" t="str">
        <f t="shared" si="32"/>
        <v>Refusé</v>
      </c>
      <c r="H716" t="str" cm="1">
        <f t="array" ref="H716">_xlfn.IFS(E716&gt;=16, "Excellent",E716&gt;=14, "Très bien", E716&gt;=12, "Bien", E716&gt;=10, "Passable", E716&lt;10, "Insuffisant")</f>
        <v>Insuffisant</v>
      </c>
      <c r="I716" s="14" t="str">
        <f t="shared" si="33"/>
        <v>A surveiller</v>
      </c>
      <c r="J716" s="14" t="str">
        <f t="shared" si="34"/>
        <v>Autre filière</v>
      </c>
      <c r="L716" s="16"/>
    </row>
    <row r="717" spans="1:12">
      <c r="A717" t="s">
        <v>1174</v>
      </c>
      <c r="B717" t="s">
        <v>274</v>
      </c>
      <c r="C717" t="s">
        <v>48</v>
      </c>
      <c r="D717">
        <v>10.63</v>
      </c>
      <c r="E717">
        <v>7.39</v>
      </c>
      <c r="F717" s="11">
        <v>0.99750000000000005</v>
      </c>
      <c r="G717" t="str">
        <f t="shared" ref="G717:G780" si="35">IF(AND(D717&gt;=12,E717&gt;=12,F717&gt;=80%),"Admis",IF(AND(D717&gt;=10,E717&gt;=10),"Admis sous condition","Refusé"))</f>
        <v>Refusé</v>
      </c>
      <c r="H717" t="str" cm="1">
        <f t="array" ref="H717">_xlfn.IFS(E717&gt;=16, "Excellent",E717&gt;=14, "Très bien", E717&gt;=12, "Bien", E717&gt;=10, "Passable", E717&lt;10, "Insuffisant")</f>
        <v>Insuffisant</v>
      </c>
      <c r="I717" s="14" t="str">
        <f t="shared" si="33"/>
        <v>A surveiller</v>
      </c>
      <c r="J717" s="14" t="str">
        <f t="shared" si="34"/>
        <v>Autre filière</v>
      </c>
      <c r="L717" s="16"/>
    </row>
    <row r="718" spans="1:12">
      <c r="A718" t="s">
        <v>709</v>
      </c>
      <c r="B718" t="s">
        <v>710</v>
      </c>
      <c r="C718" t="s">
        <v>27</v>
      </c>
      <c r="D718">
        <v>11.08</v>
      </c>
      <c r="E718">
        <v>13.69</v>
      </c>
      <c r="F718" s="11">
        <v>0.71079999999999999</v>
      </c>
      <c r="G718" t="str">
        <f t="shared" si="35"/>
        <v>Admis sous condition</v>
      </c>
      <c r="H718" t="str" cm="1">
        <f t="array" ref="H718">_xlfn.IFS(E718&gt;=16, "Excellent",E718&gt;=14, "Très bien", E718&gt;=12, "Bien", E718&gt;=10, "Passable", E718&lt;10, "Insuffisant")</f>
        <v>Bien</v>
      </c>
      <c r="I718" s="14" t="str">
        <f t="shared" si="33"/>
        <v>RAS</v>
      </c>
      <c r="J718" s="14" t="str">
        <f t="shared" si="34"/>
        <v>Autre filière</v>
      </c>
      <c r="L718" s="16"/>
    </row>
    <row r="719" spans="1:12">
      <c r="A719" t="s">
        <v>379</v>
      </c>
      <c r="B719" t="s">
        <v>380</v>
      </c>
      <c r="C719" t="s">
        <v>27</v>
      </c>
      <c r="D719">
        <v>11.07</v>
      </c>
      <c r="E719">
        <v>9.9</v>
      </c>
      <c r="F719" s="11">
        <v>0.89129999999999998</v>
      </c>
      <c r="G719" t="str">
        <f t="shared" si="35"/>
        <v>Refusé</v>
      </c>
      <c r="H719" t="str" cm="1">
        <f t="array" ref="H719">_xlfn.IFS(E719&gt;=16, "Excellent",E719&gt;=14, "Très bien", E719&gt;=12, "Bien", E719&gt;=10, "Passable", E719&lt;10, "Insuffisant")</f>
        <v>Insuffisant</v>
      </c>
      <c r="I719" s="14" t="str">
        <f t="shared" si="33"/>
        <v>A surveiller</v>
      </c>
      <c r="J719" s="14" t="str">
        <f t="shared" si="34"/>
        <v>Autre filière</v>
      </c>
      <c r="K719" s="15"/>
      <c r="L719" s="16"/>
    </row>
    <row r="720" spans="1:12">
      <c r="A720" t="s">
        <v>114</v>
      </c>
      <c r="B720" t="s">
        <v>115</v>
      </c>
      <c r="C720" t="s">
        <v>22</v>
      </c>
      <c r="D720">
        <v>9.0399999999999991</v>
      </c>
      <c r="E720">
        <v>10.09</v>
      </c>
      <c r="F720" s="11">
        <v>0.86899999999999999</v>
      </c>
      <c r="G720" t="str">
        <f t="shared" si="35"/>
        <v>Refusé</v>
      </c>
      <c r="H720" t="str" cm="1">
        <f t="array" ref="H720">_xlfn.IFS(E720&gt;=16, "Excellent",E720&gt;=14, "Très bien", E720&gt;=12, "Bien", E720&gt;=10, "Passable", E720&lt;10, "Insuffisant")</f>
        <v>Passable</v>
      </c>
      <c r="I720" s="14" t="str">
        <f t="shared" si="33"/>
        <v>A surveiller</v>
      </c>
      <c r="J720" s="14" t="str">
        <f t="shared" si="34"/>
        <v>Data</v>
      </c>
      <c r="K720" s="15"/>
      <c r="L720" s="16"/>
    </row>
    <row r="721" spans="1:12">
      <c r="A721" t="s">
        <v>830</v>
      </c>
      <c r="B721" t="s">
        <v>262</v>
      </c>
      <c r="C721" t="s">
        <v>22</v>
      </c>
      <c r="D721">
        <v>13.05</v>
      </c>
      <c r="E721">
        <v>11.9</v>
      </c>
      <c r="F721" s="11">
        <v>0.55000000000000004</v>
      </c>
      <c r="G721" t="str">
        <f t="shared" si="35"/>
        <v>Admis sous condition</v>
      </c>
      <c r="H721" t="str" cm="1">
        <f t="array" ref="H721">_xlfn.IFS(E721&gt;=16, "Excellent",E721&gt;=14, "Très bien", E721&gt;=12, "Bien", E721&gt;=10, "Passable", E721&lt;10, "Insuffisant")</f>
        <v>Passable</v>
      </c>
      <c r="I721" s="14" t="str">
        <f t="shared" si="33"/>
        <v>A surveiller</v>
      </c>
      <c r="J721" s="14" t="str">
        <f t="shared" si="34"/>
        <v>Data</v>
      </c>
      <c r="L721" s="16"/>
    </row>
    <row r="722" spans="1:12">
      <c r="A722" t="s">
        <v>416</v>
      </c>
      <c r="B722" t="s">
        <v>417</v>
      </c>
      <c r="C722" t="s">
        <v>27</v>
      </c>
      <c r="D722">
        <v>6.25</v>
      </c>
      <c r="E722">
        <v>13.09</v>
      </c>
      <c r="F722" s="11">
        <v>0.79449999999999998</v>
      </c>
      <c r="G722" t="str">
        <f t="shared" si="35"/>
        <v>Refusé</v>
      </c>
      <c r="H722" t="str" cm="1">
        <f t="array" ref="H722">_xlfn.IFS(E722&gt;=16, "Excellent",E722&gt;=14, "Très bien", E722&gt;=12, "Bien", E722&gt;=10, "Passable", E722&lt;10, "Insuffisant")</f>
        <v>Bien</v>
      </c>
      <c r="I722" s="14" t="str">
        <f t="shared" si="33"/>
        <v>A surveiller</v>
      </c>
      <c r="J722" s="14" t="str">
        <f t="shared" si="34"/>
        <v>Autre filière</v>
      </c>
      <c r="L722" s="16"/>
    </row>
    <row r="723" spans="1:12">
      <c r="A723" t="s">
        <v>97</v>
      </c>
      <c r="B723" t="s">
        <v>98</v>
      </c>
      <c r="C723" t="s">
        <v>27</v>
      </c>
      <c r="D723">
        <v>11.52</v>
      </c>
      <c r="E723">
        <v>11.2</v>
      </c>
      <c r="F723" s="11">
        <v>0.75270000000000004</v>
      </c>
      <c r="G723" t="str">
        <f t="shared" si="35"/>
        <v>Admis sous condition</v>
      </c>
      <c r="H723" t="str" cm="1">
        <f t="array" ref="H723">_xlfn.IFS(E723&gt;=16, "Excellent",E723&gt;=14, "Très bien", E723&gt;=12, "Bien", E723&gt;=10, "Passable", E723&lt;10, "Insuffisant")</f>
        <v>Passable</v>
      </c>
      <c r="I723" s="14" t="str">
        <f t="shared" si="33"/>
        <v>RAS</v>
      </c>
      <c r="J723" s="14" t="str">
        <f t="shared" si="34"/>
        <v>Autre filière</v>
      </c>
      <c r="L723" s="16"/>
    </row>
    <row r="724" spans="1:12">
      <c r="A724" t="s">
        <v>1324</v>
      </c>
      <c r="B724" t="s">
        <v>575</v>
      </c>
      <c r="C724" t="s">
        <v>22</v>
      </c>
      <c r="D724">
        <v>11.99</v>
      </c>
      <c r="E724">
        <v>14.39</v>
      </c>
      <c r="F724" s="11">
        <v>0.85909999999999997</v>
      </c>
      <c r="G724" t="str">
        <f t="shared" si="35"/>
        <v>Admis sous condition</v>
      </c>
      <c r="H724" t="str" cm="1">
        <f t="array" ref="H724">_xlfn.IFS(E724&gt;=16, "Excellent",E724&gt;=14, "Très bien", E724&gt;=12, "Bien", E724&gt;=10, "Passable", E724&lt;10, "Insuffisant")</f>
        <v>Très bien</v>
      </c>
      <c r="I724" s="14" t="str">
        <f t="shared" si="33"/>
        <v>RAS</v>
      </c>
      <c r="J724" s="14" t="str">
        <f t="shared" si="34"/>
        <v>Data</v>
      </c>
      <c r="K724" s="15"/>
      <c r="L724" s="16"/>
    </row>
    <row r="725" spans="1:12">
      <c r="A725" t="s">
        <v>1015</v>
      </c>
      <c r="B725" t="s">
        <v>594</v>
      </c>
      <c r="C725" t="s">
        <v>27</v>
      </c>
      <c r="D725">
        <v>17.559999999999999</v>
      </c>
      <c r="E725">
        <v>14.18</v>
      </c>
      <c r="F725" s="11">
        <v>0.83220000000000005</v>
      </c>
      <c r="G725" t="str">
        <f t="shared" si="35"/>
        <v>Admis</v>
      </c>
      <c r="H725" t="str" cm="1">
        <f t="array" ref="H725">_xlfn.IFS(E725&gt;=16, "Excellent",E725&gt;=14, "Très bien", E725&gt;=12, "Bien", E725&gt;=10, "Passable", E725&lt;10, "Insuffisant")</f>
        <v>Très bien</v>
      </c>
      <c r="I725" s="14" t="str">
        <f t="shared" si="33"/>
        <v>RAS</v>
      </c>
      <c r="J725" s="14" t="str">
        <f t="shared" si="34"/>
        <v>Autre filière</v>
      </c>
      <c r="K725" s="15"/>
      <c r="L725" s="16"/>
    </row>
    <row r="726" spans="1:12">
      <c r="A726" t="s">
        <v>1210</v>
      </c>
      <c r="B726" t="s">
        <v>24</v>
      </c>
      <c r="C726" t="s">
        <v>35</v>
      </c>
      <c r="D726">
        <v>6.81</v>
      </c>
      <c r="E726">
        <v>4.55</v>
      </c>
      <c r="F726" s="11">
        <v>0.77610000000000001</v>
      </c>
      <c r="G726" t="str">
        <f t="shared" si="35"/>
        <v>Refusé</v>
      </c>
      <c r="H726" t="str" cm="1">
        <f t="array" ref="H726">_xlfn.IFS(E726&gt;=16, "Excellent",E726&gt;=14, "Très bien", E726&gt;=12, "Bien", E726&gt;=10, "Passable", E726&lt;10, "Insuffisant")</f>
        <v>Insuffisant</v>
      </c>
      <c r="I726" s="14" t="str">
        <f t="shared" si="33"/>
        <v>A surveiller</v>
      </c>
      <c r="J726" s="14" t="str">
        <f t="shared" si="34"/>
        <v>Autre filière</v>
      </c>
      <c r="L726" s="16"/>
    </row>
    <row r="727" spans="1:12">
      <c r="A727" t="s">
        <v>819</v>
      </c>
      <c r="B727" t="s">
        <v>820</v>
      </c>
      <c r="C727" t="s">
        <v>35</v>
      </c>
      <c r="D727">
        <v>11.43</v>
      </c>
      <c r="E727">
        <v>14.27</v>
      </c>
      <c r="F727" s="11">
        <v>0.89890000000000003</v>
      </c>
      <c r="G727" t="str">
        <f t="shared" si="35"/>
        <v>Admis sous condition</v>
      </c>
      <c r="H727" t="str" cm="1">
        <f t="array" ref="H727">_xlfn.IFS(E727&gt;=16, "Excellent",E727&gt;=14, "Très bien", E727&gt;=12, "Bien", E727&gt;=10, "Passable", E727&lt;10, "Insuffisant")</f>
        <v>Très bien</v>
      </c>
      <c r="I727" s="14" t="str">
        <f t="shared" si="33"/>
        <v>RAS</v>
      </c>
      <c r="J727" s="14" t="str">
        <f t="shared" si="34"/>
        <v>Autre filière</v>
      </c>
      <c r="K727" s="15"/>
      <c r="L727" s="16"/>
    </row>
    <row r="728" spans="1:12">
      <c r="A728" t="s">
        <v>732</v>
      </c>
      <c r="B728" t="s">
        <v>640</v>
      </c>
      <c r="C728" t="s">
        <v>27</v>
      </c>
      <c r="D728">
        <v>16.79</v>
      </c>
      <c r="E728">
        <v>13.37</v>
      </c>
      <c r="F728" s="11">
        <v>0.86570000000000003</v>
      </c>
      <c r="G728" t="str">
        <f t="shared" si="35"/>
        <v>Admis</v>
      </c>
      <c r="H728" t="str" cm="1">
        <f t="array" ref="H728">_xlfn.IFS(E728&gt;=16, "Excellent",E728&gt;=14, "Très bien", E728&gt;=12, "Bien", E728&gt;=10, "Passable", E728&lt;10, "Insuffisant")</f>
        <v>Bien</v>
      </c>
      <c r="I728" s="14" t="str">
        <f t="shared" si="33"/>
        <v>RAS</v>
      </c>
      <c r="J728" s="14" t="str">
        <f t="shared" si="34"/>
        <v>Autre filière</v>
      </c>
      <c r="K728" s="15"/>
      <c r="L728" s="16"/>
    </row>
    <row r="729" spans="1:12">
      <c r="A729" t="s">
        <v>1205</v>
      </c>
      <c r="B729" t="s">
        <v>737</v>
      </c>
      <c r="C729" t="s">
        <v>27</v>
      </c>
      <c r="D729">
        <v>11.64</v>
      </c>
      <c r="E729">
        <v>10.46</v>
      </c>
      <c r="F729" s="11">
        <v>0.6784</v>
      </c>
      <c r="G729" t="str">
        <f t="shared" si="35"/>
        <v>Admis sous condition</v>
      </c>
      <c r="H729" t="str" cm="1">
        <f t="array" ref="H729">_xlfn.IFS(E729&gt;=16, "Excellent",E729&gt;=14, "Très bien", E729&gt;=12, "Bien", E729&gt;=10, "Passable", E729&lt;10, "Insuffisant")</f>
        <v>Passable</v>
      </c>
      <c r="I729" s="14" t="str">
        <f t="shared" si="33"/>
        <v>A surveiller</v>
      </c>
      <c r="J729" s="14" t="str">
        <f t="shared" si="34"/>
        <v>Autre filière</v>
      </c>
      <c r="L729" s="16"/>
    </row>
    <row r="730" spans="1:12">
      <c r="A730" t="s">
        <v>900</v>
      </c>
      <c r="B730" t="s">
        <v>412</v>
      </c>
      <c r="C730" t="s">
        <v>27</v>
      </c>
      <c r="D730">
        <v>13.31</v>
      </c>
      <c r="E730">
        <v>8.2100000000000009</v>
      </c>
      <c r="F730" s="11">
        <v>0.86019999999999996</v>
      </c>
      <c r="G730" t="str">
        <f t="shared" si="35"/>
        <v>Refusé</v>
      </c>
      <c r="H730" t="str" cm="1">
        <f t="array" ref="H730">_xlfn.IFS(E730&gt;=16, "Excellent",E730&gt;=14, "Très bien", E730&gt;=12, "Bien", E730&gt;=10, "Passable", E730&lt;10, "Insuffisant")</f>
        <v>Insuffisant</v>
      </c>
      <c r="I730" s="14" t="str">
        <f t="shared" si="33"/>
        <v>A surveiller</v>
      </c>
      <c r="J730" s="14" t="str">
        <f t="shared" si="34"/>
        <v>Autre filière</v>
      </c>
      <c r="K730" s="15"/>
      <c r="L730" s="16"/>
    </row>
    <row r="731" spans="1:12">
      <c r="A731" t="s">
        <v>1241</v>
      </c>
      <c r="B731" t="s">
        <v>73</v>
      </c>
      <c r="C731" t="s">
        <v>35</v>
      </c>
      <c r="D731">
        <v>11.2</v>
      </c>
      <c r="E731">
        <v>7.7</v>
      </c>
      <c r="F731" s="11">
        <v>0.64249999999999996</v>
      </c>
      <c r="G731" t="str">
        <f t="shared" si="35"/>
        <v>Refusé</v>
      </c>
      <c r="H731" t="str" cm="1">
        <f t="array" ref="H731">_xlfn.IFS(E731&gt;=16, "Excellent",E731&gt;=14, "Très bien", E731&gt;=12, "Bien", E731&gt;=10, "Passable", E731&lt;10, "Insuffisant")</f>
        <v>Insuffisant</v>
      </c>
      <c r="I731" s="14" t="str">
        <f t="shared" si="33"/>
        <v>A surveiller</v>
      </c>
      <c r="J731" s="14" t="str">
        <f t="shared" si="34"/>
        <v>Autre filière</v>
      </c>
      <c r="L731" s="16"/>
    </row>
    <row r="732" spans="1:12">
      <c r="A732" t="s">
        <v>74</v>
      </c>
      <c r="B732" t="s">
        <v>75</v>
      </c>
      <c r="C732" t="s">
        <v>48</v>
      </c>
      <c r="D732">
        <v>10.3</v>
      </c>
      <c r="E732">
        <v>13.81</v>
      </c>
      <c r="F732" s="11">
        <v>0.94589999999999996</v>
      </c>
      <c r="G732" t="str">
        <f t="shared" si="35"/>
        <v>Admis sous condition</v>
      </c>
      <c r="H732" t="str" cm="1">
        <f t="array" ref="H732">_xlfn.IFS(E732&gt;=16, "Excellent",E732&gt;=14, "Très bien", E732&gt;=12, "Bien", E732&gt;=10, "Passable", E732&lt;10, "Insuffisant")</f>
        <v>Bien</v>
      </c>
      <c r="I732" s="14" t="str">
        <f t="shared" si="33"/>
        <v>RAS</v>
      </c>
      <c r="J732" s="14" t="str">
        <f t="shared" si="34"/>
        <v>Autre filière</v>
      </c>
      <c r="L732" s="16"/>
    </row>
    <row r="733" spans="1:12">
      <c r="A733" t="s">
        <v>1250</v>
      </c>
      <c r="B733" t="s">
        <v>471</v>
      </c>
      <c r="C733" t="s">
        <v>48</v>
      </c>
      <c r="D733">
        <v>9.35</v>
      </c>
      <c r="E733">
        <v>14.75</v>
      </c>
      <c r="F733" s="11">
        <v>0.93179999999999996</v>
      </c>
      <c r="G733" t="str">
        <f t="shared" si="35"/>
        <v>Refusé</v>
      </c>
      <c r="H733" t="str" cm="1">
        <f t="array" ref="H733">_xlfn.IFS(E733&gt;=16, "Excellent",E733&gt;=14, "Très bien", E733&gt;=12, "Bien", E733&gt;=10, "Passable", E733&lt;10, "Insuffisant")</f>
        <v>Très bien</v>
      </c>
      <c r="I733" s="14" t="str">
        <f t="shared" si="33"/>
        <v>A surveiller</v>
      </c>
      <c r="J733" s="14" t="str">
        <f t="shared" si="34"/>
        <v>Autre filière</v>
      </c>
      <c r="L733" s="16"/>
    </row>
    <row r="734" spans="1:12">
      <c r="A734" t="s">
        <v>171</v>
      </c>
      <c r="B734" t="s">
        <v>133</v>
      </c>
      <c r="C734" t="s">
        <v>22</v>
      </c>
      <c r="D734">
        <v>9.31</v>
      </c>
      <c r="E734">
        <v>10.34</v>
      </c>
      <c r="F734" s="11">
        <v>0.90290000000000004</v>
      </c>
      <c r="G734" t="str">
        <f t="shared" si="35"/>
        <v>Refusé</v>
      </c>
      <c r="H734" t="str" cm="1">
        <f t="array" ref="H734">_xlfn.IFS(E734&gt;=16, "Excellent",E734&gt;=14, "Très bien", E734&gt;=12, "Bien", E734&gt;=10, "Passable", E734&lt;10, "Insuffisant")</f>
        <v>Passable</v>
      </c>
      <c r="I734" s="14" t="str">
        <f t="shared" si="33"/>
        <v>A surveiller</v>
      </c>
      <c r="J734" s="14" t="str">
        <f t="shared" si="34"/>
        <v>Data</v>
      </c>
      <c r="L734" s="16"/>
    </row>
    <row r="735" spans="1:12">
      <c r="A735" t="s">
        <v>434</v>
      </c>
      <c r="B735" t="s">
        <v>285</v>
      </c>
      <c r="C735" t="s">
        <v>48</v>
      </c>
      <c r="D735">
        <v>8.11</v>
      </c>
      <c r="E735">
        <v>11.87</v>
      </c>
      <c r="F735" s="11">
        <v>0.80379999999999996</v>
      </c>
      <c r="G735" t="str">
        <f t="shared" si="35"/>
        <v>Refusé</v>
      </c>
      <c r="H735" t="str" cm="1">
        <f t="array" ref="H735">_xlfn.IFS(E735&gt;=16, "Excellent",E735&gt;=14, "Très bien", E735&gt;=12, "Bien", E735&gt;=10, "Passable", E735&lt;10, "Insuffisant")</f>
        <v>Passable</v>
      </c>
      <c r="I735" s="14" t="str">
        <f t="shared" si="33"/>
        <v>A surveiller</v>
      </c>
      <c r="J735" s="14" t="str">
        <f t="shared" si="34"/>
        <v>Autre filière</v>
      </c>
      <c r="K735" s="15"/>
      <c r="L735" s="16"/>
    </row>
    <row r="736" spans="1:12">
      <c r="A736" t="s">
        <v>593</v>
      </c>
      <c r="B736" t="s">
        <v>594</v>
      </c>
      <c r="C736" t="s">
        <v>27</v>
      </c>
      <c r="D736">
        <v>6.96</v>
      </c>
      <c r="E736">
        <v>5.08</v>
      </c>
      <c r="F736" s="11">
        <v>0.85319999999999996</v>
      </c>
      <c r="G736" t="str">
        <f t="shared" si="35"/>
        <v>Refusé</v>
      </c>
      <c r="H736" t="str" cm="1">
        <f t="array" ref="H736">_xlfn.IFS(E736&gt;=16, "Excellent",E736&gt;=14, "Très bien", E736&gt;=12, "Bien", E736&gt;=10, "Passable", E736&lt;10, "Insuffisant")</f>
        <v>Insuffisant</v>
      </c>
      <c r="I736" s="14" t="str">
        <f t="shared" si="33"/>
        <v>A surveiller</v>
      </c>
      <c r="J736" s="14" t="str">
        <f t="shared" si="34"/>
        <v>Autre filière</v>
      </c>
      <c r="K736" s="15"/>
      <c r="L736" s="16"/>
    </row>
    <row r="737" spans="1:12">
      <c r="A737" t="s">
        <v>470</v>
      </c>
      <c r="B737" t="s">
        <v>471</v>
      </c>
      <c r="C737" t="s">
        <v>35</v>
      </c>
      <c r="D737">
        <v>10.29</v>
      </c>
      <c r="E737">
        <v>12.78</v>
      </c>
      <c r="F737" s="11">
        <v>0.98360000000000003</v>
      </c>
      <c r="G737" t="str">
        <f t="shared" si="35"/>
        <v>Admis sous condition</v>
      </c>
      <c r="H737" t="str" cm="1">
        <f t="array" ref="H737">_xlfn.IFS(E737&gt;=16, "Excellent",E737&gt;=14, "Très bien", E737&gt;=12, "Bien", E737&gt;=10, "Passable", E737&lt;10, "Insuffisant")</f>
        <v>Bien</v>
      </c>
      <c r="I737" s="14" t="str">
        <f t="shared" si="33"/>
        <v>RAS</v>
      </c>
      <c r="J737" s="14" t="str">
        <f t="shared" si="34"/>
        <v>Autre filière</v>
      </c>
      <c r="L737" s="16"/>
    </row>
    <row r="738" spans="1:12">
      <c r="A738" t="s">
        <v>945</v>
      </c>
      <c r="B738" t="s">
        <v>474</v>
      </c>
      <c r="C738" t="s">
        <v>27</v>
      </c>
      <c r="D738">
        <v>9</v>
      </c>
      <c r="E738">
        <v>10.14</v>
      </c>
      <c r="F738" s="11">
        <v>0.59550000000000003</v>
      </c>
      <c r="G738" t="str">
        <f t="shared" si="35"/>
        <v>Refusé</v>
      </c>
      <c r="H738" t="str" cm="1">
        <f t="array" ref="H738">_xlfn.IFS(E738&gt;=16, "Excellent",E738&gt;=14, "Très bien", E738&gt;=12, "Bien", E738&gt;=10, "Passable", E738&lt;10, "Insuffisant")</f>
        <v>Passable</v>
      </c>
      <c r="I738" s="14" t="str">
        <f t="shared" si="33"/>
        <v>A surveiller</v>
      </c>
      <c r="J738" s="14" t="str">
        <f t="shared" si="34"/>
        <v>Autre filière</v>
      </c>
      <c r="L738" s="16"/>
    </row>
    <row r="739" spans="1:12">
      <c r="A739" t="s">
        <v>1177</v>
      </c>
      <c r="B739" t="s">
        <v>357</v>
      </c>
      <c r="C739" t="s">
        <v>35</v>
      </c>
      <c r="D739">
        <v>16.309999999999999</v>
      </c>
      <c r="E739">
        <v>14.07</v>
      </c>
      <c r="F739" s="11">
        <v>0.86129999999999995</v>
      </c>
      <c r="G739" t="str">
        <f t="shared" si="35"/>
        <v>Admis</v>
      </c>
      <c r="H739" t="str" cm="1">
        <f t="array" ref="H739">_xlfn.IFS(E739&gt;=16, "Excellent",E739&gt;=14, "Très bien", E739&gt;=12, "Bien", E739&gt;=10, "Passable", E739&lt;10, "Insuffisant")</f>
        <v>Très bien</v>
      </c>
      <c r="I739" s="14" t="str">
        <f t="shared" si="33"/>
        <v>RAS</v>
      </c>
      <c r="J739" s="14" t="str">
        <f t="shared" si="34"/>
        <v>Autre filière</v>
      </c>
      <c r="K739" s="15"/>
      <c r="L739" s="16"/>
    </row>
    <row r="740" spans="1:12">
      <c r="A740" t="s">
        <v>165</v>
      </c>
      <c r="B740" t="s">
        <v>166</v>
      </c>
      <c r="C740" t="s">
        <v>27</v>
      </c>
      <c r="D740">
        <v>12.56</v>
      </c>
      <c r="E740">
        <v>7.47</v>
      </c>
      <c r="F740" s="11">
        <v>0.7157</v>
      </c>
      <c r="G740" t="str">
        <f t="shared" si="35"/>
        <v>Refusé</v>
      </c>
      <c r="H740" t="str" cm="1">
        <f t="array" ref="H740">_xlfn.IFS(E740&gt;=16, "Excellent",E740&gt;=14, "Très bien", E740&gt;=12, "Bien", E740&gt;=10, "Passable", E740&lt;10, "Insuffisant")</f>
        <v>Insuffisant</v>
      </c>
      <c r="I740" s="14" t="str">
        <f t="shared" si="33"/>
        <v>A surveiller</v>
      </c>
      <c r="J740" s="14" t="str">
        <f t="shared" si="34"/>
        <v>Autre filière</v>
      </c>
      <c r="L740" s="16"/>
    </row>
    <row r="741" spans="1:12">
      <c r="A741" t="s">
        <v>209</v>
      </c>
      <c r="B741" t="s">
        <v>210</v>
      </c>
      <c r="C741" t="s">
        <v>48</v>
      </c>
      <c r="D741">
        <v>11.97</v>
      </c>
      <c r="E741">
        <v>10.27</v>
      </c>
      <c r="F741" s="11">
        <v>0.83150000000000002</v>
      </c>
      <c r="G741" t="str">
        <f t="shared" si="35"/>
        <v>Admis sous condition</v>
      </c>
      <c r="H741" t="str" cm="1">
        <f t="array" ref="H741">_xlfn.IFS(E741&gt;=16, "Excellent",E741&gt;=14, "Très bien", E741&gt;=12, "Bien", E741&gt;=10, "Passable", E741&lt;10, "Insuffisant")</f>
        <v>Passable</v>
      </c>
      <c r="I741" s="14" t="str">
        <f t="shared" si="33"/>
        <v>RAS</v>
      </c>
      <c r="J741" s="14" t="str">
        <f t="shared" si="34"/>
        <v>Autre filière</v>
      </c>
      <c r="K741" s="15"/>
      <c r="L741" s="16"/>
    </row>
    <row r="742" spans="1:12">
      <c r="A742" t="s">
        <v>488</v>
      </c>
      <c r="B742" t="s">
        <v>382</v>
      </c>
      <c r="C742" t="s">
        <v>27</v>
      </c>
      <c r="D742">
        <v>12.64</v>
      </c>
      <c r="E742">
        <v>14.08</v>
      </c>
      <c r="F742" s="11">
        <v>0.83730000000000004</v>
      </c>
      <c r="G742" t="str">
        <f t="shared" si="35"/>
        <v>Admis</v>
      </c>
      <c r="H742" t="str" cm="1">
        <f t="array" ref="H742">_xlfn.IFS(E742&gt;=16, "Excellent",E742&gt;=14, "Très bien", E742&gt;=12, "Bien", E742&gt;=10, "Passable", E742&lt;10, "Insuffisant")</f>
        <v>Très bien</v>
      </c>
      <c r="I742" s="14" t="str">
        <f t="shared" si="33"/>
        <v>RAS</v>
      </c>
      <c r="J742" s="14" t="str">
        <f t="shared" si="34"/>
        <v>Autre filière</v>
      </c>
      <c r="K742" s="15"/>
      <c r="L742" s="16"/>
    </row>
    <row r="743" spans="1:12">
      <c r="A743" t="s">
        <v>1112</v>
      </c>
      <c r="B743" t="s">
        <v>509</v>
      </c>
      <c r="C743" t="s">
        <v>35</v>
      </c>
      <c r="D743">
        <v>12.93</v>
      </c>
      <c r="E743">
        <v>11.86</v>
      </c>
      <c r="F743" s="11">
        <v>0.91359999999999997</v>
      </c>
      <c r="G743" t="str">
        <f t="shared" si="35"/>
        <v>Admis sous condition</v>
      </c>
      <c r="H743" t="str" cm="1">
        <f t="array" ref="H743">_xlfn.IFS(E743&gt;=16, "Excellent",E743&gt;=14, "Très bien", E743&gt;=12, "Bien", E743&gt;=10, "Passable", E743&lt;10, "Insuffisant")</f>
        <v>Passable</v>
      </c>
      <c r="I743" s="14" t="str">
        <f t="shared" si="33"/>
        <v>RAS</v>
      </c>
      <c r="J743" s="14" t="str">
        <f t="shared" si="34"/>
        <v>Autre filière</v>
      </c>
      <c r="L743" s="16"/>
    </row>
    <row r="744" spans="1:12">
      <c r="A744" t="s">
        <v>311</v>
      </c>
      <c r="B744" t="s">
        <v>224</v>
      </c>
      <c r="C744" t="s">
        <v>22</v>
      </c>
      <c r="D744">
        <v>11.87</v>
      </c>
      <c r="E744">
        <v>17.46</v>
      </c>
      <c r="F744" s="11">
        <v>0.6431</v>
      </c>
      <c r="G744" t="str">
        <f t="shared" si="35"/>
        <v>Admis sous condition</v>
      </c>
      <c r="H744" t="str" cm="1">
        <f t="array" ref="H744">_xlfn.IFS(E744&gt;=16, "Excellent",E744&gt;=14, "Très bien", E744&gt;=12, "Bien", E744&gt;=10, "Passable", E744&lt;10, "Insuffisant")</f>
        <v>Excellent</v>
      </c>
      <c r="I744" s="14" t="str">
        <f t="shared" si="33"/>
        <v>A surveiller</v>
      </c>
      <c r="J744" s="14" t="str">
        <f t="shared" si="34"/>
        <v>Data</v>
      </c>
      <c r="L744" s="16"/>
    </row>
    <row r="745" spans="1:12">
      <c r="A745" t="s">
        <v>459</v>
      </c>
      <c r="B745" t="s">
        <v>460</v>
      </c>
      <c r="C745" t="s">
        <v>35</v>
      </c>
      <c r="D745">
        <v>11.72</v>
      </c>
      <c r="E745">
        <v>11.25</v>
      </c>
      <c r="F745" s="11">
        <v>0.79310000000000003</v>
      </c>
      <c r="G745" t="str">
        <f t="shared" si="35"/>
        <v>Admis sous condition</v>
      </c>
      <c r="H745" t="str" cm="1">
        <f t="array" ref="H745">_xlfn.IFS(E745&gt;=16, "Excellent",E745&gt;=14, "Très bien", E745&gt;=12, "Bien", E745&gt;=10, "Passable", E745&lt;10, "Insuffisant")</f>
        <v>Passable</v>
      </c>
      <c r="I745" s="14" t="str">
        <f t="shared" si="33"/>
        <v>RAS</v>
      </c>
      <c r="J745" s="14" t="str">
        <f t="shared" si="34"/>
        <v>Autre filière</v>
      </c>
      <c r="L745" s="16"/>
    </row>
    <row r="746" spans="1:12">
      <c r="A746" t="s">
        <v>854</v>
      </c>
      <c r="B746" t="s">
        <v>262</v>
      </c>
      <c r="C746" t="s">
        <v>22</v>
      </c>
      <c r="D746">
        <v>13.54</v>
      </c>
      <c r="E746">
        <v>13.07</v>
      </c>
      <c r="F746" s="11">
        <v>0.85580000000000001</v>
      </c>
      <c r="G746" t="str">
        <f t="shared" si="35"/>
        <v>Admis</v>
      </c>
      <c r="H746" t="str" cm="1">
        <f t="array" ref="H746">_xlfn.IFS(E746&gt;=16, "Excellent",E746&gt;=14, "Très bien", E746&gt;=12, "Bien", E746&gt;=10, "Passable", E746&lt;10, "Insuffisant")</f>
        <v>Bien</v>
      </c>
      <c r="I746" s="14" t="str">
        <f t="shared" si="33"/>
        <v>RAS</v>
      </c>
      <c r="J746" s="14" t="str">
        <f t="shared" si="34"/>
        <v>Data</v>
      </c>
      <c r="K746" s="15"/>
      <c r="L746" s="16"/>
    </row>
    <row r="747" spans="1:12">
      <c r="A747" t="s">
        <v>747</v>
      </c>
      <c r="B747" t="s">
        <v>748</v>
      </c>
      <c r="C747" t="s">
        <v>22</v>
      </c>
      <c r="D747">
        <v>10.23</v>
      </c>
      <c r="E747">
        <v>15.83</v>
      </c>
      <c r="F747" s="11">
        <v>0.78610000000000002</v>
      </c>
      <c r="G747" t="str">
        <f t="shared" si="35"/>
        <v>Admis sous condition</v>
      </c>
      <c r="H747" t="str" cm="1">
        <f t="array" ref="H747">_xlfn.IFS(E747&gt;=16, "Excellent",E747&gt;=14, "Très bien", E747&gt;=12, "Bien", E747&gt;=10, "Passable", E747&lt;10, "Insuffisant")</f>
        <v>Très bien</v>
      </c>
      <c r="I747" s="14" t="str">
        <f t="shared" si="33"/>
        <v>RAS</v>
      </c>
      <c r="J747" s="14" t="str">
        <f t="shared" si="34"/>
        <v>Data</v>
      </c>
      <c r="L747" s="16"/>
    </row>
    <row r="748" spans="1:12">
      <c r="A748" t="s">
        <v>215</v>
      </c>
      <c r="B748" t="s">
        <v>216</v>
      </c>
      <c r="C748" t="s">
        <v>48</v>
      </c>
      <c r="D748">
        <v>10.51</v>
      </c>
      <c r="E748">
        <v>10.34</v>
      </c>
      <c r="F748" s="11">
        <v>0.78510000000000002</v>
      </c>
      <c r="G748" t="str">
        <f t="shared" si="35"/>
        <v>Admis sous condition</v>
      </c>
      <c r="H748" t="str" cm="1">
        <f t="array" ref="H748">_xlfn.IFS(E748&gt;=16, "Excellent",E748&gt;=14, "Très bien", E748&gt;=12, "Bien", E748&gt;=10, "Passable", E748&lt;10, "Insuffisant")</f>
        <v>Passable</v>
      </c>
      <c r="I748" s="14" t="str">
        <f t="shared" si="33"/>
        <v>RAS</v>
      </c>
      <c r="J748" s="14" t="str">
        <f t="shared" si="34"/>
        <v>Autre filière</v>
      </c>
      <c r="L748" s="16"/>
    </row>
    <row r="749" spans="1:12">
      <c r="A749" t="s">
        <v>1110</v>
      </c>
      <c r="B749" t="s">
        <v>737</v>
      </c>
      <c r="C749" t="s">
        <v>48</v>
      </c>
      <c r="D749">
        <v>11.92</v>
      </c>
      <c r="E749">
        <v>15.09</v>
      </c>
      <c r="F749" s="11">
        <v>0.80069999999999997</v>
      </c>
      <c r="G749" t="str">
        <f t="shared" si="35"/>
        <v>Admis sous condition</v>
      </c>
      <c r="H749" t="str" cm="1">
        <f t="array" ref="H749">_xlfn.IFS(E749&gt;=16, "Excellent",E749&gt;=14, "Très bien", E749&gt;=12, "Bien", E749&gt;=10, "Passable", E749&lt;10, "Insuffisant")</f>
        <v>Très bien</v>
      </c>
      <c r="I749" s="14" t="str">
        <f t="shared" si="33"/>
        <v>RAS</v>
      </c>
      <c r="J749" s="14" t="str">
        <f t="shared" si="34"/>
        <v>Autre filière</v>
      </c>
      <c r="K749" s="15"/>
      <c r="L749" s="16"/>
    </row>
    <row r="750" spans="1:12">
      <c r="A750" t="s">
        <v>1109</v>
      </c>
      <c r="B750" t="s">
        <v>83</v>
      </c>
      <c r="C750" t="s">
        <v>22</v>
      </c>
      <c r="D750">
        <v>12.01</v>
      </c>
      <c r="E750">
        <v>13.28</v>
      </c>
      <c r="F750" s="11">
        <v>0.82950000000000002</v>
      </c>
      <c r="G750" t="str">
        <f t="shared" si="35"/>
        <v>Admis</v>
      </c>
      <c r="H750" t="str" cm="1">
        <f t="array" ref="H750">_xlfn.IFS(E750&gt;=16, "Excellent",E750&gt;=14, "Très bien", E750&gt;=12, "Bien", E750&gt;=10, "Passable", E750&lt;10, "Insuffisant")</f>
        <v>Bien</v>
      </c>
      <c r="I750" s="14" t="str">
        <f t="shared" si="33"/>
        <v>RAS</v>
      </c>
      <c r="J750" s="14" t="str">
        <f t="shared" si="34"/>
        <v>Data</v>
      </c>
      <c r="K750" s="15"/>
      <c r="L750" s="16"/>
    </row>
    <row r="751" spans="1:12">
      <c r="A751" t="s">
        <v>956</v>
      </c>
      <c r="B751" t="s">
        <v>180</v>
      </c>
      <c r="C751" t="s">
        <v>48</v>
      </c>
      <c r="D751">
        <v>13.13</v>
      </c>
      <c r="E751">
        <v>13.64</v>
      </c>
      <c r="F751" s="11">
        <v>0.85019999999999996</v>
      </c>
      <c r="G751" t="str">
        <f t="shared" si="35"/>
        <v>Admis</v>
      </c>
      <c r="H751" t="str" cm="1">
        <f t="array" ref="H751">_xlfn.IFS(E751&gt;=16, "Excellent",E751&gt;=14, "Très bien", E751&gt;=12, "Bien", E751&gt;=10, "Passable", E751&lt;10, "Insuffisant")</f>
        <v>Bien</v>
      </c>
      <c r="I751" s="14" t="str">
        <f t="shared" si="33"/>
        <v>RAS</v>
      </c>
      <c r="J751" s="14" t="str">
        <f t="shared" si="34"/>
        <v>Autre filière</v>
      </c>
      <c r="K751" s="15"/>
      <c r="L751" s="16"/>
    </row>
    <row r="752" spans="1:12">
      <c r="A752" t="s">
        <v>707</v>
      </c>
      <c r="B752" t="s">
        <v>92</v>
      </c>
      <c r="C752" t="s">
        <v>27</v>
      </c>
      <c r="D752">
        <v>11.28</v>
      </c>
      <c r="E752">
        <v>12.71</v>
      </c>
      <c r="F752" s="11">
        <v>0.7661</v>
      </c>
      <c r="G752" t="str">
        <f t="shared" si="35"/>
        <v>Admis sous condition</v>
      </c>
      <c r="H752" t="str" cm="1">
        <f t="array" ref="H752">_xlfn.IFS(E752&gt;=16, "Excellent",E752&gt;=14, "Très bien", E752&gt;=12, "Bien", E752&gt;=10, "Passable", E752&lt;10, "Insuffisant")</f>
        <v>Bien</v>
      </c>
      <c r="I752" s="14" t="str">
        <f t="shared" si="33"/>
        <v>RAS</v>
      </c>
      <c r="J752" s="14" t="str">
        <f t="shared" si="34"/>
        <v>Autre filière</v>
      </c>
      <c r="L752" s="16"/>
    </row>
    <row r="753" spans="1:12">
      <c r="A753" t="s">
        <v>844</v>
      </c>
      <c r="B753" t="s">
        <v>111</v>
      </c>
      <c r="C753" t="s">
        <v>27</v>
      </c>
      <c r="D753">
        <v>8.1</v>
      </c>
      <c r="E753">
        <v>9.31</v>
      </c>
      <c r="F753" s="11">
        <v>0.89280000000000004</v>
      </c>
      <c r="G753" t="str">
        <f t="shared" si="35"/>
        <v>Refusé</v>
      </c>
      <c r="H753" t="str" cm="1">
        <f t="array" ref="H753">_xlfn.IFS(E753&gt;=16, "Excellent",E753&gt;=14, "Très bien", E753&gt;=12, "Bien", E753&gt;=10, "Passable", E753&lt;10, "Insuffisant")</f>
        <v>Insuffisant</v>
      </c>
      <c r="I753" s="14" t="str">
        <f t="shared" si="33"/>
        <v>A surveiller</v>
      </c>
      <c r="J753" s="14" t="str">
        <f t="shared" si="34"/>
        <v>Autre filière</v>
      </c>
      <c r="K753" s="15"/>
      <c r="L753" s="16"/>
    </row>
    <row r="754" spans="1:12">
      <c r="A754" t="s">
        <v>1251</v>
      </c>
      <c r="B754" t="s">
        <v>376</v>
      </c>
      <c r="C754" t="s">
        <v>27</v>
      </c>
      <c r="D754">
        <v>5.64</v>
      </c>
      <c r="E754">
        <v>6.93</v>
      </c>
      <c r="F754" s="11">
        <v>0.89249999999999996</v>
      </c>
      <c r="G754" t="str">
        <f t="shared" si="35"/>
        <v>Refusé</v>
      </c>
      <c r="H754" t="str" cm="1">
        <f t="array" ref="H754">_xlfn.IFS(E754&gt;=16, "Excellent",E754&gt;=14, "Très bien", E754&gt;=12, "Bien", E754&gt;=10, "Passable", E754&lt;10, "Insuffisant")</f>
        <v>Insuffisant</v>
      </c>
      <c r="I754" s="14" t="str">
        <f t="shared" si="33"/>
        <v>A surveiller</v>
      </c>
      <c r="J754" s="14" t="str">
        <f t="shared" si="34"/>
        <v>Autre filière</v>
      </c>
      <c r="K754" s="15"/>
      <c r="L754" s="16"/>
    </row>
    <row r="755" spans="1:12">
      <c r="A755" t="s">
        <v>1192</v>
      </c>
      <c r="B755" t="s">
        <v>342</v>
      </c>
      <c r="C755" t="s">
        <v>22</v>
      </c>
      <c r="D755">
        <v>13.75</v>
      </c>
      <c r="E755">
        <v>11.18</v>
      </c>
      <c r="F755" s="11">
        <v>0.8891</v>
      </c>
      <c r="G755" t="str">
        <f t="shared" si="35"/>
        <v>Admis sous condition</v>
      </c>
      <c r="H755" t="str" cm="1">
        <f t="array" ref="H755">_xlfn.IFS(E755&gt;=16, "Excellent",E755&gt;=14, "Très bien", E755&gt;=12, "Bien", E755&gt;=10, "Passable", E755&lt;10, "Insuffisant")</f>
        <v>Passable</v>
      </c>
      <c r="I755" s="14" t="str">
        <f t="shared" si="33"/>
        <v>RAS</v>
      </c>
      <c r="J755" s="14" t="str">
        <f t="shared" si="34"/>
        <v>Data</v>
      </c>
      <c r="K755" s="15"/>
      <c r="L755" s="16"/>
    </row>
    <row r="756" spans="1:12">
      <c r="A756" t="s">
        <v>1203</v>
      </c>
      <c r="B756" t="s">
        <v>1204</v>
      </c>
      <c r="C756" t="s">
        <v>27</v>
      </c>
      <c r="D756">
        <v>12.59</v>
      </c>
      <c r="E756">
        <v>11.96</v>
      </c>
      <c r="F756" s="11">
        <v>0.92959999999999998</v>
      </c>
      <c r="G756" t="str">
        <f t="shared" si="35"/>
        <v>Admis sous condition</v>
      </c>
      <c r="H756" t="str" cm="1">
        <f t="array" ref="H756">_xlfn.IFS(E756&gt;=16, "Excellent",E756&gt;=14, "Très bien", E756&gt;=12, "Bien", E756&gt;=10, "Passable", E756&lt;10, "Insuffisant")</f>
        <v>Passable</v>
      </c>
      <c r="I756" s="14" t="str">
        <f t="shared" si="33"/>
        <v>RAS</v>
      </c>
      <c r="J756" s="14" t="str">
        <f t="shared" si="34"/>
        <v>Autre filière</v>
      </c>
      <c r="L756" s="16"/>
    </row>
    <row r="757" spans="1:12">
      <c r="A757" t="s">
        <v>336</v>
      </c>
      <c r="B757" t="s">
        <v>337</v>
      </c>
      <c r="C757" t="s">
        <v>35</v>
      </c>
      <c r="D757">
        <v>4.01</v>
      </c>
      <c r="E757">
        <v>10.33</v>
      </c>
      <c r="F757" s="11">
        <v>0.93520000000000003</v>
      </c>
      <c r="G757" t="str">
        <f t="shared" si="35"/>
        <v>Refusé</v>
      </c>
      <c r="H757" t="str" cm="1">
        <f t="array" ref="H757">_xlfn.IFS(E757&gt;=16, "Excellent",E757&gt;=14, "Très bien", E757&gt;=12, "Bien", E757&gt;=10, "Passable", E757&lt;10, "Insuffisant")</f>
        <v>Passable</v>
      </c>
      <c r="I757" s="14" t="str">
        <f t="shared" si="33"/>
        <v>A surveiller</v>
      </c>
      <c r="J757" s="14" t="str">
        <f t="shared" si="34"/>
        <v>Autre filière</v>
      </c>
      <c r="L757" s="16"/>
    </row>
    <row r="758" spans="1:12">
      <c r="A758" t="s">
        <v>364</v>
      </c>
      <c r="B758" t="s">
        <v>100</v>
      </c>
      <c r="C758" t="s">
        <v>22</v>
      </c>
      <c r="D758">
        <v>11.38</v>
      </c>
      <c r="E758">
        <v>8.83</v>
      </c>
      <c r="F758" s="11">
        <v>0.72919999999999996</v>
      </c>
      <c r="G758" t="str">
        <f t="shared" si="35"/>
        <v>Refusé</v>
      </c>
      <c r="H758" t="str" cm="1">
        <f t="array" ref="H758">_xlfn.IFS(E758&gt;=16, "Excellent",E758&gt;=14, "Très bien", E758&gt;=12, "Bien", E758&gt;=10, "Passable", E758&lt;10, "Insuffisant")</f>
        <v>Insuffisant</v>
      </c>
      <c r="I758" s="14" t="str">
        <f t="shared" si="33"/>
        <v>A surveiller</v>
      </c>
      <c r="J758" s="14" t="str">
        <f t="shared" si="34"/>
        <v>Data</v>
      </c>
      <c r="L758" s="16"/>
    </row>
    <row r="759" spans="1:12">
      <c r="A759" t="s">
        <v>1169</v>
      </c>
      <c r="B759" t="s">
        <v>518</v>
      </c>
      <c r="C759" t="s">
        <v>48</v>
      </c>
      <c r="D759">
        <v>13.63</v>
      </c>
      <c r="E759">
        <v>18.440000000000001</v>
      </c>
      <c r="F759" s="11">
        <v>0.92059999999999997</v>
      </c>
      <c r="G759" t="str">
        <f t="shared" si="35"/>
        <v>Admis</v>
      </c>
      <c r="H759" t="str" cm="1">
        <f t="array" ref="H759">_xlfn.IFS(E759&gt;=16, "Excellent",E759&gt;=14, "Très bien", E759&gt;=12, "Bien", E759&gt;=10, "Passable", E759&lt;10, "Insuffisant")</f>
        <v>Excellent</v>
      </c>
      <c r="I759" s="14" t="str">
        <f t="shared" si="33"/>
        <v>RAS</v>
      </c>
      <c r="J759" s="14" t="str">
        <f t="shared" si="34"/>
        <v>Autre filière</v>
      </c>
      <c r="L759" s="16"/>
    </row>
    <row r="760" spans="1:12">
      <c r="A760" t="s">
        <v>771</v>
      </c>
      <c r="B760" t="s">
        <v>243</v>
      </c>
      <c r="C760" t="s">
        <v>27</v>
      </c>
      <c r="D760">
        <v>15.99</v>
      </c>
      <c r="E760">
        <v>9.75</v>
      </c>
      <c r="F760" s="11">
        <v>0.68830000000000002</v>
      </c>
      <c r="G760" t="str">
        <f t="shared" si="35"/>
        <v>Refusé</v>
      </c>
      <c r="H760" t="str" cm="1">
        <f t="array" ref="H760">_xlfn.IFS(E760&gt;=16, "Excellent",E760&gt;=14, "Très bien", E760&gt;=12, "Bien", E760&gt;=10, "Passable", E760&lt;10, "Insuffisant")</f>
        <v>Insuffisant</v>
      </c>
      <c r="I760" s="14" t="str">
        <f t="shared" si="33"/>
        <v>A surveiller</v>
      </c>
      <c r="J760" s="14" t="str">
        <f t="shared" si="34"/>
        <v>Autre filière</v>
      </c>
      <c r="L760" s="16"/>
    </row>
    <row r="761" spans="1:12">
      <c r="A761" t="s">
        <v>1306</v>
      </c>
      <c r="B761" t="s">
        <v>1282</v>
      </c>
      <c r="C761" t="s">
        <v>35</v>
      </c>
      <c r="D761">
        <v>8.3800000000000008</v>
      </c>
      <c r="E761">
        <v>10.98</v>
      </c>
      <c r="F761" s="11">
        <v>0.82310000000000005</v>
      </c>
      <c r="G761" t="str">
        <f t="shared" si="35"/>
        <v>Refusé</v>
      </c>
      <c r="H761" t="str" cm="1">
        <f t="array" ref="H761">_xlfn.IFS(E761&gt;=16, "Excellent",E761&gt;=14, "Très bien", E761&gt;=12, "Bien", E761&gt;=10, "Passable", E761&lt;10, "Insuffisant")</f>
        <v>Passable</v>
      </c>
      <c r="I761" s="14" t="str">
        <f t="shared" si="33"/>
        <v>A surveiller</v>
      </c>
      <c r="J761" s="14" t="str">
        <f t="shared" si="34"/>
        <v>Autre filière</v>
      </c>
      <c r="K761" s="15"/>
      <c r="L761" s="16"/>
    </row>
    <row r="762" spans="1:12">
      <c r="A762" t="s">
        <v>138</v>
      </c>
      <c r="B762" t="s">
        <v>139</v>
      </c>
      <c r="C762" t="s">
        <v>35</v>
      </c>
      <c r="D762">
        <v>15.3</v>
      </c>
      <c r="E762">
        <v>14.86</v>
      </c>
      <c r="F762" s="11">
        <v>0.89</v>
      </c>
      <c r="G762" t="str">
        <f t="shared" si="35"/>
        <v>Admis</v>
      </c>
      <c r="H762" t="str" cm="1">
        <f t="array" ref="H762">_xlfn.IFS(E762&gt;=16, "Excellent",E762&gt;=14, "Très bien", E762&gt;=12, "Bien", E762&gt;=10, "Passable", E762&lt;10, "Insuffisant")</f>
        <v>Très bien</v>
      </c>
      <c r="I762" s="14" t="str">
        <f t="shared" si="33"/>
        <v>RAS</v>
      </c>
      <c r="J762" s="14" t="str">
        <f t="shared" si="34"/>
        <v>Autre filière</v>
      </c>
      <c r="K762" s="15"/>
      <c r="L762" s="16"/>
    </row>
    <row r="763" spans="1:12">
      <c r="A763" t="s">
        <v>730</v>
      </c>
      <c r="B763" t="s">
        <v>731</v>
      </c>
      <c r="C763" t="s">
        <v>27</v>
      </c>
      <c r="D763">
        <v>11.08</v>
      </c>
      <c r="E763">
        <v>12.79</v>
      </c>
      <c r="F763" s="11">
        <v>0.68140000000000001</v>
      </c>
      <c r="G763" t="str">
        <f t="shared" si="35"/>
        <v>Admis sous condition</v>
      </c>
      <c r="H763" t="str" cm="1">
        <f t="array" ref="H763">_xlfn.IFS(E763&gt;=16, "Excellent",E763&gt;=14, "Très bien", E763&gt;=12, "Bien", E763&gt;=10, "Passable", E763&lt;10, "Insuffisant")</f>
        <v>Bien</v>
      </c>
      <c r="I763" s="14" t="str">
        <f t="shared" si="33"/>
        <v>A surveiller</v>
      </c>
      <c r="J763" s="14" t="str">
        <f t="shared" si="34"/>
        <v>Autre filière</v>
      </c>
      <c r="L763" s="16"/>
    </row>
    <row r="764" spans="1:12">
      <c r="A764" t="s">
        <v>1277</v>
      </c>
      <c r="B764" t="s">
        <v>359</v>
      </c>
      <c r="C764" t="s">
        <v>22</v>
      </c>
      <c r="D764">
        <v>12.43</v>
      </c>
      <c r="E764">
        <v>11.68</v>
      </c>
      <c r="F764" s="11">
        <v>0.78869999999999996</v>
      </c>
      <c r="G764" t="str">
        <f t="shared" si="35"/>
        <v>Admis sous condition</v>
      </c>
      <c r="H764" t="str" cm="1">
        <f t="array" ref="H764">_xlfn.IFS(E764&gt;=16, "Excellent",E764&gt;=14, "Très bien", E764&gt;=12, "Bien", E764&gt;=10, "Passable", E764&lt;10, "Insuffisant")</f>
        <v>Passable</v>
      </c>
      <c r="I764" s="14" t="str">
        <f t="shared" si="33"/>
        <v>RAS</v>
      </c>
      <c r="J764" s="14" t="str">
        <f t="shared" si="34"/>
        <v>Data</v>
      </c>
      <c r="L764" s="16"/>
    </row>
    <row r="765" spans="1:12">
      <c r="A765" t="s">
        <v>692</v>
      </c>
      <c r="B765" t="s">
        <v>655</v>
      </c>
      <c r="C765" t="s">
        <v>22</v>
      </c>
      <c r="D765">
        <v>10.76</v>
      </c>
      <c r="E765">
        <v>12.5</v>
      </c>
      <c r="F765" s="11">
        <v>0.83109999999999995</v>
      </c>
      <c r="G765" t="str">
        <f t="shared" si="35"/>
        <v>Admis sous condition</v>
      </c>
      <c r="H765" t="str" cm="1">
        <f t="array" ref="H765">_xlfn.IFS(E765&gt;=16, "Excellent",E765&gt;=14, "Très bien", E765&gt;=12, "Bien", E765&gt;=10, "Passable", E765&lt;10, "Insuffisant")</f>
        <v>Bien</v>
      </c>
      <c r="I765" s="14" t="str">
        <f t="shared" si="33"/>
        <v>RAS</v>
      </c>
      <c r="J765" s="14" t="str">
        <f t="shared" si="34"/>
        <v>Data</v>
      </c>
      <c r="K765" s="15"/>
      <c r="L765" s="16"/>
    </row>
    <row r="766" spans="1:12">
      <c r="A766" t="s">
        <v>902</v>
      </c>
      <c r="B766" t="s">
        <v>805</v>
      </c>
      <c r="C766" t="s">
        <v>48</v>
      </c>
      <c r="D766">
        <v>10.52</v>
      </c>
      <c r="E766">
        <v>9.1199999999999992</v>
      </c>
      <c r="F766" s="11">
        <v>0.87170000000000003</v>
      </c>
      <c r="G766" t="str">
        <f t="shared" si="35"/>
        <v>Refusé</v>
      </c>
      <c r="H766" t="str" cm="1">
        <f t="array" ref="H766">_xlfn.IFS(E766&gt;=16, "Excellent",E766&gt;=14, "Très bien", E766&gt;=12, "Bien", E766&gt;=10, "Passable", E766&lt;10, "Insuffisant")</f>
        <v>Insuffisant</v>
      </c>
      <c r="I766" s="14" t="str">
        <f t="shared" si="33"/>
        <v>A surveiller</v>
      </c>
      <c r="J766" s="14" t="str">
        <f t="shared" si="34"/>
        <v>Autre filière</v>
      </c>
      <c r="K766" s="15"/>
      <c r="L766" s="16"/>
    </row>
    <row r="767" spans="1:12">
      <c r="A767" t="s">
        <v>672</v>
      </c>
      <c r="B767" t="s">
        <v>337</v>
      </c>
      <c r="C767" t="s">
        <v>27</v>
      </c>
      <c r="D767">
        <v>11.3</v>
      </c>
      <c r="E767">
        <v>8.94</v>
      </c>
      <c r="F767" s="11">
        <v>0.87849999999999995</v>
      </c>
      <c r="G767" t="str">
        <f t="shared" si="35"/>
        <v>Refusé</v>
      </c>
      <c r="H767" t="str" cm="1">
        <f t="array" ref="H767">_xlfn.IFS(E767&gt;=16, "Excellent",E767&gt;=14, "Très bien", E767&gt;=12, "Bien", E767&gt;=10, "Passable", E767&lt;10, "Insuffisant")</f>
        <v>Insuffisant</v>
      </c>
      <c r="I767" s="14" t="str">
        <f t="shared" si="33"/>
        <v>A surveiller</v>
      </c>
      <c r="J767" s="14" t="str">
        <f t="shared" si="34"/>
        <v>Autre filière</v>
      </c>
      <c r="K767" s="15"/>
      <c r="L767" s="16"/>
    </row>
    <row r="768" spans="1:12">
      <c r="A768" t="s">
        <v>223</v>
      </c>
      <c r="B768" t="s">
        <v>224</v>
      </c>
      <c r="C768" t="s">
        <v>35</v>
      </c>
      <c r="D768">
        <v>8.43</v>
      </c>
      <c r="E768">
        <v>7.64</v>
      </c>
      <c r="F768" s="11">
        <v>0.6411</v>
      </c>
      <c r="G768" t="str">
        <f t="shared" si="35"/>
        <v>Refusé</v>
      </c>
      <c r="H768" t="str" cm="1">
        <f t="array" ref="H768">_xlfn.IFS(E768&gt;=16, "Excellent",E768&gt;=14, "Très bien", E768&gt;=12, "Bien", E768&gt;=10, "Passable", E768&lt;10, "Insuffisant")</f>
        <v>Insuffisant</v>
      </c>
      <c r="I768" s="14" t="str">
        <f t="shared" si="33"/>
        <v>A surveiller</v>
      </c>
      <c r="J768" s="14" t="str">
        <f t="shared" si="34"/>
        <v>Autre filière</v>
      </c>
      <c r="L768" s="16"/>
    </row>
    <row r="769" spans="1:12">
      <c r="A769" t="s">
        <v>1326</v>
      </c>
      <c r="B769" t="s">
        <v>404</v>
      </c>
      <c r="C769" t="s">
        <v>35</v>
      </c>
      <c r="D769">
        <v>15.83</v>
      </c>
      <c r="E769">
        <v>20</v>
      </c>
      <c r="F769" s="11">
        <v>0.90310000000000001</v>
      </c>
      <c r="G769" t="str">
        <f t="shared" si="35"/>
        <v>Admis</v>
      </c>
      <c r="H769" t="str" cm="1">
        <f t="array" ref="H769">_xlfn.IFS(E769&gt;=16, "Excellent",E769&gt;=14, "Très bien", E769&gt;=12, "Bien", E769&gt;=10, "Passable", E769&lt;10, "Insuffisant")</f>
        <v>Excellent</v>
      </c>
      <c r="I769" s="14" t="str">
        <f t="shared" si="33"/>
        <v>RAS</v>
      </c>
      <c r="J769" s="14" t="str">
        <f t="shared" si="34"/>
        <v>Autre filière</v>
      </c>
      <c r="L769" s="16"/>
    </row>
    <row r="770" spans="1:12">
      <c r="A770" t="s">
        <v>1263</v>
      </c>
      <c r="B770" t="s">
        <v>825</v>
      </c>
      <c r="C770" t="s">
        <v>22</v>
      </c>
      <c r="D770">
        <v>9.2100000000000009</v>
      </c>
      <c r="E770">
        <v>12.16</v>
      </c>
      <c r="F770" s="11">
        <v>0.98309999999999997</v>
      </c>
      <c r="G770" t="str">
        <f t="shared" si="35"/>
        <v>Refusé</v>
      </c>
      <c r="H770" t="str" cm="1">
        <f t="array" ref="H770">_xlfn.IFS(E770&gt;=16, "Excellent",E770&gt;=14, "Très bien", E770&gt;=12, "Bien", E770&gt;=10, "Passable", E770&lt;10, "Insuffisant")</f>
        <v>Bien</v>
      </c>
      <c r="I770" s="14" t="str">
        <f t="shared" si="33"/>
        <v>A surveiller</v>
      </c>
      <c r="J770" s="14" t="str">
        <f t="shared" si="34"/>
        <v>Data</v>
      </c>
      <c r="L770" s="16"/>
    </row>
    <row r="771" spans="1:12">
      <c r="A771" t="s">
        <v>749</v>
      </c>
      <c r="B771" t="s">
        <v>532</v>
      </c>
      <c r="C771" t="s">
        <v>22</v>
      </c>
      <c r="D771">
        <v>8.3000000000000007</v>
      </c>
      <c r="E771">
        <v>12.39</v>
      </c>
      <c r="F771" s="11">
        <v>0.74929999999999997</v>
      </c>
      <c r="G771" t="str">
        <f t="shared" si="35"/>
        <v>Refusé</v>
      </c>
      <c r="H771" t="str" cm="1">
        <f t="array" ref="H771">_xlfn.IFS(E771&gt;=16, "Excellent",E771&gt;=14, "Très bien", E771&gt;=12, "Bien", E771&gt;=10, "Passable", E771&lt;10, "Insuffisant")</f>
        <v>Bien</v>
      </c>
      <c r="I771" s="14" t="str">
        <f t="shared" ref="I771:I834" si="36">IF(OR(D771&lt;10,E771&lt;10,F771&lt;70%), "A surveiller", "RAS")</f>
        <v>A surveiller</v>
      </c>
      <c r="J771" s="14" t="str">
        <f t="shared" ref="J771:J834" si="37">IF(NOT(C771="Data"), "Autre filière", "Data")</f>
        <v>Data</v>
      </c>
      <c r="L771" s="16"/>
    </row>
    <row r="772" spans="1:12">
      <c r="A772" t="s">
        <v>871</v>
      </c>
      <c r="B772" t="s">
        <v>872</v>
      </c>
      <c r="C772" t="s">
        <v>27</v>
      </c>
      <c r="D772">
        <v>8.91</v>
      </c>
      <c r="E772">
        <v>10.17</v>
      </c>
      <c r="F772" s="11">
        <v>0.97309999999999997</v>
      </c>
      <c r="G772" t="str">
        <f t="shared" si="35"/>
        <v>Refusé</v>
      </c>
      <c r="H772" t="str" cm="1">
        <f t="array" ref="H772">_xlfn.IFS(E772&gt;=16, "Excellent",E772&gt;=14, "Très bien", E772&gt;=12, "Bien", E772&gt;=10, "Passable", E772&lt;10, "Insuffisant")</f>
        <v>Passable</v>
      </c>
      <c r="I772" s="14" t="str">
        <f t="shared" si="36"/>
        <v>A surveiller</v>
      </c>
      <c r="J772" s="14" t="str">
        <f t="shared" si="37"/>
        <v>Autre filière</v>
      </c>
      <c r="L772" s="16"/>
    </row>
    <row r="773" spans="1:12">
      <c r="A773" t="s">
        <v>546</v>
      </c>
      <c r="B773" t="s">
        <v>256</v>
      </c>
      <c r="C773" t="s">
        <v>48</v>
      </c>
      <c r="D773">
        <v>9.18</v>
      </c>
      <c r="E773">
        <v>7.54</v>
      </c>
      <c r="F773" s="11">
        <v>0.60060000000000002</v>
      </c>
      <c r="G773" t="str">
        <f t="shared" si="35"/>
        <v>Refusé</v>
      </c>
      <c r="H773" t="str" cm="1">
        <f t="array" ref="H773">_xlfn.IFS(E773&gt;=16, "Excellent",E773&gt;=14, "Très bien", E773&gt;=12, "Bien", E773&gt;=10, "Passable", E773&lt;10, "Insuffisant")</f>
        <v>Insuffisant</v>
      </c>
      <c r="I773" s="14" t="str">
        <f t="shared" si="36"/>
        <v>A surveiller</v>
      </c>
      <c r="J773" s="14" t="str">
        <f t="shared" si="37"/>
        <v>Autre filière</v>
      </c>
      <c r="L773" s="16"/>
    </row>
    <row r="774" spans="1:12">
      <c r="A774" t="s">
        <v>542</v>
      </c>
      <c r="B774" t="s">
        <v>543</v>
      </c>
      <c r="C774" t="s">
        <v>27</v>
      </c>
      <c r="D774">
        <v>10.78</v>
      </c>
      <c r="E774">
        <v>12.87</v>
      </c>
      <c r="F774" s="11">
        <v>0.88970000000000005</v>
      </c>
      <c r="G774" t="str">
        <f t="shared" si="35"/>
        <v>Admis sous condition</v>
      </c>
      <c r="H774" t="str" cm="1">
        <f t="array" ref="H774">_xlfn.IFS(E774&gt;=16, "Excellent",E774&gt;=14, "Très bien", E774&gt;=12, "Bien", E774&gt;=10, "Passable", E774&lt;10, "Insuffisant")</f>
        <v>Bien</v>
      </c>
      <c r="I774" s="14" t="str">
        <f t="shared" si="36"/>
        <v>RAS</v>
      </c>
      <c r="J774" s="14" t="str">
        <f t="shared" si="37"/>
        <v>Autre filière</v>
      </c>
      <c r="K774" s="15"/>
      <c r="L774" s="16"/>
    </row>
    <row r="775" spans="1:12">
      <c r="A775" t="s">
        <v>1307</v>
      </c>
      <c r="B775" t="s">
        <v>521</v>
      </c>
      <c r="C775" t="s">
        <v>48</v>
      </c>
      <c r="D775">
        <v>8.83</v>
      </c>
      <c r="E775">
        <v>8.42</v>
      </c>
      <c r="F775" s="11">
        <v>0.73939999999999995</v>
      </c>
      <c r="G775" t="str">
        <f t="shared" si="35"/>
        <v>Refusé</v>
      </c>
      <c r="H775" t="str" cm="1">
        <f t="array" ref="H775">_xlfn.IFS(E775&gt;=16, "Excellent",E775&gt;=14, "Très bien", E775&gt;=12, "Bien", E775&gt;=10, "Passable", E775&lt;10, "Insuffisant")</f>
        <v>Insuffisant</v>
      </c>
      <c r="I775" s="14" t="str">
        <f t="shared" si="36"/>
        <v>A surveiller</v>
      </c>
      <c r="J775" s="14" t="str">
        <f t="shared" si="37"/>
        <v>Autre filière</v>
      </c>
      <c r="L775" s="16"/>
    </row>
    <row r="776" spans="1:12">
      <c r="A776" t="s">
        <v>914</v>
      </c>
      <c r="B776" t="s">
        <v>915</v>
      </c>
      <c r="C776" t="s">
        <v>35</v>
      </c>
      <c r="D776">
        <v>9.85</v>
      </c>
      <c r="E776">
        <v>10.46</v>
      </c>
      <c r="F776" s="11">
        <v>0.84309999999999996</v>
      </c>
      <c r="G776" t="str">
        <f t="shared" si="35"/>
        <v>Refusé</v>
      </c>
      <c r="H776" t="str" cm="1">
        <f t="array" ref="H776">_xlfn.IFS(E776&gt;=16, "Excellent",E776&gt;=14, "Très bien", E776&gt;=12, "Bien", E776&gt;=10, "Passable", E776&lt;10, "Insuffisant")</f>
        <v>Passable</v>
      </c>
      <c r="I776" s="14" t="str">
        <f t="shared" si="36"/>
        <v>A surveiller</v>
      </c>
      <c r="J776" s="14" t="str">
        <f t="shared" si="37"/>
        <v>Autre filière</v>
      </c>
      <c r="K776" s="15"/>
      <c r="L776" s="16"/>
    </row>
    <row r="777" spans="1:12">
      <c r="A777" t="s">
        <v>868</v>
      </c>
      <c r="B777" t="s">
        <v>102</v>
      </c>
      <c r="C777" t="s">
        <v>48</v>
      </c>
      <c r="D777">
        <v>11.75</v>
      </c>
      <c r="E777">
        <v>9.32</v>
      </c>
      <c r="F777" s="11">
        <v>0.79779999999999995</v>
      </c>
      <c r="G777" t="str">
        <f t="shared" si="35"/>
        <v>Refusé</v>
      </c>
      <c r="H777" t="str" cm="1">
        <f t="array" ref="H777">_xlfn.IFS(E777&gt;=16, "Excellent",E777&gt;=14, "Très bien", E777&gt;=12, "Bien", E777&gt;=10, "Passable", E777&lt;10, "Insuffisant")</f>
        <v>Insuffisant</v>
      </c>
      <c r="I777" s="14" t="str">
        <f t="shared" si="36"/>
        <v>A surveiller</v>
      </c>
      <c r="J777" s="14" t="str">
        <f t="shared" si="37"/>
        <v>Autre filière</v>
      </c>
      <c r="L777" s="16"/>
    </row>
    <row r="778" spans="1:12">
      <c r="A778" t="s">
        <v>498</v>
      </c>
      <c r="B778" t="s">
        <v>146</v>
      </c>
      <c r="C778" t="s">
        <v>48</v>
      </c>
      <c r="D778">
        <v>10.32</v>
      </c>
      <c r="E778">
        <v>9.65</v>
      </c>
      <c r="F778" s="11">
        <v>0.95789999999999997</v>
      </c>
      <c r="G778" t="str">
        <f t="shared" si="35"/>
        <v>Refusé</v>
      </c>
      <c r="H778" t="str" cm="1">
        <f t="array" ref="H778">_xlfn.IFS(E778&gt;=16, "Excellent",E778&gt;=14, "Très bien", E778&gt;=12, "Bien", E778&gt;=10, "Passable", E778&lt;10, "Insuffisant")</f>
        <v>Insuffisant</v>
      </c>
      <c r="I778" s="14" t="str">
        <f t="shared" si="36"/>
        <v>A surveiller</v>
      </c>
      <c r="J778" s="14" t="str">
        <f t="shared" si="37"/>
        <v>Autre filière</v>
      </c>
      <c r="L778" s="16"/>
    </row>
    <row r="779" spans="1:12">
      <c r="A779" t="s">
        <v>495</v>
      </c>
      <c r="B779" t="s">
        <v>496</v>
      </c>
      <c r="C779" t="s">
        <v>27</v>
      </c>
      <c r="D779">
        <v>6.66</v>
      </c>
      <c r="E779">
        <v>11.92</v>
      </c>
      <c r="F779" s="11">
        <v>0.95240000000000002</v>
      </c>
      <c r="G779" t="str">
        <f t="shared" si="35"/>
        <v>Refusé</v>
      </c>
      <c r="H779" t="str" cm="1">
        <f t="array" ref="H779">_xlfn.IFS(E779&gt;=16, "Excellent",E779&gt;=14, "Très bien", E779&gt;=12, "Bien", E779&gt;=10, "Passable", E779&lt;10, "Insuffisant")</f>
        <v>Passable</v>
      </c>
      <c r="I779" s="14" t="str">
        <f t="shared" si="36"/>
        <v>A surveiller</v>
      </c>
      <c r="J779" s="14" t="str">
        <f t="shared" si="37"/>
        <v>Autre filière</v>
      </c>
      <c r="L779" s="16"/>
    </row>
    <row r="780" spans="1:12">
      <c r="A780" t="s">
        <v>371</v>
      </c>
      <c r="B780" t="s">
        <v>372</v>
      </c>
      <c r="C780" t="s">
        <v>35</v>
      </c>
      <c r="D780">
        <v>9.5399999999999991</v>
      </c>
      <c r="E780">
        <v>10.23</v>
      </c>
      <c r="F780" s="11">
        <v>0.93899999999999995</v>
      </c>
      <c r="G780" t="str">
        <f t="shared" si="35"/>
        <v>Refusé</v>
      </c>
      <c r="H780" t="str" cm="1">
        <f t="array" ref="H780">_xlfn.IFS(E780&gt;=16, "Excellent",E780&gt;=14, "Très bien", E780&gt;=12, "Bien", E780&gt;=10, "Passable", E780&lt;10, "Insuffisant")</f>
        <v>Passable</v>
      </c>
      <c r="I780" s="14" t="str">
        <f t="shared" si="36"/>
        <v>A surveiller</v>
      </c>
      <c r="J780" s="14" t="str">
        <f t="shared" si="37"/>
        <v>Autre filière</v>
      </c>
      <c r="L780" s="16"/>
    </row>
    <row r="781" spans="1:12">
      <c r="A781" t="s">
        <v>796</v>
      </c>
      <c r="B781" t="s">
        <v>770</v>
      </c>
      <c r="C781" t="s">
        <v>22</v>
      </c>
      <c r="D781">
        <v>15.06</v>
      </c>
      <c r="E781">
        <v>16.93</v>
      </c>
      <c r="F781" s="11">
        <v>0.55000000000000004</v>
      </c>
      <c r="G781" t="str">
        <f t="shared" ref="G781:G844" si="38">IF(AND(D781&gt;=12,E781&gt;=12,F781&gt;=80%),"Admis",IF(AND(D781&gt;=10,E781&gt;=10),"Admis sous condition","Refusé"))</f>
        <v>Admis sous condition</v>
      </c>
      <c r="H781" t="str" cm="1">
        <f t="array" ref="H781">_xlfn.IFS(E781&gt;=16, "Excellent",E781&gt;=14, "Très bien", E781&gt;=12, "Bien", E781&gt;=10, "Passable", E781&lt;10, "Insuffisant")</f>
        <v>Excellent</v>
      </c>
      <c r="I781" s="14" t="str">
        <f t="shared" si="36"/>
        <v>A surveiller</v>
      </c>
      <c r="J781" s="14" t="str">
        <f t="shared" si="37"/>
        <v>Data</v>
      </c>
      <c r="L781" s="16"/>
    </row>
    <row r="782" spans="1:12">
      <c r="A782" t="s">
        <v>889</v>
      </c>
      <c r="B782" t="s">
        <v>541</v>
      </c>
      <c r="C782" t="s">
        <v>22</v>
      </c>
      <c r="D782">
        <v>15.39</v>
      </c>
      <c r="E782">
        <v>14.21</v>
      </c>
      <c r="F782" s="11">
        <v>0.66379999999999995</v>
      </c>
      <c r="G782" t="str">
        <f t="shared" si="38"/>
        <v>Admis sous condition</v>
      </c>
      <c r="H782" t="str" cm="1">
        <f t="array" ref="H782">_xlfn.IFS(E782&gt;=16, "Excellent",E782&gt;=14, "Très bien", E782&gt;=12, "Bien", E782&gt;=10, "Passable", E782&lt;10, "Insuffisant")</f>
        <v>Très bien</v>
      </c>
      <c r="I782" s="14" t="str">
        <f t="shared" si="36"/>
        <v>A surveiller</v>
      </c>
      <c r="J782" s="14" t="str">
        <f t="shared" si="37"/>
        <v>Data</v>
      </c>
      <c r="L782" s="16"/>
    </row>
    <row r="783" spans="1:12">
      <c r="A783" t="s">
        <v>1003</v>
      </c>
      <c r="B783" t="s">
        <v>173</v>
      </c>
      <c r="C783" t="s">
        <v>22</v>
      </c>
      <c r="D783">
        <v>15.69</v>
      </c>
      <c r="E783">
        <v>12.91</v>
      </c>
      <c r="F783" s="11">
        <v>0.90949999999999998</v>
      </c>
      <c r="G783" t="str">
        <f t="shared" si="38"/>
        <v>Admis</v>
      </c>
      <c r="H783" t="str" cm="1">
        <f t="array" ref="H783">_xlfn.IFS(E783&gt;=16, "Excellent",E783&gt;=14, "Très bien", E783&gt;=12, "Bien", E783&gt;=10, "Passable", E783&lt;10, "Insuffisant")</f>
        <v>Bien</v>
      </c>
      <c r="I783" s="14" t="str">
        <f t="shared" si="36"/>
        <v>RAS</v>
      </c>
      <c r="J783" s="14" t="str">
        <f t="shared" si="37"/>
        <v>Data</v>
      </c>
      <c r="L783" s="16"/>
    </row>
    <row r="784" spans="1:12">
      <c r="A784" t="s">
        <v>885</v>
      </c>
      <c r="B784" t="s">
        <v>50</v>
      </c>
      <c r="C784" t="s">
        <v>35</v>
      </c>
      <c r="D784">
        <v>17.43</v>
      </c>
      <c r="E784">
        <v>18.43</v>
      </c>
      <c r="F784" s="11">
        <v>0.61609999999999998</v>
      </c>
      <c r="G784" t="str">
        <f t="shared" si="38"/>
        <v>Admis sous condition</v>
      </c>
      <c r="H784" t="str" cm="1">
        <f t="array" ref="H784">_xlfn.IFS(E784&gt;=16, "Excellent",E784&gt;=14, "Très bien", E784&gt;=12, "Bien", E784&gt;=10, "Passable", E784&lt;10, "Insuffisant")</f>
        <v>Excellent</v>
      </c>
      <c r="I784" s="14" t="str">
        <f t="shared" si="36"/>
        <v>A surveiller</v>
      </c>
      <c r="J784" s="14" t="str">
        <f t="shared" si="37"/>
        <v>Autre filière</v>
      </c>
      <c r="L784" s="16"/>
    </row>
    <row r="785" spans="1:12">
      <c r="A785" t="s">
        <v>1104</v>
      </c>
      <c r="B785" t="s">
        <v>131</v>
      </c>
      <c r="C785" t="s">
        <v>48</v>
      </c>
      <c r="D785">
        <v>13.71</v>
      </c>
      <c r="E785">
        <v>10.82</v>
      </c>
      <c r="F785" s="11">
        <v>0.82840000000000003</v>
      </c>
      <c r="G785" t="str">
        <f t="shared" si="38"/>
        <v>Admis sous condition</v>
      </c>
      <c r="H785" t="str" cm="1">
        <f t="array" ref="H785">_xlfn.IFS(E785&gt;=16, "Excellent",E785&gt;=14, "Très bien", E785&gt;=12, "Bien", E785&gt;=10, "Passable", E785&lt;10, "Insuffisant")</f>
        <v>Passable</v>
      </c>
      <c r="I785" s="14" t="str">
        <f t="shared" si="36"/>
        <v>RAS</v>
      </c>
      <c r="J785" s="14" t="str">
        <f t="shared" si="37"/>
        <v>Autre filière</v>
      </c>
      <c r="K785" s="15"/>
      <c r="L785" s="16"/>
    </row>
    <row r="786" spans="1:12">
      <c r="A786" t="s">
        <v>1331</v>
      </c>
      <c r="B786" t="s">
        <v>382</v>
      </c>
      <c r="C786" t="s">
        <v>22</v>
      </c>
      <c r="D786">
        <v>11.57</v>
      </c>
      <c r="E786">
        <v>18.86</v>
      </c>
      <c r="F786" s="11">
        <v>0.94410000000000005</v>
      </c>
      <c r="G786" t="str">
        <f t="shared" si="38"/>
        <v>Admis sous condition</v>
      </c>
      <c r="H786" t="str" cm="1">
        <f t="array" ref="H786">_xlfn.IFS(E786&gt;=16, "Excellent",E786&gt;=14, "Très bien", E786&gt;=12, "Bien", E786&gt;=10, "Passable", E786&lt;10, "Insuffisant")</f>
        <v>Excellent</v>
      </c>
      <c r="I786" s="14" t="str">
        <f t="shared" si="36"/>
        <v>RAS</v>
      </c>
      <c r="J786" s="14" t="str">
        <f t="shared" si="37"/>
        <v>Data</v>
      </c>
      <c r="L786" s="16"/>
    </row>
    <row r="787" spans="1:12">
      <c r="A787" t="s">
        <v>1305</v>
      </c>
      <c r="B787" t="s">
        <v>264</v>
      </c>
      <c r="C787" t="s">
        <v>27</v>
      </c>
      <c r="D787">
        <v>11.48</v>
      </c>
      <c r="E787">
        <v>8.1300000000000008</v>
      </c>
      <c r="F787" s="11">
        <v>0.94620000000000004</v>
      </c>
      <c r="G787" t="str">
        <f t="shared" si="38"/>
        <v>Refusé</v>
      </c>
      <c r="H787" t="str" cm="1">
        <f t="array" ref="H787">_xlfn.IFS(E787&gt;=16, "Excellent",E787&gt;=14, "Très bien", E787&gt;=12, "Bien", E787&gt;=10, "Passable", E787&lt;10, "Insuffisant")</f>
        <v>Insuffisant</v>
      </c>
      <c r="I787" s="14" t="str">
        <f t="shared" si="36"/>
        <v>A surveiller</v>
      </c>
      <c r="J787" s="14" t="str">
        <f t="shared" si="37"/>
        <v>Autre filière</v>
      </c>
      <c r="L787" s="16"/>
    </row>
    <row r="788" spans="1:12">
      <c r="A788" t="s">
        <v>505</v>
      </c>
      <c r="B788" t="s">
        <v>506</v>
      </c>
      <c r="C788" t="s">
        <v>48</v>
      </c>
      <c r="D788">
        <v>14.21</v>
      </c>
      <c r="E788">
        <v>14.2</v>
      </c>
      <c r="F788" s="11">
        <v>0.91249999999999998</v>
      </c>
      <c r="G788" t="str">
        <f t="shared" si="38"/>
        <v>Admis</v>
      </c>
      <c r="H788" t="str" cm="1">
        <f t="array" ref="H788">_xlfn.IFS(E788&gt;=16, "Excellent",E788&gt;=14, "Très bien", E788&gt;=12, "Bien", E788&gt;=10, "Passable", E788&lt;10, "Insuffisant")</f>
        <v>Très bien</v>
      </c>
      <c r="I788" s="14" t="str">
        <f t="shared" si="36"/>
        <v>RAS</v>
      </c>
      <c r="J788" s="14" t="str">
        <f t="shared" si="37"/>
        <v>Autre filière</v>
      </c>
      <c r="L788" s="16"/>
    </row>
    <row r="789" spans="1:12">
      <c r="A789" t="s">
        <v>645</v>
      </c>
      <c r="B789" t="s">
        <v>646</v>
      </c>
      <c r="C789" t="s">
        <v>22</v>
      </c>
      <c r="D789">
        <v>12.8</v>
      </c>
      <c r="E789">
        <v>13.53</v>
      </c>
      <c r="F789" s="11">
        <v>0.92059999999999997</v>
      </c>
      <c r="G789" t="str">
        <f t="shared" si="38"/>
        <v>Admis</v>
      </c>
      <c r="H789" t="str" cm="1">
        <f t="array" ref="H789">_xlfn.IFS(E789&gt;=16, "Excellent",E789&gt;=14, "Très bien", E789&gt;=12, "Bien", E789&gt;=10, "Passable", E789&lt;10, "Insuffisant")</f>
        <v>Bien</v>
      </c>
      <c r="I789" s="14" t="str">
        <f t="shared" si="36"/>
        <v>RAS</v>
      </c>
      <c r="J789" s="14" t="str">
        <f t="shared" si="37"/>
        <v>Data</v>
      </c>
      <c r="L789" s="16"/>
    </row>
    <row r="790" spans="1:12">
      <c r="A790" t="s">
        <v>1055</v>
      </c>
      <c r="B790" t="s">
        <v>262</v>
      </c>
      <c r="C790" t="s">
        <v>22</v>
      </c>
      <c r="D790">
        <v>9.36</v>
      </c>
      <c r="E790">
        <v>8.14</v>
      </c>
      <c r="F790" s="11">
        <v>0.70140000000000002</v>
      </c>
      <c r="G790" t="str">
        <f t="shared" si="38"/>
        <v>Refusé</v>
      </c>
      <c r="H790" t="str" cm="1">
        <f t="array" ref="H790">_xlfn.IFS(E790&gt;=16, "Excellent",E790&gt;=14, "Très bien", E790&gt;=12, "Bien", E790&gt;=10, "Passable", E790&lt;10, "Insuffisant")</f>
        <v>Insuffisant</v>
      </c>
      <c r="I790" s="14" t="str">
        <f t="shared" si="36"/>
        <v>A surveiller</v>
      </c>
      <c r="J790" s="14" t="str">
        <f t="shared" si="37"/>
        <v>Data</v>
      </c>
      <c r="L790" s="16"/>
    </row>
    <row r="791" spans="1:12">
      <c r="A791" t="s">
        <v>42</v>
      </c>
      <c r="B791" t="s">
        <v>43</v>
      </c>
      <c r="C791" t="s">
        <v>27</v>
      </c>
      <c r="D791">
        <v>7.57</v>
      </c>
      <c r="E791">
        <v>12.87</v>
      </c>
      <c r="F791" s="11">
        <v>0.95250000000000001</v>
      </c>
      <c r="G791" t="str">
        <f t="shared" si="38"/>
        <v>Refusé</v>
      </c>
      <c r="H791" t="str" cm="1">
        <f t="array" ref="H791">_xlfn.IFS(E791&gt;=16, "Excellent",E791&gt;=14, "Très bien", E791&gt;=12, "Bien", E791&gt;=10, "Passable", E791&lt;10, "Insuffisant")</f>
        <v>Bien</v>
      </c>
      <c r="I791" s="14" t="str">
        <f t="shared" si="36"/>
        <v>A surveiller</v>
      </c>
      <c r="J791" s="14" t="str">
        <f t="shared" si="37"/>
        <v>Autre filière</v>
      </c>
      <c r="L791" s="16"/>
    </row>
    <row r="792" spans="1:12">
      <c r="A792" t="s">
        <v>1043</v>
      </c>
      <c r="B792" t="s">
        <v>496</v>
      </c>
      <c r="C792" t="s">
        <v>22</v>
      </c>
      <c r="D792">
        <v>11.96</v>
      </c>
      <c r="E792">
        <v>9.91</v>
      </c>
      <c r="F792" s="11">
        <v>0.91900000000000004</v>
      </c>
      <c r="G792" t="str">
        <f t="shared" si="38"/>
        <v>Refusé</v>
      </c>
      <c r="H792" t="str" cm="1">
        <f t="array" ref="H792">_xlfn.IFS(E792&gt;=16, "Excellent",E792&gt;=14, "Très bien", E792&gt;=12, "Bien", E792&gt;=10, "Passable", E792&lt;10, "Insuffisant")</f>
        <v>Insuffisant</v>
      </c>
      <c r="I792" s="14" t="str">
        <f t="shared" si="36"/>
        <v>A surveiller</v>
      </c>
      <c r="J792" s="14" t="str">
        <f t="shared" si="37"/>
        <v>Data</v>
      </c>
      <c r="L792" s="16"/>
    </row>
    <row r="793" spans="1:12">
      <c r="A793" t="s">
        <v>752</v>
      </c>
      <c r="B793" t="s">
        <v>155</v>
      </c>
      <c r="C793" t="s">
        <v>22</v>
      </c>
      <c r="D793">
        <v>9.68</v>
      </c>
      <c r="E793">
        <v>12.29</v>
      </c>
      <c r="F793" s="11">
        <v>0.93579999999999997</v>
      </c>
      <c r="G793" t="str">
        <f t="shared" si="38"/>
        <v>Refusé</v>
      </c>
      <c r="H793" t="str" cm="1">
        <f t="array" ref="H793">_xlfn.IFS(E793&gt;=16, "Excellent",E793&gt;=14, "Très bien", E793&gt;=12, "Bien", E793&gt;=10, "Passable", E793&lt;10, "Insuffisant")</f>
        <v>Bien</v>
      </c>
      <c r="I793" s="14" t="str">
        <f t="shared" si="36"/>
        <v>A surveiller</v>
      </c>
      <c r="J793" s="14" t="str">
        <f t="shared" si="37"/>
        <v>Data</v>
      </c>
      <c r="L793" s="16"/>
    </row>
    <row r="794" spans="1:12">
      <c r="A794" t="s">
        <v>389</v>
      </c>
      <c r="B794" t="s">
        <v>37</v>
      </c>
      <c r="C794" t="s">
        <v>35</v>
      </c>
      <c r="D794">
        <v>9.2200000000000006</v>
      </c>
      <c r="E794">
        <v>11.1</v>
      </c>
      <c r="F794" s="11">
        <v>0.64800000000000002</v>
      </c>
      <c r="G794" t="str">
        <f t="shared" si="38"/>
        <v>Refusé</v>
      </c>
      <c r="H794" t="str" cm="1">
        <f t="array" ref="H794">_xlfn.IFS(E794&gt;=16, "Excellent",E794&gt;=14, "Très bien", E794&gt;=12, "Bien", E794&gt;=10, "Passable", E794&lt;10, "Insuffisant")</f>
        <v>Passable</v>
      </c>
      <c r="I794" s="14" t="str">
        <f t="shared" si="36"/>
        <v>A surveiller</v>
      </c>
      <c r="J794" s="14" t="str">
        <f t="shared" si="37"/>
        <v>Autre filière</v>
      </c>
      <c r="L794" s="16"/>
    </row>
    <row r="795" spans="1:12">
      <c r="A795" t="s">
        <v>959</v>
      </c>
      <c r="B795" t="s">
        <v>241</v>
      </c>
      <c r="C795" t="s">
        <v>35</v>
      </c>
      <c r="D795">
        <v>13.64</v>
      </c>
      <c r="E795">
        <v>14.88</v>
      </c>
      <c r="F795" s="11">
        <v>0.94579999999999997</v>
      </c>
      <c r="G795" t="str">
        <f t="shared" si="38"/>
        <v>Admis</v>
      </c>
      <c r="H795" t="str" cm="1">
        <f t="array" ref="H795">_xlfn.IFS(E795&gt;=16, "Excellent",E795&gt;=14, "Très bien", E795&gt;=12, "Bien", E795&gt;=10, "Passable", E795&lt;10, "Insuffisant")</f>
        <v>Très bien</v>
      </c>
      <c r="I795" s="14" t="str">
        <f t="shared" si="36"/>
        <v>RAS</v>
      </c>
      <c r="J795" s="14" t="str">
        <f t="shared" si="37"/>
        <v>Autre filière</v>
      </c>
      <c r="L795" s="16"/>
    </row>
    <row r="796" spans="1:12">
      <c r="A796" t="s">
        <v>1096</v>
      </c>
      <c r="B796" t="s">
        <v>301</v>
      </c>
      <c r="C796" t="s">
        <v>35</v>
      </c>
      <c r="D796">
        <v>11.85</v>
      </c>
      <c r="E796">
        <v>12.37</v>
      </c>
      <c r="F796" s="11">
        <v>0.82869999999999999</v>
      </c>
      <c r="G796" t="str">
        <f t="shared" si="38"/>
        <v>Admis sous condition</v>
      </c>
      <c r="H796" t="str" cm="1">
        <f t="array" ref="H796">_xlfn.IFS(E796&gt;=16, "Excellent",E796&gt;=14, "Très bien", E796&gt;=12, "Bien", E796&gt;=10, "Passable", E796&lt;10, "Insuffisant")</f>
        <v>Bien</v>
      </c>
      <c r="I796" s="14" t="str">
        <f t="shared" si="36"/>
        <v>RAS</v>
      </c>
      <c r="J796" s="14" t="str">
        <f t="shared" si="37"/>
        <v>Autre filière</v>
      </c>
      <c r="K796" s="15"/>
      <c r="L796" s="16"/>
    </row>
    <row r="797" spans="1:12">
      <c r="A797" t="s">
        <v>1322</v>
      </c>
      <c r="B797" t="s">
        <v>24</v>
      </c>
      <c r="C797" t="s">
        <v>48</v>
      </c>
      <c r="D797">
        <v>11.26</v>
      </c>
      <c r="E797">
        <v>10.4</v>
      </c>
      <c r="F797" s="11">
        <v>0.97289999999999999</v>
      </c>
      <c r="G797" t="str">
        <f t="shared" si="38"/>
        <v>Admis sous condition</v>
      </c>
      <c r="H797" t="str" cm="1">
        <f t="array" ref="H797">_xlfn.IFS(E797&gt;=16, "Excellent",E797&gt;=14, "Très bien", E797&gt;=12, "Bien", E797&gt;=10, "Passable", E797&lt;10, "Insuffisant")</f>
        <v>Passable</v>
      </c>
      <c r="I797" s="14" t="str">
        <f t="shared" si="36"/>
        <v>RAS</v>
      </c>
      <c r="J797" s="14" t="str">
        <f t="shared" si="37"/>
        <v>Autre filière</v>
      </c>
      <c r="L797" s="16"/>
    </row>
    <row r="798" spans="1:12">
      <c r="A798" t="s">
        <v>790</v>
      </c>
      <c r="B798" t="s">
        <v>295</v>
      </c>
      <c r="C798" t="s">
        <v>35</v>
      </c>
      <c r="D798">
        <v>12.24</v>
      </c>
      <c r="E798">
        <v>9.81</v>
      </c>
      <c r="F798" s="11">
        <v>0.85519999999999996</v>
      </c>
      <c r="G798" t="str">
        <f t="shared" si="38"/>
        <v>Refusé</v>
      </c>
      <c r="H798" t="str" cm="1">
        <f t="array" ref="H798">_xlfn.IFS(E798&gt;=16, "Excellent",E798&gt;=14, "Très bien", E798&gt;=12, "Bien", E798&gt;=10, "Passable", E798&lt;10, "Insuffisant")</f>
        <v>Insuffisant</v>
      </c>
      <c r="I798" s="14" t="str">
        <f t="shared" si="36"/>
        <v>A surveiller</v>
      </c>
      <c r="J798" s="14" t="str">
        <f t="shared" si="37"/>
        <v>Autre filière</v>
      </c>
      <c r="K798" s="15"/>
      <c r="L798" s="16"/>
    </row>
    <row r="799" spans="1:12">
      <c r="A799" t="s">
        <v>966</v>
      </c>
      <c r="B799" t="s">
        <v>564</v>
      </c>
      <c r="C799" t="s">
        <v>27</v>
      </c>
      <c r="D799">
        <v>12.06</v>
      </c>
      <c r="E799">
        <v>14.84</v>
      </c>
      <c r="F799" s="11">
        <v>0.85770000000000002</v>
      </c>
      <c r="G799" t="str">
        <f t="shared" si="38"/>
        <v>Admis</v>
      </c>
      <c r="H799" t="str" cm="1">
        <f t="array" ref="H799">_xlfn.IFS(E799&gt;=16, "Excellent",E799&gt;=14, "Très bien", E799&gt;=12, "Bien", E799&gt;=10, "Passable", E799&lt;10, "Insuffisant")</f>
        <v>Très bien</v>
      </c>
      <c r="I799" s="14" t="str">
        <f t="shared" si="36"/>
        <v>RAS</v>
      </c>
      <c r="J799" s="14" t="str">
        <f t="shared" si="37"/>
        <v>Autre filière</v>
      </c>
      <c r="K799" s="15"/>
      <c r="L799" s="16"/>
    </row>
    <row r="800" spans="1:12">
      <c r="A800" t="s">
        <v>1044</v>
      </c>
      <c r="B800" t="s">
        <v>984</v>
      </c>
      <c r="C800" t="s">
        <v>48</v>
      </c>
      <c r="D800">
        <v>9</v>
      </c>
      <c r="E800">
        <v>7.99</v>
      </c>
      <c r="F800" s="11">
        <v>0.86519999999999997</v>
      </c>
      <c r="G800" t="str">
        <f t="shared" si="38"/>
        <v>Refusé</v>
      </c>
      <c r="H800" t="str" cm="1">
        <f t="array" ref="H800">_xlfn.IFS(E800&gt;=16, "Excellent",E800&gt;=14, "Très bien", E800&gt;=12, "Bien", E800&gt;=10, "Passable", E800&lt;10, "Insuffisant")</f>
        <v>Insuffisant</v>
      </c>
      <c r="I800" s="14" t="str">
        <f t="shared" si="36"/>
        <v>A surveiller</v>
      </c>
      <c r="J800" s="14" t="str">
        <f t="shared" si="37"/>
        <v>Autre filière</v>
      </c>
      <c r="K800" s="15"/>
      <c r="L800" s="16"/>
    </row>
    <row r="801" spans="1:12">
      <c r="A801" t="s">
        <v>1240</v>
      </c>
      <c r="B801" t="s">
        <v>178</v>
      </c>
      <c r="C801" t="s">
        <v>22</v>
      </c>
      <c r="D801">
        <v>9.98</v>
      </c>
      <c r="E801">
        <v>5.09</v>
      </c>
      <c r="F801" s="11">
        <v>0.91759999999999997</v>
      </c>
      <c r="G801" t="str">
        <f t="shared" si="38"/>
        <v>Refusé</v>
      </c>
      <c r="H801" t="str" cm="1">
        <f t="array" ref="H801">_xlfn.IFS(E801&gt;=16, "Excellent",E801&gt;=14, "Très bien", E801&gt;=12, "Bien", E801&gt;=10, "Passable", E801&lt;10, "Insuffisant")</f>
        <v>Insuffisant</v>
      </c>
      <c r="I801" s="14" t="str">
        <f t="shared" si="36"/>
        <v>A surveiller</v>
      </c>
      <c r="J801" s="14" t="str">
        <f t="shared" si="37"/>
        <v>Data</v>
      </c>
      <c r="L801" s="16"/>
    </row>
    <row r="802" spans="1:12">
      <c r="A802" t="s">
        <v>892</v>
      </c>
      <c r="B802" t="s">
        <v>77</v>
      </c>
      <c r="C802" t="s">
        <v>35</v>
      </c>
      <c r="D802">
        <v>9.7200000000000006</v>
      </c>
      <c r="E802">
        <v>10.52</v>
      </c>
      <c r="F802" s="11">
        <v>0.62649999999999995</v>
      </c>
      <c r="G802" t="str">
        <f t="shared" si="38"/>
        <v>Refusé</v>
      </c>
      <c r="H802" t="str" cm="1">
        <f t="array" ref="H802">_xlfn.IFS(E802&gt;=16, "Excellent",E802&gt;=14, "Très bien", E802&gt;=12, "Bien", E802&gt;=10, "Passable", E802&lt;10, "Insuffisant")</f>
        <v>Passable</v>
      </c>
      <c r="I802" s="14" t="str">
        <f t="shared" si="36"/>
        <v>A surveiller</v>
      </c>
      <c r="J802" s="14" t="str">
        <f t="shared" si="37"/>
        <v>Autre filière</v>
      </c>
      <c r="L802" s="16"/>
    </row>
    <row r="803" spans="1:12">
      <c r="A803" t="s">
        <v>422</v>
      </c>
      <c r="B803" t="s">
        <v>423</v>
      </c>
      <c r="C803" t="s">
        <v>48</v>
      </c>
      <c r="D803">
        <v>7.95</v>
      </c>
      <c r="E803">
        <v>9.5500000000000007</v>
      </c>
      <c r="F803" s="11">
        <v>0.90759999999999996</v>
      </c>
      <c r="G803" t="str">
        <f t="shared" si="38"/>
        <v>Refusé</v>
      </c>
      <c r="H803" t="str" cm="1">
        <f t="array" ref="H803">_xlfn.IFS(E803&gt;=16, "Excellent",E803&gt;=14, "Très bien", E803&gt;=12, "Bien", E803&gt;=10, "Passable", E803&lt;10, "Insuffisant")</f>
        <v>Insuffisant</v>
      </c>
      <c r="I803" s="14" t="str">
        <f t="shared" si="36"/>
        <v>A surveiller</v>
      </c>
      <c r="J803" s="14" t="str">
        <f t="shared" si="37"/>
        <v>Autre filière</v>
      </c>
      <c r="L803" s="16"/>
    </row>
    <row r="804" spans="1:12">
      <c r="A804" t="s">
        <v>1140</v>
      </c>
      <c r="B804" t="s">
        <v>272</v>
      </c>
      <c r="C804" t="s">
        <v>48</v>
      </c>
      <c r="D804">
        <v>9.7200000000000006</v>
      </c>
      <c r="E804">
        <v>10.34</v>
      </c>
      <c r="F804" s="11">
        <v>0.7349</v>
      </c>
      <c r="G804" t="str">
        <f t="shared" si="38"/>
        <v>Refusé</v>
      </c>
      <c r="H804" t="str" cm="1">
        <f t="array" ref="H804">_xlfn.IFS(E804&gt;=16, "Excellent",E804&gt;=14, "Très bien", E804&gt;=12, "Bien", E804&gt;=10, "Passable", E804&lt;10, "Insuffisant")</f>
        <v>Passable</v>
      </c>
      <c r="I804" s="14" t="str">
        <f t="shared" si="36"/>
        <v>A surveiller</v>
      </c>
      <c r="J804" s="14" t="str">
        <f t="shared" si="37"/>
        <v>Autre filière</v>
      </c>
      <c r="L804" s="16"/>
    </row>
    <row r="805" spans="1:12">
      <c r="A805" t="s">
        <v>628</v>
      </c>
      <c r="B805" t="s">
        <v>589</v>
      </c>
      <c r="C805" t="s">
        <v>27</v>
      </c>
      <c r="D805">
        <v>9.16</v>
      </c>
      <c r="E805">
        <v>11.06</v>
      </c>
      <c r="F805" s="11">
        <v>0.84560000000000002</v>
      </c>
      <c r="G805" t="str">
        <f t="shared" si="38"/>
        <v>Refusé</v>
      </c>
      <c r="H805" t="str" cm="1">
        <f t="array" ref="H805">_xlfn.IFS(E805&gt;=16, "Excellent",E805&gt;=14, "Très bien", E805&gt;=12, "Bien", E805&gt;=10, "Passable", E805&lt;10, "Insuffisant")</f>
        <v>Passable</v>
      </c>
      <c r="I805" s="14" t="str">
        <f t="shared" si="36"/>
        <v>A surveiller</v>
      </c>
      <c r="J805" s="14" t="str">
        <f t="shared" si="37"/>
        <v>Autre filière</v>
      </c>
      <c r="K805" s="15"/>
      <c r="L805" s="16"/>
    </row>
    <row r="806" spans="1:12">
      <c r="A806" t="s">
        <v>1253</v>
      </c>
      <c r="B806" t="s">
        <v>655</v>
      </c>
      <c r="C806" t="s">
        <v>22</v>
      </c>
      <c r="D806">
        <v>11.41</v>
      </c>
      <c r="E806">
        <v>10.49</v>
      </c>
      <c r="F806" s="11">
        <v>0.76900000000000002</v>
      </c>
      <c r="G806" t="str">
        <f t="shared" si="38"/>
        <v>Admis sous condition</v>
      </c>
      <c r="H806" t="str" cm="1">
        <f t="array" ref="H806">_xlfn.IFS(E806&gt;=16, "Excellent",E806&gt;=14, "Très bien", E806&gt;=12, "Bien", E806&gt;=10, "Passable", E806&lt;10, "Insuffisant")</f>
        <v>Passable</v>
      </c>
      <c r="I806" s="14" t="str">
        <f t="shared" si="36"/>
        <v>RAS</v>
      </c>
      <c r="J806" s="14" t="str">
        <f t="shared" si="37"/>
        <v>Data</v>
      </c>
      <c r="L806" s="16"/>
    </row>
    <row r="807" spans="1:12">
      <c r="A807" t="s">
        <v>1159</v>
      </c>
      <c r="B807" t="s">
        <v>186</v>
      </c>
      <c r="C807" t="s">
        <v>48</v>
      </c>
      <c r="D807">
        <v>8.74</v>
      </c>
      <c r="E807">
        <v>11.97</v>
      </c>
      <c r="F807" s="11">
        <v>0.98939999999999995</v>
      </c>
      <c r="G807" t="str">
        <f t="shared" si="38"/>
        <v>Refusé</v>
      </c>
      <c r="H807" t="str" cm="1">
        <f t="array" ref="H807">_xlfn.IFS(E807&gt;=16, "Excellent",E807&gt;=14, "Très bien", E807&gt;=12, "Bien", E807&gt;=10, "Passable", E807&lt;10, "Insuffisant")</f>
        <v>Passable</v>
      </c>
      <c r="I807" s="14" t="str">
        <f t="shared" si="36"/>
        <v>A surveiller</v>
      </c>
      <c r="J807" s="14" t="str">
        <f t="shared" si="37"/>
        <v>Autre filière</v>
      </c>
      <c r="L807" s="16"/>
    </row>
    <row r="808" spans="1:12">
      <c r="A808" t="s">
        <v>907</v>
      </c>
      <c r="B808" t="s">
        <v>908</v>
      </c>
      <c r="C808" t="s">
        <v>22</v>
      </c>
      <c r="D808">
        <v>8.75</v>
      </c>
      <c r="E808">
        <v>11.61</v>
      </c>
      <c r="F808" s="11">
        <v>0.73009999999999997</v>
      </c>
      <c r="G808" t="str">
        <f t="shared" si="38"/>
        <v>Refusé</v>
      </c>
      <c r="H808" t="str" cm="1">
        <f t="array" ref="H808">_xlfn.IFS(E808&gt;=16, "Excellent",E808&gt;=14, "Très bien", E808&gt;=12, "Bien", E808&gt;=10, "Passable", E808&lt;10, "Insuffisant")</f>
        <v>Passable</v>
      </c>
      <c r="I808" s="14" t="str">
        <f t="shared" si="36"/>
        <v>A surveiller</v>
      </c>
      <c r="J808" s="14" t="str">
        <f t="shared" si="37"/>
        <v>Data</v>
      </c>
      <c r="L808" s="16"/>
    </row>
    <row r="809" spans="1:12">
      <c r="A809" t="s">
        <v>1090</v>
      </c>
      <c r="B809" t="s">
        <v>949</v>
      </c>
      <c r="C809" t="s">
        <v>27</v>
      </c>
      <c r="D809">
        <v>6.64</v>
      </c>
      <c r="E809">
        <v>11.47</v>
      </c>
      <c r="F809" s="11">
        <v>0.80379999999999996</v>
      </c>
      <c r="G809" t="str">
        <f t="shared" si="38"/>
        <v>Refusé</v>
      </c>
      <c r="H809" t="str" cm="1">
        <f t="array" ref="H809">_xlfn.IFS(E809&gt;=16, "Excellent",E809&gt;=14, "Très bien", E809&gt;=12, "Bien", E809&gt;=10, "Passable", E809&lt;10, "Insuffisant")</f>
        <v>Passable</v>
      </c>
      <c r="I809" s="14" t="str">
        <f t="shared" si="36"/>
        <v>A surveiller</v>
      </c>
      <c r="J809" s="14" t="str">
        <f t="shared" si="37"/>
        <v>Autre filière</v>
      </c>
      <c r="K809" s="15"/>
      <c r="L809" s="16"/>
    </row>
    <row r="810" spans="1:12">
      <c r="A810" t="s">
        <v>448</v>
      </c>
      <c r="B810" t="s">
        <v>449</v>
      </c>
      <c r="C810" t="s">
        <v>22</v>
      </c>
      <c r="D810">
        <v>11.49</v>
      </c>
      <c r="E810">
        <v>6.29</v>
      </c>
      <c r="F810" s="11">
        <v>0.91059999999999997</v>
      </c>
      <c r="G810" t="str">
        <f t="shared" si="38"/>
        <v>Refusé</v>
      </c>
      <c r="H810" t="str" cm="1">
        <f t="array" ref="H810">_xlfn.IFS(E810&gt;=16, "Excellent",E810&gt;=14, "Très bien", E810&gt;=12, "Bien", E810&gt;=10, "Passable", E810&lt;10, "Insuffisant")</f>
        <v>Insuffisant</v>
      </c>
      <c r="I810" s="14" t="str">
        <f t="shared" si="36"/>
        <v>A surveiller</v>
      </c>
      <c r="J810" s="14" t="str">
        <f t="shared" si="37"/>
        <v>Data</v>
      </c>
      <c r="L810" s="16"/>
    </row>
    <row r="811" spans="1:12">
      <c r="A811" t="s">
        <v>1065</v>
      </c>
      <c r="B811" t="s">
        <v>73</v>
      </c>
      <c r="C811" t="s">
        <v>35</v>
      </c>
      <c r="D811">
        <v>10.35</v>
      </c>
      <c r="E811">
        <v>11.86</v>
      </c>
      <c r="F811" s="11">
        <v>0.87639999999999996</v>
      </c>
      <c r="G811" t="str">
        <f t="shared" si="38"/>
        <v>Admis sous condition</v>
      </c>
      <c r="H811" t="str" cm="1">
        <f t="array" ref="H811">_xlfn.IFS(E811&gt;=16, "Excellent",E811&gt;=14, "Très bien", E811&gt;=12, "Bien", E811&gt;=10, "Passable", E811&lt;10, "Insuffisant")</f>
        <v>Passable</v>
      </c>
      <c r="I811" s="14" t="str">
        <f t="shared" si="36"/>
        <v>RAS</v>
      </c>
      <c r="J811" s="14" t="str">
        <f t="shared" si="37"/>
        <v>Autre filière</v>
      </c>
      <c r="K811" s="15"/>
      <c r="L811" s="16"/>
    </row>
    <row r="812" spans="1:12">
      <c r="A812" t="s">
        <v>303</v>
      </c>
      <c r="B812" t="s">
        <v>180</v>
      </c>
      <c r="C812" t="s">
        <v>48</v>
      </c>
      <c r="D812">
        <v>10.38</v>
      </c>
      <c r="E812">
        <v>12.68</v>
      </c>
      <c r="F812" s="11">
        <v>0.74870000000000003</v>
      </c>
      <c r="G812" t="str">
        <f t="shared" si="38"/>
        <v>Admis sous condition</v>
      </c>
      <c r="H812" t="str" cm="1">
        <f t="array" ref="H812">_xlfn.IFS(E812&gt;=16, "Excellent",E812&gt;=14, "Très bien", E812&gt;=12, "Bien", E812&gt;=10, "Passable", E812&lt;10, "Insuffisant")</f>
        <v>Bien</v>
      </c>
      <c r="I812" s="14" t="str">
        <f t="shared" si="36"/>
        <v>RAS</v>
      </c>
      <c r="J812" s="14" t="str">
        <f t="shared" si="37"/>
        <v>Autre filière</v>
      </c>
      <c r="L812" s="16"/>
    </row>
    <row r="813" spans="1:12">
      <c r="A813" t="s">
        <v>418</v>
      </c>
      <c r="B813" t="s">
        <v>40</v>
      </c>
      <c r="C813" t="s">
        <v>22</v>
      </c>
      <c r="D813">
        <v>10.029999999999999</v>
      </c>
      <c r="E813">
        <v>9.69</v>
      </c>
      <c r="F813" s="11">
        <v>0.94510000000000005</v>
      </c>
      <c r="G813" t="str">
        <f t="shared" si="38"/>
        <v>Refusé</v>
      </c>
      <c r="H813" t="str" cm="1">
        <f t="array" ref="H813">_xlfn.IFS(E813&gt;=16, "Excellent",E813&gt;=14, "Très bien", E813&gt;=12, "Bien", E813&gt;=10, "Passable", E813&lt;10, "Insuffisant")</f>
        <v>Insuffisant</v>
      </c>
      <c r="I813" s="14" t="str">
        <f t="shared" si="36"/>
        <v>A surveiller</v>
      </c>
      <c r="J813" s="14" t="str">
        <f t="shared" si="37"/>
        <v>Data</v>
      </c>
      <c r="L813" s="16"/>
    </row>
    <row r="814" spans="1:12">
      <c r="A814" t="s">
        <v>1183</v>
      </c>
      <c r="B814" t="s">
        <v>1184</v>
      </c>
      <c r="C814" t="s">
        <v>35</v>
      </c>
      <c r="D814">
        <v>9.0399999999999991</v>
      </c>
      <c r="E814">
        <v>7.22</v>
      </c>
      <c r="F814" s="11">
        <v>0.86260000000000003</v>
      </c>
      <c r="G814" t="str">
        <f t="shared" si="38"/>
        <v>Refusé</v>
      </c>
      <c r="H814" t="str" cm="1">
        <f t="array" ref="H814">_xlfn.IFS(E814&gt;=16, "Excellent",E814&gt;=14, "Très bien", E814&gt;=12, "Bien", E814&gt;=10, "Passable", E814&lt;10, "Insuffisant")</f>
        <v>Insuffisant</v>
      </c>
      <c r="I814" s="14" t="str">
        <f t="shared" si="36"/>
        <v>A surveiller</v>
      </c>
      <c r="J814" s="14" t="str">
        <f t="shared" si="37"/>
        <v>Autre filière</v>
      </c>
      <c r="K814" s="15"/>
      <c r="L814" s="16"/>
    </row>
    <row r="815" spans="1:12">
      <c r="A815" t="s">
        <v>738</v>
      </c>
      <c r="B815" t="s">
        <v>218</v>
      </c>
      <c r="C815" t="s">
        <v>22</v>
      </c>
      <c r="D815">
        <v>13.72</v>
      </c>
      <c r="E815">
        <v>15.71</v>
      </c>
      <c r="F815" s="11">
        <v>0.86150000000000004</v>
      </c>
      <c r="G815" t="str">
        <f t="shared" si="38"/>
        <v>Admis</v>
      </c>
      <c r="H815" t="str" cm="1">
        <f t="array" ref="H815">_xlfn.IFS(E815&gt;=16, "Excellent",E815&gt;=14, "Très bien", E815&gt;=12, "Bien", E815&gt;=10, "Passable", E815&lt;10, "Insuffisant")</f>
        <v>Très bien</v>
      </c>
      <c r="I815" s="14" t="str">
        <f t="shared" si="36"/>
        <v>RAS</v>
      </c>
      <c r="J815" s="14" t="str">
        <f t="shared" si="37"/>
        <v>Data</v>
      </c>
      <c r="K815" s="15"/>
      <c r="L815" s="16"/>
    </row>
    <row r="816" spans="1:12">
      <c r="A816" t="s">
        <v>1275</v>
      </c>
      <c r="B816" t="s">
        <v>770</v>
      </c>
      <c r="C816" t="s">
        <v>48</v>
      </c>
      <c r="D816">
        <v>13.49</v>
      </c>
      <c r="E816">
        <v>9.5399999999999991</v>
      </c>
      <c r="F816" s="11">
        <v>0.88200000000000001</v>
      </c>
      <c r="G816" t="str">
        <f t="shared" si="38"/>
        <v>Refusé</v>
      </c>
      <c r="H816" t="str" cm="1">
        <f t="array" ref="H816">_xlfn.IFS(E816&gt;=16, "Excellent",E816&gt;=14, "Très bien", E816&gt;=12, "Bien", E816&gt;=10, "Passable", E816&lt;10, "Insuffisant")</f>
        <v>Insuffisant</v>
      </c>
      <c r="I816" s="14" t="str">
        <f t="shared" si="36"/>
        <v>A surveiller</v>
      </c>
      <c r="J816" s="14" t="str">
        <f t="shared" si="37"/>
        <v>Autre filière</v>
      </c>
      <c r="K816" s="15"/>
      <c r="L816" s="16"/>
    </row>
    <row r="817" spans="1:12">
      <c r="A817" t="s">
        <v>933</v>
      </c>
      <c r="B817" t="s">
        <v>210</v>
      </c>
      <c r="C817" t="s">
        <v>48</v>
      </c>
      <c r="D817">
        <v>11.34</v>
      </c>
      <c r="E817">
        <v>12.37</v>
      </c>
      <c r="F817" s="11">
        <v>0.9829</v>
      </c>
      <c r="G817" t="str">
        <f t="shared" si="38"/>
        <v>Admis sous condition</v>
      </c>
      <c r="H817" t="str" cm="1">
        <f t="array" ref="H817">_xlfn.IFS(E817&gt;=16, "Excellent",E817&gt;=14, "Très bien", E817&gt;=12, "Bien", E817&gt;=10, "Passable", E817&lt;10, "Insuffisant")</f>
        <v>Bien</v>
      </c>
      <c r="I817" s="14" t="str">
        <f t="shared" si="36"/>
        <v>RAS</v>
      </c>
      <c r="J817" s="14" t="str">
        <f t="shared" si="37"/>
        <v>Autre filière</v>
      </c>
      <c r="L817" s="16"/>
    </row>
    <row r="818" spans="1:12">
      <c r="A818" t="s">
        <v>384</v>
      </c>
      <c r="B818" t="s">
        <v>129</v>
      </c>
      <c r="C818" t="s">
        <v>48</v>
      </c>
      <c r="D818">
        <v>12.93</v>
      </c>
      <c r="E818">
        <v>12.63</v>
      </c>
      <c r="F818" s="11">
        <v>0.97829999999999995</v>
      </c>
      <c r="G818" t="str">
        <f t="shared" si="38"/>
        <v>Admis</v>
      </c>
      <c r="H818" t="str" cm="1">
        <f t="array" ref="H818">_xlfn.IFS(E818&gt;=16, "Excellent",E818&gt;=14, "Très bien", E818&gt;=12, "Bien", E818&gt;=10, "Passable", E818&lt;10, "Insuffisant")</f>
        <v>Bien</v>
      </c>
      <c r="I818" s="14" t="str">
        <f t="shared" si="36"/>
        <v>RAS</v>
      </c>
      <c r="J818" s="14" t="str">
        <f t="shared" si="37"/>
        <v>Autre filière</v>
      </c>
      <c r="L818" s="16"/>
    </row>
    <row r="819" spans="1:12">
      <c r="A819" t="s">
        <v>1299</v>
      </c>
      <c r="B819" t="s">
        <v>469</v>
      </c>
      <c r="C819" t="s">
        <v>22</v>
      </c>
      <c r="D819">
        <v>13.34</v>
      </c>
      <c r="E819">
        <v>12.08</v>
      </c>
      <c r="F819" s="11">
        <v>0.79010000000000002</v>
      </c>
      <c r="G819" t="str">
        <f t="shared" si="38"/>
        <v>Admis sous condition</v>
      </c>
      <c r="H819" t="str" cm="1">
        <f t="array" ref="H819">_xlfn.IFS(E819&gt;=16, "Excellent",E819&gt;=14, "Très bien", E819&gt;=12, "Bien", E819&gt;=10, "Passable", E819&lt;10, "Insuffisant")</f>
        <v>Bien</v>
      </c>
      <c r="I819" s="14" t="str">
        <f t="shared" si="36"/>
        <v>RAS</v>
      </c>
      <c r="J819" s="14" t="str">
        <f t="shared" si="37"/>
        <v>Data</v>
      </c>
      <c r="L819" s="16"/>
    </row>
    <row r="820" spans="1:12">
      <c r="A820" t="s">
        <v>1153</v>
      </c>
      <c r="B820" t="s">
        <v>77</v>
      </c>
      <c r="C820" t="s">
        <v>27</v>
      </c>
      <c r="D820">
        <v>8.68</v>
      </c>
      <c r="E820">
        <v>12.31</v>
      </c>
      <c r="F820" s="11">
        <v>0.94520000000000004</v>
      </c>
      <c r="G820" t="str">
        <f t="shared" si="38"/>
        <v>Refusé</v>
      </c>
      <c r="H820" t="str" cm="1">
        <f t="array" ref="H820">_xlfn.IFS(E820&gt;=16, "Excellent",E820&gt;=14, "Très bien", E820&gt;=12, "Bien", E820&gt;=10, "Passable", E820&lt;10, "Insuffisant")</f>
        <v>Bien</v>
      </c>
      <c r="I820" s="14" t="str">
        <f t="shared" si="36"/>
        <v>A surveiller</v>
      </c>
      <c r="J820" s="14" t="str">
        <f t="shared" si="37"/>
        <v>Autre filière</v>
      </c>
      <c r="L820" s="16"/>
    </row>
    <row r="821" spans="1:12">
      <c r="A821" t="s">
        <v>559</v>
      </c>
      <c r="B821" t="s">
        <v>79</v>
      </c>
      <c r="C821" t="s">
        <v>27</v>
      </c>
      <c r="D821">
        <v>12.76</v>
      </c>
      <c r="E821">
        <v>15.88</v>
      </c>
      <c r="F821" s="11">
        <v>0.92649999999999999</v>
      </c>
      <c r="G821" t="str">
        <f t="shared" si="38"/>
        <v>Admis</v>
      </c>
      <c r="H821" t="str" cm="1">
        <f t="array" ref="H821">_xlfn.IFS(E821&gt;=16, "Excellent",E821&gt;=14, "Très bien", E821&gt;=12, "Bien", E821&gt;=10, "Passable", E821&lt;10, "Insuffisant")</f>
        <v>Très bien</v>
      </c>
      <c r="I821" s="14" t="str">
        <f t="shared" si="36"/>
        <v>RAS</v>
      </c>
      <c r="J821" s="14" t="str">
        <f t="shared" si="37"/>
        <v>Autre filière</v>
      </c>
      <c r="L821" s="16"/>
    </row>
    <row r="822" spans="1:12">
      <c r="A822" t="s">
        <v>1316</v>
      </c>
      <c r="B822" t="s">
        <v>166</v>
      </c>
      <c r="C822" t="s">
        <v>27</v>
      </c>
      <c r="D822">
        <v>6.37</v>
      </c>
      <c r="E822">
        <v>8.81</v>
      </c>
      <c r="F822" s="11">
        <v>0.72199999999999998</v>
      </c>
      <c r="G822" t="str">
        <f t="shared" si="38"/>
        <v>Refusé</v>
      </c>
      <c r="H822" t="str" cm="1">
        <f t="array" ref="H822">_xlfn.IFS(E822&gt;=16, "Excellent",E822&gt;=14, "Très bien", E822&gt;=12, "Bien", E822&gt;=10, "Passable", E822&lt;10, "Insuffisant")</f>
        <v>Insuffisant</v>
      </c>
      <c r="I822" s="14" t="str">
        <f t="shared" si="36"/>
        <v>A surveiller</v>
      </c>
      <c r="J822" s="14" t="str">
        <f t="shared" si="37"/>
        <v>Autre filière</v>
      </c>
      <c r="L822" s="16"/>
    </row>
    <row r="823" spans="1:12">
      <c r="A823" t="s">
        <v>755</v>
      </c>
      <c r="B823" t="s">
        <v>125</v>
      </c>
      <c r="C823" t="s">
        <v>27</v>
      </c>
      <c r="D823">
        <v>12.83</v>
      </c>
      <c r="E823">
        <v>7.13</v>
      </c>
      <c r="F823" s="11">
        <v>0.86040000000000005</v>
      </c>
      <c r="G823" t="str">
        <f t="shared" si="38"/>
        <v>Refusé</v>
      </c>
      <c r="H823" t="str" cm="1">
        <f t="array" ref="H823">_xlfn.IFS(E823&gt;=16, "Excellent",E823&gt;=14, "Très bien", E823&gt;=12, "Bien", E823&gt;=10, "Passable", E823&lt;10, "Insuffisant")</f>
        <v>Insuffisant</v>
      </c>
      <c r="I823" s="14" t="str">
        <f t="shared" si="36"/>
        <v>A surveiller</v>
      </c>
      <c r="J823" s="14" t="str">
        <f t="shared" si="37"/>
        <v>Autre filière</v>
      </c>
      <c r="K823" s="15"/>
      <c r="L823" s="16"/>
    </row>
    <row r="824" spans="1:12">
      <c r="A824" t="s">
        <v>893</v>
      </c>
      <c r="B824" t="s">
        <v>675</v>
      </c>
      <c r="C824" t="s">
        <v>48</v>
      </c>
      <c r="D824">
        <v>12.79</v>
      </c>
      <c r="E824">
        <v>12.54</v>
      </c>
      <c r="F824" s="11">
        <v>0.91310000000000002</v>
      </c>
      <c r="G824" t="str">
        <f t="shared" si="38"/>
        <v>Admis</v>
      </c>
      <c r="H824" t="str" cm="1">
        <f t="array" ref="H824">_xlfn.IFS(E824&gt;=16, "Excellent",E824&gt;=14, "Très bien", E824&gt;=12, "Bien", E824&gt;=10, "Passable", E824&lt;10, "Insuffisant")</f>
        <v>Bien</v>
      </c>
      <c r="I824" s="14" t="str">
        <f t="shared" si="36"/>
        <v>RAS</v>
      </c>
      <c r="J824" s="14" t="str">
        <f t="shared" si="37"/>
        <v>Autre filière</v>
      </c>
      <c r="L824" s="16"/>
    </row>
    <row r="825" spans="1:12">
      <c r="A825" t="s">
        <v>284</v>
      </c>
      <c r="B825" t="s">
        <v>285</v>
      </c>
      <c r="C825" t="s">
        <v>27</v>
      </c>
      <c r="D825">
        <v>9.49</v>
      </c>
      <c r="E825">
        <v>12.33</v>
      </c>
      <c r="F825" s="11">
        <v>0.95430000000000004</v>
      </c>
      <c r="G825" t="str">
        <f t="shared" si="38"/>
        <v>Refusé</v>
      </c>
      <c r="H825" t="str" cm="1">
        <f t="array" ref="H825">_xlfn.IFS(E825&gt;=16, "Excellent",E825&gt;=14, "Très bien", E825&gt;=12, "Bien", E825&gt;=10, "Passable", E825&lt;10, "Insuffisant")</f>
        <v>Bien</v>
      </c>
      <c r="I825" s="14" t="str">
        <f t="shared" si="36"/>
        <v>A surveiller</v>
      </c>
      <c r="J825" s="14" t="str">
        <f t="shared" si="37"/>
        <v>Autre filière</v>
      </c>
      <c r="L825" s="16"/>
    </row>
    <row r="826" spans="1:12">
      <c r="A826" t="s">
        <v>792</v>
      </c>
      <c r="B826" t="s">
        <v>793</v>
      </c>
      <c r="C826" t="s">
        <v>35</v>
      </c>
      <c r="D826">
        <v>5.42</v>
      </c>
      <c r="E826">
        <v>2.87</v>
      </c>
      <c r="F826" s="11">
        <v>0.71250000000000002</v>
      </c>
      <c r="G826" t="str">
        <f t="shared" si="38"/>
        <v>Refusé</v>
      </c>
      <c r="H826" t="str" cm="1">
        <f t="array" ref="H826">_xlfn.IFS(E826&gt;=16, "Excellent",E826&gt;=14, "Très bien", E826&gt;=12, "Bien", E826&gt;=10, "Passable", E826&lt;10, "Insuffisant")</f>
        <v>Insuffisant</v>
      </c>
      <c r="I826" s="14" t="str">
        <f t="shared" si="36"/>
        <v>A surveiller</v>
      </c>
      <c r="J826" s="14" t="str">
        <f t="shared" si="37"/>
        <v>Autre filière</v>
      </c>
      <c r="L826" s="16"/>
    </row>
    <row r="827" spans="1:12">
      <c r="A827" t="s">
        <v>997</v>
      </c>
      <c r="B827" t="s">
        <v>474</v>
      </c>
      <c r="C827" t="s">
        <v>35</v>
      </c>
      <c r="D827">
        <v>13.1</v>
      </c>
      <c r="E827">
        <v>12.53</v>
      </c>
      <c r="F827" s="11">
        <v>0.82169999999999999</v>
      </c>
      <c r="G827" t="str">
        <f t="shared" si="38"/>
        <v>Admis</v>
      </c>
      <c r="H827" t="str" cm="1">
        <f t="array" ref="H827">_xlfn.IFS(E827&gt;=16, "Excellent",E827&gt;=14, "Très bien", E827&gt;=12, "Bien", E827&gt;=10, "Passable", E827&lt;10, "Insuffisant")</f>
        <v>Bien</v>
      </c>
      <c r="I827" s="14" t="str">
        <f t="shared" si="36"/>
        <v>RAS</v>
      </c>
      <c r="J827" s="14" t="str">
        <f t="shared" si="37"/>
        <v>Autre filière</v>
      </c>
      <c r="K827" s="15"/>
      <c r="L827" s="16"/>
    </row>
    <row r="828" spans="1:12">
      <c r="A828" t="s">
        <v>1272</v>
      </c>
      <c r="B828" t="s">
        <v>625</v>
      </c>
      <c r="C828" t="s">
        <v>48</v>
      </c>
      <c r="D828">
        <v>9.09</v>
      </c>
      <c r="E828">
        <v>15.38</v>
      </c>
      <c r="F828" s="11">
        <v>0.71779999999999999</v>
      </c>
      <c r="G828" t="str">
        <f t="shared" si="38"/>
        <v>Refusé</v>
      </c>
      <c r="H828" t="str" cm="1">
        <f t="array" ref="H828">_xlfn.IFS(E828&gt;=16, "Excellent",E828&gt;=14, "Très bien", E828&gt;=12, "Bien", E828&gt;=10, "Passable", E828&lt;10, "Insuffisant")</f>
        <v>Très bien</v>
      </c>
      <c r="I828" s="14" t="str">
        <f t="shared" si="36"/>
        <v>A surveiller</v>
      </c>
      <c r="J828" s="14" t="str">
        <f t="shared" si="37"/>
        <v>Autre filière</v>
      </c>
      <c r="L828" s="16"/>
    </row>
    <row r="829" spans="1:12">
      <c r="A829" t="s">
        <v>1158</v>
      </c>
      <c r="B829" t="s">
        <v>697</v>
      </c>
      <c r="C829" t="s">
        <v>22</v>
      </c>
      <c r="D829">
        <v>10.28</v>
      </c>
      <c r="E829">
        <v>12.75</v>
      </c>
      <c r="F829" s="11">
        <v>0.81640000000000001</v>
      </c>
      <c r="G829" t="str">
        <f t="shared" si="38"/>
        <v>Admis sous condition</v>
      </c>
      <c r="H829" t="str" cm="1">
        <f t="array" ref="H829">_xlfn.IFS(E829&gt;=16, "Excellent",E829&gt;=14, "Très bien", E829&gt;=12, "Bien", E829&gt;=10, "Passable", E829&lt;10, "Insuffisant")</f>
        <v>Bien</v>
      </c>
      <c r="I829" s="14" t="str">
        <f t="shared" si="36"/>
        <v>RAS</v>
      </c>
      <c r="J829" s="14" t="str">
        <f t="shared" si="37"/>
        <v>Data</v>
      </c>
      <c r="K829" s="15"/>
      <c r="L829" s="16"/>
    </row>
    <row r="830" spans="1:12">
      <c r="A830" t="s">
        <v>661</v>
      </c>
      <c r="B830" t="s">
        <v>662</v>
      </c>
      <c r="C830" t="s">
        <v>27</v>
      </c>
      <c r="D830">
        <v>17</v>
      </c>
      <c r="E830">
        <v>12.69</v>
      </c>
      <c r="F830" s="11">
        <v>0.94640000000000002</v>
      </c>
      <c r="G830" t="str">
        <f t="shared" si="38"/>
        <v>Admis</v>
      </c>
      <c r="H830" t="str" cm="1">
        <f t="array" ref="H830">_xlfn.IFS(E830&gt;=16, "Excellent",E830&gt;=14, "Très bien", E830&gt;=12, "Bien", E830&gt;=10, "Passable", E830&lt;10, "Insuffisant")</f>
        <v>Bien</v>
      </c>
      <c r="I830" s="14" t="str">
        <f t="shared" si="36"/>
        <v>RAS</v>
      </c>
      <c r="J830" s="14" t="str">
        <f t="shared" si="37"/>
        <v>Autre filière</v>
      </c>
      <c r="L830" s="16"/>
    </row>
    <row r="831" spans="1:12">
      <c r="A831" t="s">
        <v>1122</v>
      </c>
      <c r="B831" t="s">
        <v>444</v>
      </c>
      <c r="C831" t="s">
        <v>48</v>
      </c>
      <c r="D831">
        <v>10.039999999999999</v>
      </c>
      <c r="E831">
        <v>9.34</v>
      </c>
      <c r="F831" s="11">
        <v>0.67169999999999996</v>
      </c>
      <c r="G831" t="str">
        <f t="shared" si="38"/>
        <v>Refusé</v>
      </c>
      <c r="H831" t="str" cm="1">
        <f t="array" ref="H831">_xlfn.IFS(E831&gt;=16, "Excellent",E831&gt;=14, "Très bien", E831&gt;=12, "Bien", E831&gt;=10, "Passable", E831&lt;10, "Insuffisant")</f>
        <v>Insuffisant</v>
      </c>
      <c r="I831" s="14" t="str">
        <f t="shared" si="36"/>
        <v>A surveiller</v>
      </c>
      <c r="J831" s="14" t="str">
        <f t="shared" si="37"/>
        <v>Autre filière</v>
      </c>
      <c r="L831" s="16"/>
    </row>
    <row r="832" spans="1:12">
      <c r="A832" t="s">
        <v>368</v>
      </c>
      <c r="B832" t="s">
        <v>283</v>
      </c>
      <c r="C832" t="s">
        <v>35</v>
      </c>
      <c r="D832">
        <v>11.76</v>
      </c>
      <c r="E832">
        <v>6.59</v>
      </c>
      <c r="F832" s="11">
        <v>0.8337</v>
      </c>
      <c r="G832" t="str">
        <f t="shared" si="38"/>
        <v>Refusé</v>
      </c>
      <c r="H832" t="str" cm="1">
        <f t="array" ref="H832">_xlfn.IFS(E832&gt;=16, "Excellent",E832&gt;=14, "Très bien", E832&gt;=12, "Bien", E832&gt;=10, "Passable", E832&lt;10, "Insuffisant")</f>
        <v>Insuffisant</v>
      </c>
      <c r="I832" s="14" t="str">
        <f t="shared" si="36"/>
        <v>A surveiller</v>
      </c>
      <c r="J832" s="14" t="str">
        <f t="shared" si="37"/>
        <v>Autre filière</v>
      </c>
      <c r="K832" s="15"/>
      <c r="L832" s="16"/>
    </row>
    <row r="833" spans="1:12">
      <c r="A833" t="s">
        <v>597</v>
      </c>
      <c r="B833" t="s">
        <v>256</v>
      </c>
      <c r="C833" t="s">
        <v>35</v>
      </c>
      <c r="D833">
        <v>12.8</v>
      </c>
      <c r="E833">
        <v>11.86</v>
      </c>
      <c r="F833" s="11">
        <v>0.82279999999999998</v>
      </c>
      <c r="G833" t="str">
        <f t="shared" si="38"/>
        <v>Admis sous condition</v>
      </c>
      <c r="H833" t="str" cm="1">
        <f t="array" ref="H833">_xlfn.IFS(E833&gt;=16, "Excellent",E833&gt;=14, "Très bien", E833&gt;=12, "Bien", E833&gt;=10, "Passable", E833&lt;10, "Insuffisant")</f>
        <v>Passable</v>
      </c>
      <c r="I833" s="14" t="str">
        <f t="shared" si="36"/>
        <v>RAS</v>
      </c>
      <c r="J833" s="14" t="str">
        <f t="shared" si="37"/>
        <v>Autre filière</v>
      </c>
      <c r="K833" s="15"/>
      <c r="L833" s="16"/>
    </row>
    <row r="834" spans="1:12">
      <c r="A834" t="s">
        <v>1290</v>
      </c>
      <c r="B834" t="s">
        <v>550</v>
      </c>
      <c r="C834" t="s">
        <v>27</v>
      </c>
      <c r="D834">
        <v>7.14</v>
      </c>
      <c r="E834">
        <v>9.99</v>
      </c>
      <c r="F834" s="11">
        <v>0.75960000000000005</v>
      </c>
      <c r="G834" t="str">
        <f t="shared" si="38"/>
        <v>Refusé</v>
      </c>
      <c r="H834" t="str" cm="1">
        <f t="array" ref="H834">_xlfn.IFS(E834&gt;=16, "Excellent",E834&gt;=14, "Très bien", E834&gt;=12, "Bien", E834&gt;=10, "Passable", E834&lt;10, "Insuffisant")</f>
        <v>Insuffisant</v>
      </c>
      <c r="I834" s="14" t="str">
        <f t="shared" si="36"/>
        <v>A surveiller</v>
      </c>
      <c r="J834" s="14" t="str">
        <f t="shared" si="37"/>
        <v>Autre filière</v>
      </c>
      <c r="L834" s="16"/>
    </row>
    <row r="835" spans="1:12">
      <c r="A835" t="s">
        <v>1157</v>
      </c>
      <c r="B835" t="s">
        <v>404</v>
      </c>
      <c r="C835" t="s">
        <v>48</v>
      </c>
      <c r="D835">
        <v>5.61</v>
      </c>
      <c r="E835">
        <v>9.9700000000000006</v>
      </c>
      <c r="F835" s="11">
        <v>0.97170000000000001</v>
      </c>
      <c r="G835" t="str">
        <f t="shared" si="38"/>
        <v>Refusé</v>
      </c>
      <c r="H835" t="str" cm="1">
        <f t="array" ref="H835">_xlfn.IFS(E835&gt;=16, "Excellent",E835&gt;=14, "Très bien", E835&gt;=12, "Bien", E835&gt;=10, "Passable", E835&lt;10, "Insuffisant")</f>
        <v>Insuffisant</v>
      </c>
      <c r="I835" s="14" t="str">
        <f t="shared" ref="I835:I898" si="39">IF(OR(D835&lt;10,E835&lt;10,F835&lt;70%), "A surveiller", "RAS")</f>
        <v>A surveiller</v>
      </c>
      <c r="J835" s="14" t="str">
        <f t="shared" ref="J835:J898" si="40">IF(NOT(C835="Data"), "Autre filière", "Data")</f>
        <v>Autre filière</v>
      </c>
      <c r="L835" s="16"/>
    </row>
    <row r="836" spans="1:12">
      <c r="A836" t="s">
        <v>1077</v>
      </c>
      <c r="B836" t="s">
        <v>268</v>
      </c>
      <c r="C836" t="s">
        <v>35</v>
      </c>
      <c r="D836">
        <v>10.19</v>
      </c>
      <c r="E836">
        <v>14.17</v>
      </c>
      <c r="F836" s="11">
        <v>0.88549999999999995</v>
      </c>
      <c r="G836" t="str">
        <f t="shared" si="38"/>
        <v>Admis sous condition</v>
      </c>
      <c r="H836" t="str" cm="1">
        <f t="array" ref="H836">_xlfn.IFS(E836&gt;=16, "Excellent",E836&gt;=14, "Très bien", E836&gt;=12, "Bien", E836&gt;=10, "Passable", E836&lt;10, "Insuffisant")</f>
        <v>Très bien</v>
      </c>
      <c r="I836" s="14" t="str">
        <f t="shared" si="39"/>
        <v>RAS</v>
      </c>
      <c r="J836" s="14" t="str">
        <f t="shared" si="40"/>
        <v>Autre filière</v>
      </c>
      <c r="K836" s="15"/>
      <c r="L836" s="16"/>
    </row>
    <row r="837" spans="1:12">
      <c r="A837" t="s">
        <v>762</v>
      </c>
      <c r="B837" t="s">
        <v>618</v>
      </c>
      <c r="C837" t="s">
        <v>22</v>
      </c>
      <c r="D837">
        <v>10.16</v>
      </c>
      <c r="E837">
        <v>9.25</v>
      </c>
      <c r="F837" s="11">
        <v>0.9546</v>
      </c>
      <c r="G837" t="str">
        <f t="shared" si="38"/>
        <v>Refusé</v>
      </c>
      <c r="H837" t="str" cm="1">
        <f t="array" ref="H837">_xlfn.IFS(E837&gt;=16, "Excellent",E837&gt;=14, "Très bien", E837&gt;=12, "Bien", E837&gt;=10, "Passable", E837&lt;10, "Insuffisant")</f>
        <v>Insuffisant</v>
      </c>
      <c r="I837" s="14" t="str">
        <f t="shared" si="39"/>
        <v>A surveiller</v>
      </c>
      <c r="J837" s="14" t="str">
        <f t="shared" si="40"/>
        <v>Data</v>
      </c>
      <c r="L837" s="16"/>
    </row>
    <row r="838" spans="1:12">
      <c r="A838" t="s">
        <v>576</v>
      </c>
      <c r="B838" t="s">
        <v>170</v>
      </c>
      <c r="C838" t="s">
        <v>22</v>
      </c>
      <c r="D838">
        <v>9.8800000000000008</v>
      </c>
      <c r="E838">
        <v>4.3</v>
      </c>
      <c r="F838" s="11">
        <v>0.80679999999999996</v>
      </c>
      <c r="G838" t="str">
        <f t="shared" si="38"/>
        <v>Refusé</v>
      </c>
      <c r="H838" t="str" cm="1">
        <f t="array" ref="H838">_xlfn.IFS(E838&gt;=16, "Excellent",E838&gt;=14, "Très bien", E838&gt;=12, "Bien", E838&gt;=10, "Passable", E838&lt;10, "Insuffisant")</f>
        <v>Insuffisant</v>
      </c>
      <c r="I838" s="14" t="str">
        <f t="shared" si="39"/>
        <v>A surveiller</v>
      </c>
      <c r="J838" s="14" t="str">
        <f t="shared" si="40"/>
        <v>Data</v>
      </c>
      <c r="K838" s="15"/>
      <c r="L838" s="16"/>
    </row>
    <row r="839" spans="1:12">
      <c r="A839" t="s">
        <v>1249</v>
      </c>
      <c r="B839" t="s">
        <v>47</v>
      </c>
      <c r="C839" t="s">
        <v>22</v>
      </c>
      <c r="D839">
        <v>10.61</v>
      </c>
      <c r="E839">
        <v>12.45</v>
      </c>
      <c r="F839" s="11">
        <v>0.65190000000000003</v>
      </c>
      <c r="G839" t="str">
        <f t="shared" si="38"/>
        <v>Admis sous condition</v>
      </c>
      <c r="H839" t="str" cm="1">
        <f t="array" ref="H839">_xlfn.IFS(E839&gt;=16, "Excellent",E839&gt;=14, "Très bien", E839&gt;=12, "Bien", E839&gt;=10, "Passable", E839&lt;10, "Insuffisant")</f>
        <v>Bien</v>
      </c>
      <c r="I839" s="14" t="str">
        <f t="shared" si="39"/>
        <v>A surveiller</v>
      </c>
      <c r="J839" s="14" t="str">
        <f t="shared" si="40"/>
        <v>Data</v>
      </c>
      <c r="L839" s="16"/>
    </row>
    <row r="840" spans="1:12">
      <c r="A840" t="s">
        <v>811</v>
      </c>
      <c r="B840" t="s">
        <v>467</v>
      </c>
      <c r="C840" t="s">
        <v>35</v>
      </c>
      <c r="D840">
        <v>8.16</v>
      </c>
      <c r="E840">
        <v>13.16</v>
      </c>
      <c r="F840" s="11">
        <v>0.71540000000000004</v>
      </c>
      <c r="G840" t="str">
        <f t="shared" si="38"/>
        <v>Refusé</v>
      </c>
      <c r="H840" t="str" cm="1">
        <f t="array" ref="H840">_xlfn.IFS(E840&gt;=16, "Excellent",E840&gt;=14, "Très bien", E840&gt;=12, "Bien", E840&gt;=10, "Passable", E840&lt;10, "Insuffisant")</f>
        <v>Bien</v>
      </c>
      <c r="I840" s="14" t="str">
        <f t="shared" si="39"/>
        <v>A surveiller</v>
      </c>
      <c r="J840" s="14" t="str">
        <f t="shared" si="40"/>
        <v>Autre filière</v>
      </c>
      <c r="L840" s="16"/>
    </row>
    <row r="841" spans="1:12">
      <c r="A841" t="s">
        <v>1237</v>
      </c>
      <c r="B841" t="s">
        <v>288</v>
      </c>
      <c r="C841" t="s">
        <v>27</v>
      </c>
      <c r="D841">
        <v>13.59</v>
      </c>
      <c r="E841">
        <v>12.73</v>
      </c>
      <c r="F841" s="11">
        <v>0.55000000000000004</v>
      </c>
      <c r="G841" t="str">
        <f t="shared" si="38"/>
        <v>Admis sous condition</v>
      </c>
      <c r="H841" t="str" cm="1">
        <f t="array" ref="H841">_xlfn.IFS(E841&gt;=16, "Excellent",E841&gt;=14, "Très bien", E841&gt;=12, "Bien", E841&gt;=10, "Passable", E841&lt;10, "Insuffisant")</f>
        <v>Bien</v>
      </c>
      <c r="I841" s="14" t="str">
        <f t="shared" si="39"/>
        <v>A surveiller</v>
      </c>
      <c r="J841" s="14" t="str">
        <f t="shared" si="40"/>
        <v>Autre filière</v>
      </c>
      <c r="L841" s="16"/>
    </row>
    <row r="842" spans="1:12">
      <c r="A842" t="s">
        <v>189</v>
      </c>
      <c r="B842" t="s">
        <v>59</v>
      </c>
      <c r="C842" t="s">
        <v>48</v>
      </c>
      <c r="D842">
        <v>14.95</v>
      </c>
      <c r="E842">
        <v>11.56</v>
      </c>
      <c r="F842" s="11">
        <v>0.83599999999999997</v>
      </c>
      <c r="G842" t="str">
        <f t="shared" si="38"/>
        <v>Admis sous condition</v>
      </c>
      <c r="H842" t="str" cm="1">
        <f t="array" ref="H842">_xlfn.IFS(E842&gt;=16, "Excellent",E842&gt;=14, "Très bien", E842&gt;=12, "Bien", E842&gt;=10, "Passable", E842&lt;10, "Insuffisant")</f>
        <v>Passable</v>
      </c>
      <c r="I842" s="14" t="str">
        <f t="shared" si="39"/>
        <v>RAS</v>
      </c>
      <c r="J842" s="14" t="str">
        <f t="shared" si="40"/>
        <v>Autre filière</v>
      </c>
      <c r="K842" s="15"/>
      <c r="L842" s="16"/>
    </row>
    <row r="843" spans="1:12">
      <c r="A843" t="s">
        <v>1246</v>
      </c>
      <c r="B843" t="s">
        <v>492</v>
      </c>
      <c r="C843" t="s">
        <v>22</v>
      </c>
      <c r="D843">
        <v>6.55</v>
      </c>
      <c r="E843">
        <v>11.17</v>
      </c>
      <c r="F843" s="11">
        <v>0.82720000000000005</v>
      </c>
      <c r="G843" t="str">
        <f t="shared" si="38"/>
        <v>Refusé</v>
      </c>
      <c r="H843" t="str" cm="1">
        <f t="array" ref="H843">_xlfn.IFS(E843&gt;=16, "Excellent",E843&gt;=14, "Très bien", E843&gt;=12, "Bien", E843&gt;=10, "Passable", E843&lt;10, "Insuffisant")</f>
        <v>Passable</v>
      </c>
      <c r="I843" s="14" t="str">
        <f t="shared" si="39"/>
        <v>A surveiller</v>
      </c>
      <c r="J843" s="14" t="str">
        <f t="shared" si="40"/>
        <v>Data</v>
      </c>
      <c r="K843" s="15"/>
      <c r="L843" s="16"/>
    </row>
    <row r="844" spans="1:12">
      <c r="A844" t="s">
        <v>1089</v>
      </c>
      <c r="B844" t="s">
        <v>761</v>
      </c>
      <c r="C844" t="s">
        <v>27</v>
      </c>
      <c r="D844">
        <v>11.34</v>
      </c>
      <c r="E844">
        <v>9.31</v>
      </c>
      <c r="F844" s="11">
        <v>0.55000000000000004</v>
      </c>
      <c r="G844" t="str">
        <f t="shared" si="38"/>
        <v>Refusé</v>
      </c>
      <c r="H844" t="str" cm="1">
        <f t="array" ref="H844">_xlfn.IFS(E844&gt;=16, "Excellent",E844&gt;=14, "Très bien", E844&gt;=12, "Bien", E844&gt;=10, "Passable", E844&lt;10, "Insuffisant")</f>
        <v>Insuffisant</v>
      </c>
      <c r="I844" s="14" t="str">
        <f t="shared" si="39"/>
        <v>A surveiller</v>
      </c>
      <c r="J844" s="14" t="str">
        <f t="shared" si="40"/>
        <v>Autre filière</v>
      </c>
      <c r="L844" s="16"/>
    </row>
    <row r="845" spans="1:12">
      <c r="A845" t="s">
        <v>332</v>
      </c>
      <c r="B845" t="s">
        <v>161</v>
      </c>
      <c r="C845" t="s">
        <v>27</v>
      </c>
      <c r="D845">
        <v>13.39</v>
      </c>
      <c r="E845">
        <v>10.61</v>
      </c>
      <c r="F845" s="11">
        <v>0.91259999999999997</v>
      </c>
      <c r="G845" t="str">
        <f t="shared" ref="G845:G908" si="41">IF(AND(D845&gt;=12,E845&gt;=12,F845&gt;=80%),"Admis",IF(AND(D845&gt;=10,E845&gt;=10),"Admis sous condition","Refusé"))</f>
        <v>Admis sous condition</v>
      </c>
      <c r="H845" t="str" cm="1">
        <f t="array" ref="H845">_xlfn.IFS(E845&gt;=16, "Excellent",E845&gt;=14, "Très bien", E845&gt;=12, "Bien", E845&gt;=10, "Passable", E845&lt;10, "Insuffisant")</f>
        <v>Passable</v>
      </c>
      <c r="I845" s="14" t="str">
        <f t="shared" si="39"/>
        <v>RAS</v>
      </c>
      <c r="J845" s="14" t="str">
        <f t="shared" si="40"/>
        <v>Autre filière</v>
      </c>
      <c r="L845" s="16"/>
    </row>
    <row r="846" spans="1:12">
      <c r="A846" t="s">
        <v>567</v>
      </c>
      <c r="B846" t="s">
        <v>270</v>
      </c>
      <c r="C846" t="s">
        <v>27</v>
      </c>
      <c r="D846">
        <v>11.06</v>
      </c>
      <c r="E846">
        <v>11.26</v>
      </c>
      <c r="F846" s="11">
        <v>0.78349999999999997</v>
      </c>
      <c r="G846" t="str">
        <f t="shared" si="41"/>
        <v>Admis sous condition</v>
      </c>
      <c r="H846" t="str" cm="1">
        <f t="array" ref="H846">_xlfn.IFS(E846&gt;=16, "Excellent",E846&gt;=14, "Très bien", E846&gt;=12, "Bien", E846&gt;=10, "Passable", E846&lt;10, "Insuffisant")</f>
        <v>Passable</v>
      </c>
      <c r="I846" s="14" t="str">
        <f t="shared" si="39"/>
        <v>RAS</v>
      </c>
      <c r="J846" s="14" t="str">
        <f t="shared" si="40"/>
        <v>Autre filière</v>
      </c>
      <c r="L846" s="16"/>
    </row>
    <row r="847" spans="1:12">
      <c r="A847" t="s">
        <v>502</v>
      </c>
      <c r="B847" t="s">
        <v>433</v>
      </c>
      <c r="C847" t="s">
        <v>35</v>
      </c>
      <c r="D847">
        <v>10.7</v>
      </c>
      <c r="E847">
        <v>7.88</v>
      </c>
      <c r="F847" s="11">
        <v>0.83550000000000002</v>
      </c>
      <c r="G847" t="str">
        <f t="shared" si="41"/>
        <v>Refusé</v>
      </c>
      <c r="H847" t="str" cm="1">
        <f t="array" ref="H847">_xlfn.IFS(E847&gt;=16, "Excellent",E847&gt;=14, "Très bien", E847&gt;=12, "Bien", E847&gt;=10, "Passable", E847&lt;10, "Insuffisant")</f>
        <v>Insuffisant</v>
      </c>
      <c r="I847" s="14" t="str">
        <f t="shared" si="39"/>
        <v>A surveiller</v>
      </c>
      <c r="J847" s="14" t="str">
        <f t="shared" si="40"/>
        <v>Autre filière</v>
      </c>
      <c r="K847" s="15"/>
      <c r="L847" s="16"/>
    </row>
    <row r="848" spans="1:12">
      <c r="A848" t="s">
        <v>252</v>
      </c>
      <c r="B848" t="s">
        <v>253</v>
      </c>
      <c r="C848" t="s">
        <v>22</v>
      </c>
      <c r="D848">
        <v>9.3800000000000008</v>
      </c>
      <c r="E848">
        <v>14.07</v>
      </c>
      <c r="F848" s="11">
        <v>0.87290000000000001</v>
      </c>
      <c r="G848" t="str">
        <f t="shared" si="41"/>
        <v>Refusé</v>
      </c>
      <c r="H848" t="str" cm="1">
        <f t="array" ref="H848">_xlfn.IFS(E848&gt;=16, "Excellent",E848&gt;=14, "Très bien", E848&gt;=12, "Bien", E848&gt;=10, "Passable", E848&lt;10, "Insuffisant")</f>
        <v>Très bien</v>
      </c>
      <c r="I848" s="14" t="str">
        <f t="shared" si="39"/>
        <v>A surveiller</v>
      </c>
      <c r="J848" s="14" t="str">
        <f t="shared" si="40"/>
        <v>Data</v>
      </c>
      <c r="K848" s="15"/>
      <c r="L848" s="16"/>
    </row>
    <row r="849" spans="1:12">
      <c r="A849" t="s">
        <v>1295</v>
      </c>
      <c r="B849" t="s">
        <v>264</v>
      </c>
      <c r="C849" t="s">
        <v>48</v>
      </c>
      <c r="D849">
        <v>9.4600000000000009</v>
      </c>
      <c r="E849">
        <v>7.1</v>
      </c>
      <c r="F849" s="11">
        <v>0.94099999999999995</v>
      </c>
      <c r="G849" t="str">
        <f t="shared" si="41"/>
        <v>Refusé</v>
      </c>
      <c r="H849" t="str" cm="1">
        <f t="array" ref="H849">_xlfn.IFS(E849&gt;=16, "Excellent",E849&gt;=14, "Très bien", E849&gt;=12, "Bien", E849&gt;=10, "Passable", E849&lt;10, "Insuffisant")</f>
        <v>Insuffisant</v>
      </c>
      <c r="I849" s="14" t="str">
        <f t="shared" si="39"/>
        <v>A surveiller</v>
      </c>
      <c r="J849" s="14" t="str">
        <f t="shared" si="40"/>
        <v>Autre filière</v>
      </c>
      <c r="L849" s="16"/>
    </row>
    <row r="850" spans="1:12">
      <c r="A850" t="s">
        <v>68</v>
      </c>
      <c r="B850" t="s">
        <v>69</v>
      </c>
      <c r="C850" t="s">
        <v>27</v>
      </c>
      <c r="D850">
        <v>12.83</v>
      </c>
      <c r="E850">
        <v>11.11</v>
      </c>
      <c r="F850" s="11">
        <v>0.82350000000000001</v>
      </c>
      <c r="G850" t="str">
        <f t="shared" si="41"/>
        <v>Admis sous condition</v>
      </c>
      <c r="H850" t="str" cm="1">
        <f t="array" ref="H850">_xlfn.IFS(E850&gt;=16, "Excellent",E850&gt;=14, "Très bien", E850&gt;=12, "Bien", E850&gt;=10, "Passable", E850&lt;10, "Insuffisant")</f>
        <v>Passable</v>
      </c>
      <c r="I850" s="14" t="str">
        <f t="shared" si="39"/>
        <v>RAS</v>
      </c>
      <c r="J850" s="14" t="str">
        <f t="shared" si="40"/>
        <v>Autre filière</v>
      </c>
      <c r="K850" s="15"/>
      <c r="L850" s="16"/>
    </row>
    <row r="851" spans="1:12">
      <c r="A851" t="s">
        <v>1287</v>
      </c>
      <c r="B851" t="s">
        <v>81</v>
      </c>
      <c r="C851" t="s">
        <v>22</v>
      </c>
      <c r="D851">
        <v>6.42</v>
      </c>
      <c r="E851">
        <v>9.15</v>
      </c>
      <c r="F851" s="11">
        <v>0.79420000000000002</v>
      </c>
      <c r="G851" t="str">
        <f t="shared" si="41"/>
        <v>Refusé</v>
      </c>
      <c r="H851" t="str" cm="1">
        <f t="array" ref="H851">_xlfn.IFS(E851&gt;=16, "Excellent",E851&gt;=14, "Très bien", E851&gt;=12, "Bien", E851&gt;=10, "Passable", E851&lt;10, "Insuffisant")</f>
        <v>Insuffisant</v>
      </c>
      <c r="I851" s="14" t="str">
        <f t="shared" si="39"/>
        <v>A surveiller</v>
      </c>
      <c r="J851" s="14" t="str">
        <f t="shared" si="40"/>
        <v>Data</v>
      </c>
      <c r="L851" s="16"/>
    </row>
    <row r="852" spans="1:12">
      <c r="A852" t="s">
        <v>816</v>
      </c>
      <c r="B852" t="s">
        <v>200</v>
      </c>
      <c r="C852" t="s">
        <v>27</v>
      </c>
      <c r="D852">
        <v>9.5299999999999994</v>
      </c>
      <c r="E852">
        <v>11.77</v>
      </c>
      <c r="F852" s="11">
        <v>0.91100000000000003</v>
      </c>
      <c r="G852" t="str">
        <f t="shared" si="41"/>
        <v>Refusé</v>
      </c>
      <c r="H852" t="str" cm="1">
        <f t="array" ref="H852">_xlfn.IFS(E852&gt;=16, "Excellent",E852&gt;=14, "Très bien", E852&gt;=12, "Bien", E852&gt;=10, "Passable", E852&lt;10, "Insuffisant")</f>
        <v>Passable</v>
      </c>
      <c r="I852" s="14" t="str">
        <f t="shared" si="39"/>
        <v>A surveiller</v>
      </c>
      <c r="J852" s="14" t="str">
        <f t="shared" si="40"/>
        <v>Autre filière</v>
      </c>
      <c r="L852" s="16"/>
    </row>
    <row r="853" spans="1:12">
      <c r="A853" t="s">
        <v>476</v>
      </c>
      <c r="B853" t="s">
        <v>477</v>
      </c>
      <c r="C853" t="s">
        <v>35</v>
      </c>
      <c r="D853">
        <v>9.68</v>
      </c>
      <c r="E853">
        <v>15.25</v>
      </c>
      <c r="F853" s="11">
        <v>0.81479999999999997</v>
      </c>
      <c r="G853" t="str">
        <f t="shared" si="41"/>
        <v>Refusé</v>
      </c>
      <c r="H853" t="str" cm="1">
        <f t="array" ref="H853">_xlfn.IFS(E853&gt;=16, "Excellent",E853&gt;=14, "Très bien", E853&gt;=12, "Bien", E853&gt;=10, "Passable", E853&lt;10, "Insuffisant")</f>
        <v>Très bien</v>
      </c>
      <c r="I853" s="14" t="str">
        <f t="shared" si="39"/>
        <v>A surveiller</v>
      </c>
      <c r="J853" s="14" t="str">
        <f t="shared" si="40"/>
        <v>Autre filière</v>
      </c>
      <c r="K853" s="15"/>
      <c r="L853" s="16"/>
    </row>
    <row r="854" spans="1:12">
      <c r="A854" t="s">
        <v>1332</v>
      </c>
      <c r="B854" t="s">
        <v>380</v>
      </c>
      <c r="C854" t="s">
        <v>22</v>
      </c>
      <c r="D854">
        <v>14.34</v>
      </c>
      <c r="E854">
        <v>8.32</v>
      </c>
      <c r="F854" s="11">
        <v>0.66180000000000005</v>
      </c>
      <c r="G854" t="str">
        <f t="shared" si="41"/>
        <v>Refusé</v>
      </c>
      <c r="H854" t="str" cm="1">
        <f t="array" ref="H854">_xlfn.IFS(E854&gt;=16, "Excellent",E854&gt;=14, "Très bien", E854&gt;=12, "Bien", E854&gt;=10, "Passable", E854&lt;10, "Insuffisant")</f>
        <v>Insuffisant</v>
      </c>
      <c r="I854" s="14" t="str">
        <f t="shared" si="39"/>
        <v>A surveiller</v>
      </c>
      <c r="J854" s="14" t="str">
        <f t="shared" si="40"/>
        <v>Data</v>
      </c>
      <c r="L854" s="16"/>
    </row>
    <row r="855" spans="1:12">
      <c r="A855" t="s">
        <v>721</v>
      </c>
      <c r="B855" t="s">
        <v>98</v>
      </c>
      <c r="C855" t="s">
        <v>22</v>
      </c>
      <c r="D855">
        <v>11.24</v>
      </c>
      <c r="E855">
        <v>8.5500000000000007</v>
      </c>
      <c r="F855" s="11">
        <v>0.71199999999999997</v>
      </c>
      <c r="G855" t="str">
        <f t="shared" si="41"/>
        <v>Refusé</v>
      </c>
      <c r="H855" t="str" cm="1">
        <f t="array" ref="H855">_xlfn.IFS(E855&gt;=16, "Excellent",E855&gt;=14, "Très bien", E855&gt;=12, "Bien", E855&gt;=10, "Passable", E855&lt;10, "Insuffisant")</f>
        <v>Insuffisant</v>
      </c>
      <c r="I855" s="14" t="str">
        <f t="shared" si="39"/>
        <v>A surveiller</v>
      </c>
      <c r="J855" s="14" t="str">
        <f t="shared" si="40"/>
        <v>Data</v>
      </c>
      <c r="L855" s="16"/>
    </row>
    <row r="856" spans="1:12">
      <c r="A856" t="s">
        <v>583</v>
      </c>
      <c r="B856" t="s">
        <v>539</v>
      </c>
      <c r="C856" t="s">
        <v>35</v>
      </c>
      <c r="D856">
        <v>12.11</v>
      </c>
      <c r="E856">
        <v>8.9700000000000006</v>
      </c>
      <c r="F856" s="11">
        <v>0.82779999999999998</v>
      </c>
      <c r="G856" t="str">
        <f t="shared" si="41"/>
        <v>Refusé</v>
      </c>
      <c r="H856" t="str" cm="1">
        <f t="array" ref="H856">_xlfn.IFS(E856&gt;=16, "Excellent",E856&gt;=14, "Très bien", E856&gt;=12, "Bien", E856&gt;=10, "Passable", E856&lt;10, "Insuffisant")</f>
        <v>Insuffisant</v>
      </c>
      <c r="I856" s="14" t="str">
        <f t="shared" si="39"/>
        <v>A surveiller</v>
      </c>
      <c r="J856" s="14" t="str">
        <f t="shared" si="40"/>
        <v>Autre filière</v>
      </c>
      <c r="K856" s="15"/>
      <c r="L856" s="16"/>
    </row>
    <row r="857" spans="1:12">
      <c r="A857" t="s">
        <v>49</v>
      </c>
      <c r="B857" t="s">
        <v>50</v>
      </c>
      <c r="C857" t="s">
        <v>27</v>
      </c>
      <c r="D857">
        <v>10.02</v>
      </c>
      <c r="E857">
        <v>13.71</v>
      </c>
      <c r="F857" s="11">
        <v>0.78959999999999997</v>
      </c>
      <c r="G857" t="str">
        <f t="shared" si="41"/>
        <v>Admis sous condition</v>
      </c>
      <c r="H857" t="str" cm="1">
        <f t="array" ref="H857">_xlfn.IFS(E857&gt;=16, "Excellent",E857&gt;=14, "Très bien", E857&gt;=12, "Bien", E857&gt;=10, "Passable", E857&lt;10, "Insuffisant")</f>
        <v>Bien</v>
      </c>
      <c r="I857" s="14" t="str">
        <f t="shared" si="39"/>
        <v>RAS</v>
      </c>
      <c r="J857" s="14" t="str">
        <f t="shared" si="40"/>
        <v>Autre filière</v>
      </c>
      <c r="L857" s="16"/>
    </row>
    <row r="858" spans="1:12">
      <c r="A858" t="s">
        <v>523</v>
      </c>
      <c r="B858" t="s">
        <v>83</v>
      </c>
      <c r="C858" t="s">
        <v>27</v>
      </c>
      <c r="D858">
        <v>10.31</v>
      </c>
      <c r="E858">
        <v>9.83</v>
      </c>
      <c r="F858" s="11">
        <v>0.69230000000000003</v>
      </c>
      <c r="G858" t="str">
        <f t="shared" si="41"/>
        <v>Refusé</v>
      </c>
      <c r="H858" t="str" cm="1">
        <f t="array" ref="H858">_xlfn.IFS(E858&gt;=16, "Excellent",E858&gt;=14, "Très bien", E858&gt;=12, "Bien", E858&gt;=10, "Passable", E858&lt;10, "Insuffisant")</f>
        <v>Insuffisant</v>
      </c>
      <c r="I858" s="14" t="str">
        <f t="shared" si="39"/>
        <v>A surveiller</v>
      </c>
      <c r="J858" s="14" t="str">
        <f t="shared" si="40"/>
        <v>Autre filière</v>
      </c>
      <c r="L858" s="16"/>
    </row>
    <row r="859" spans="1:12">
      <c r="A859" t="s">
        <v>1083</v>
      </c>
      <c r="B859" t="s">
        <v>59</v>
      </c>
      <c r="C859" t="s">
        <v>48</v>
      </c>
      <c r="D859">
        <v>8.4600000000000009</v>
      </c>
      <c r="E859">
        <v>14.97</v>
      </c>
      <c r="F859" s="11">
        <v>0.94889999999999997</v>
      </c>
      <c r="G859" t="str">
        <f t="shared" si="41"/>
        <v>Refusé</v>
      </c>
      <c r="H859" t="str" cm="1">
        <f t="array" ref="H859">_xlfn.IFS(E859&gt;=16, "Excellent",E859&gt;=14, "Très bien", E859&gt;=12, "Bien", E859&gt;=10, "Passable", E859&lt;10, "Insuffisant")</f>
        <v>Très bien</v>
      </c>
      <c r="I859" s="14" t="str">
        <f t="shared" si="39"/>
        <v>A surveiller</v>
      </c>
      <c r="J859" s="14" t="str">
        <f t="shared" si="40"/>
        <v>Autre filière</v>
      </c>
      <c r="L859" s="16"/>
    </row>
    <row r="860" spans="1:12">
      <c r="A860" t="s">
        <v>568</v>
      </c>
      <c r="B860" t="s">
        <v>453</v>
      </c>
      <c r="C860" t="s">
        <v>48</v>
      </c>
      <c r="D860">
        <v>9.31</v>
      </c>
      <c r="E860">
        <v>12.04</v>
      </c>
      <c r="F860" s="11">
        <v>0.83299999999999996</v>
      </c>
      <c r="G860" t="str">
        <f t="shared" si="41"/>
        <v>Refusé</v>
      </c>
      <c r="H860" t="str" cm="1">
        <f t="array" ref="H860">_xlfn.IFS(E860&gt;=16, "Excellent",E860&gt;=14, "Très bien", E860&gt;=12, "Bien", E860&gt;=10, "Passable", E860&lt;10, "Insuffisant")</f>
        <v>Bien</v>
      </c>
      <c r="I860" s="14" t="str">
        <f t="shared" si="39"/>
        <v>A surveiller</v>
      </c>
      <c r="J860" s="14" t="str">
        <f t="shared" si="40"/>
        <v>Autre filière</v>
      </c>
      <c r="K860" s="15"/>
      <c r="L860" s="16"/>
    </row>
    <row r="861" spans="1:12">
      <c r="A861" t="s">
        <v>365</v>
      </c>
      <c r="B861" t="s">
        <v>366</v>
      </c>
      <c r="C861" t="s">
        <v>35</v>
      </c>
      <c r="D861">
        <v>10.7</v>
      </c>
      <c r="E861">
        <v>13.65</v>
      </c>
      <c r="F861" s="11">
        <v>0.76680000000000004</v>
      </c>
      <c r="G861" t="str">
        <f t="shared" si="41"/>
        <v>Admis sous condition</v>
      </c>
      <c r="H861" t="str" cm="1">
        <f t="array" ref="H861">_xlfn.IFS(E861&gt;=16, "Excellent",E861&gt;=14, "Très bien", E861&gt;=12, "Bien", E861&gt;=10, "Passable", E861&lt;10, "Insuffisant")</f>
        <v>Bien</v>
      </c>
      <c r="I861" s="14" t="str">
        <f t="shared" si="39"/>
        <v>RAS</v>
      </c>
      <c r="J861" s="14" t="str">
        <f t="shared" si="40"/>
        <v>Autre filière</v>
      </c>
      <c r="L861" s="16"/>
    </row>
    <row r="862" spans="1:12">
      <c r="A862" t="s">
        <v>1288</v>
      </c>
      <c r="B862" t="s">
        <v>65</v>
      </c>
      <c r="C862" t="s">
        <v>27</v>
      </c>
      <c r="D862">
        <v>7.8</v>
      </c>
      <c r="E862">
        <v>10.34</v>
      </c>
      <c r="F862" s="11">
        <v>0.91359999999999997</v>
      </c>
      <c r="G862" t="str">
        <f t="shared" si="41"/>
        <v>Refusé</v>
      </c>
      <c r="H862" t="str" cm="1">
        <f t="array" ref="H862">_xlfn.IFS(E862&gt;=16, "Excellent",E862&gt;=14, "Très bien", E862&gt;=12, "Bien", E862&gt;=10, "Passable", E862&lt;10, "Insuffisant")</f>
        <v>Passable</v>
      </c>
      <c r="I862" s="14" t="str">
        <f t="shared" si="39"/>
        <v>A surveiller</v>
      </c>
      <c r="J862" s="14" t="str">
        <f t="shared" si="40"/>
        <v>Autre filière</v>
      </c>
      <c r="L862" s="16"/>
    </row>
    <row r="863" spans="1:12">
      <c r="A863" t="s">
        <v>1123</v>
      </c>
      <c r="B863" t="s">
        <v>431</v>
      </c>
      <c r="C863" t="s">
        <v>27</v>
      </c>
      <c r="D863">
        <v>15.34</v>
      </c>
      <c r="E863">
        <v>9.41</v>
      </c>
      <c r="F863" s="11">
        <v>0.92059999999999997</v>
      </c>
      <c r="G863" t="str">
        <f t="shared" si="41"/>
        <v>Refusé</v>
      </c>
      <c r="H863" t="str" cm="1">
        <f t="array" ref="H863">_xlfn.IFS(E863&gt;=16, "Excellent",E863&gt;=14, "Très bien", E863&gt;=12, "Bien", E863&gt;=10, "Passable", E863&lt;10, "Insuffisant")</f>
        <v>Insuffisant</v>
      </c>
      <c r="I863" s="14" t="str">
        <f t="shared" si="39"/>
        <v>A surveiller</v>
      </c>
      <c r="J863" s="14" t="str">
        <f t="shared" si="40"/>
        <v>Autre filière</v>
      </c>
      <c r="L863" s="16"/>
    </row>
    <row r="864" spans="1:12">
      <c r="A864" t="s">
        <v>791</v>
      </c>
      <c r="B864" t="s">
        <v>237</v>
      </c>
      <c r="C864" t="s">
        <v>22</v>
      </c>
      <c r="D864">
        <v>11.19</v>
      </c>
      <c r="E864">
        <v>11.11</v>
      </c>
      <c r="F864" s="11">
        <v>0.75849999999999995</v>
      </c>
      <c r="G864" t="str">
        <f t="shared" si="41"/>
        <v>Admis sous condition</v>
      </c>
      <c r="H864" t="str" cm="1">
        <f t="array" ref="H864">_xlfn.IFS(E864&gt;=16, "Excellent",E864&gt;=14, "Très bien", E864&gt;=12, "Bien", E864&gt;=10, "Passable", E864&lt;10, "Insuffisant")</f>
        <v>Passable</v>
      </c>
      <c r="I864" s="14" t="str">
        <f t="shared" si="39"/>
        <v>RAS</v>
      </c>
      <c r="J864" s="14" t="str">
        <f t="shared" si="40"/>
        <v>Data</v>
      </c>
      <c r="L864" s="16"/>
    </row>
    <row r="865" spans="1:12">
      <c r="A865" t="s">
        <v>486</v>
      </c>
      <c r="B865" t="s">
        <v>155</v>
      </c>
      <c r="C865" t="s">
        <v>35</v>
      </c>
      <c r="D865">
        <v>13.51</v>
      </c>
      <c r="E865">
        <v>9.89</v>
      </c>
      <c r="F865" s="11">
        <v>0.88829999999999998</v>
      </c>
      <c r="G865" t="str">
        <f t="shared" si="41"/>
        <v>Refusé</v>
      </c>
      <c r="H865" t="str" cm="1">
        <f t="array" ref="H865">_xlfn.IFS(E865&gt;=16, "Excellent",E865&gt;=14, "Très bien", E865&gt;=12, "Bien", E865&gt;=10, "Passable", E865&lt;10, "Insuffisant")</f>
        <v>Insuffisant</v>
      </c>
      <c r="I865" s="14" t="str">
        <f t="shared" si="39"/>
        <v>A surveiller</v>
      </c>
      <c r="J865" s="14" t="str">
        <f t="shared" si="40"/>
        <v>Autre filière</v>
      </c>
      <c r="K865" s="15"/>
      <c r="L865" s="16"/>
    </row>
    <row r="866" spans="1:12">
      <c r="A866" t="s">
        <v>281</v>
      </c>
      <c r="B866" t="s">
        <v>115</v>
      </c>
      <c r="C866" t="s">
        <v>27</v>
      </c>
      <c r="D866">
        <v>12</v>
      </c>
      <c r="E866">
        <v>8.31</v>
      </c>
      <c r="F866" s="11">
        <v>0.79290000000000005</v>
      </c>
      <c r="G866" t="str">
        <f t="shared" si="41"/>
        <v>Refusé</v>
      </c>
      <c r="H866" t="str" cm="1">
        <f t="array" ref="H866">_xlfn.IFS(E866&gt;=16, "Excellent",E866&gt;=14, "Très bien", E866&gt;=12, "Bien", E866&gt;=10, "Passable", E866&lt;10, "Insuffisant")</f>
        <v>Insuffisant</v>
      </c>
      <c r="I866" s="14" t="str">
        <f t="shared" si="39"/>
        <v>A surveiller</v>
      </c>
      <c r="J866" s="14" t="str">
        <f t="shared" si="40"/>
        <v>Autre filière</v>
      </c>
      <c r="L866" s="16"/>
    </row>
    <row r="867" spans="1:12">
      <c r="A867" t="s">
        <v>1024</v>
      </c>
      <c r="B867" t="s">
        <v>184</v>
      </c>
      <c r="C867" t="s">
        <v>35</v>
      </c>
      <c r="D867">
        <v>14.59</v>
      </c>
      <c r="E867">
        <v>12.51</v>
      </c>
      <c r="F867" s="11">
        <v>0.83020000000000005</v>
      </c>
      <c r="G867" t="str">
        <f t="shared" si="41"/>
        <v>Admis</v>
      </c>
      <c r="H867" t="str" cm="1">
        <f t="array" ref="H867">_xlfn.IFS(E867&gt;=16, "Excellent",E867&gt;=14, "Très bien", E867&gt;=12, "Bien", E867&gt;=10, "Passable", E867&lt;10, "Insuffisant")</f>
        <v>Bien</v>
      </c>
      <c r="I867" s="14" t="str">
        <f t="shared" si="39"/>
        <v>RAS</v>
      </c>
      <c r="J867" s="14" t="str">
        <f t="shared" si="40"/>
        <v>Autre filière</v>
      </c>
      <c r="K867" s="15"/>
      <c r="L867" s="16"/>
    </row>
    <row r="868" spans="1:12">
      <c r="A868" t="s">
        <v>551</v>
      </c>
      <c r="B868" t="s">
        <v>552</v>
      </c>
      <c r="C868" t="s">
        <v>48</v>
      </c>
      <c r="D868">
        <v>11.2</v>
      </c>
      <c r="E868">
        <v>8.82</v>
      </c>
      <c r="F868" s="11">
        <v>0.96179999999999999</v>
      </c>
      <c r="G868" t="str">
        <f t="shared" si="41"/>
        <v>Refusé</v>
      </c>
      <c r="H868" t="str" cm="1">
        <f t="array" ref="H868">_xlfn.IFS(E868&gt;=16, "Excellent",E868&gt;=14, "Très bien", E868&gt;=12, "Bien", E868&gt;=10, "Passable", E868&lt;10, "Insuffisant")</f>
        <v>Insuffisant</v>
      </c>
      <c r="I868" s="14" t="str">
        <f t="shared" si="39"/>
        <v>A surveiller</v>
      </c>
      <c r="J868" s="14" t="str">
        <f t="shared" si="40"/>
        <v>Autre filière</v>
      </c>
      <c r="L868" s="16"/>
    </row>
    <row r="869" spans="1:12">
      <c r="A869" t="s">
        <v>1069</v>
      </c>
      <c r="B869" t="s">
        <v>607</v>
      </c>
      <c r="C869" t="s">
        <v>22</v>
      </c>
      <c r="D869">
        <v>12.41</v>
      </c>
      <c r="E869">
        <v>12.65</v>
      </c>
      <c r="F869" s="11">
        <v>0.79549999999999998</v>
      </c>
      <c r="G869" t="str">
        <f t="shared" si="41"/>
        <v>Admis sous condition</v>
      </c>
      <c r="H869" t="str" cm="1">
        <f t="array" ref="H869">_xlfn.IFS(E869&gt;=16, "Excellent",E869&gt;=14, "Très bien", E869&gt;=12, "Bien", E869&gt;=10, "Passable", E869&lt;10, "Insuffisant")</f>
        <v>Bien</v>
      </c>
      <c r="I869" s="14" t="str">
        <f t="shared" si="39"/>
        <v>RAS</v>
      </c>
      <c r="J869" s="14" t="str">
        <f t="shared" si="40"/>
        <v>Data</v>
      </c>
      <c r="L869" s="16"/>
    </row>
    <row r="870" spans="1:12">
      <c r="A870" t="s">
        <v>1087</v>
      </c>
      <c r="B870" t="s">
        <v>123</v>
      </c>
      <c r="C870" t="s">
        <v>48</v>
      </c>
      <c r="D870">
        <v>11.88</v>
      </c>
      <c r="E870">
        <v>12.57</v>
      </c>
      <c r="F870" s="11">
        <v>0.92620000000000002</v>
      </c>
      <c r="G870" t="str">
        <f t="shared" si="41"/>
        <v>Admis sous condition</v>
      </c>
      <c r="H870" t="str" cm="1">
        <f t="array" ref="H870">_xlfn.IFS(E870&gt;=16, "Excellent",E870&gt;=14, "Très bien", E870&gt;=12, "Bien", E870&gt;=10, "Passable", E870&lt;10, "Insuffisant")</f>
        <v>Bien</v>
      </c>
      <c r="I870" s="14" t="str">
        <f t="shared" si="39"/>
        <v>RAS</v>
      </c>
      <c r="J870" s="14" t="str">
        <f t="shared" si="40"/>
        <v>Autre filière</v>
      </c>
      <c r="K870" s="15"/>
      <c r="L870" s="16"/>
    </row>
    <row r="871" spans="1:12">
      <c r="A871" t="s">
        <v>338</v>
      </c>
      <c r="B871" t="s">
        <v>146</v>
      </c>
      <c r="C871" t="s">
        <v>48</v>
      </c>
      <c r="D871">
        <v>13.19</v>
      </c>
      <c r="E871">
        <v>14.36</v>
      </c>
      <c r="F871" s="11">
        <v>0.83160000000000001</v>
      </c>
      <c r="G871" t="str">
        <f t="shared" si="41"/>
        <v>Admis</v>
      </c>
      <c r="H871" t="str" cm="1">
        <f t="array" ref="H871">_xlfn.IFS(E871&gt;=16, "Excellent",E871&gt;=14, "Très bien", E871&gt;=12, "Bien", E871&gt;=10, "Passable", E871&lt;10, "Insuffisant")</f>
        <v>Très bien</v>
      </c>
      <c r="I871" s="14" t="str">
        <f t="shared" si="39"/>
        <v>RAS</v>
      </c>
      <c r="J871" s="14" t="str">
        <f t="shared" si="40"/>
        <v>Autre filière</v>
      </c>
      <c r="K871" s="15"/>
      <c r="L871" s="16"/>
    </row>
    <row r="872" spans="1:12">
      <c r="A872" t="s">
        <v>1173</v>
      </c>
      <c r="B872" t="s">
        <v>372</v>
      </c>
      <c r="C872" t="s">
        <v>22</v>
      </c>
      <c r="D872">
        <v>11.57</v>
      </c>
      <c r="E872">
        <v>11.27</v>
      </c>
      <c r="F872" s="11">
        <v>0.63160000000000005</v>
      </c>
      <c r="G872" t="str">
        <f t="shared" si="41"/>
        <v>Admis sous condition</v>
      </c>
      <c r="H872" t="str" cm="1">
        <f t="array" ref="H872">_xlfn.IFS(E872&gt;=16, "Excellent",E872&gt;=14, "Très bien", E872&gt;=12, "Bien", E872&gt;=10, "Passable", E872&lt;10, "Insuffisant")</f>
        <v>Passable</v>
      </c>
      <c r="I872" s="14" t="str">
        <f t="shared" si="39"/>
        <v>A surveiller</v>
      </c>
      <c r="J872" s="14" t="str">
        <f t="shared" si="40"/>
        <v>Data</v>
      </c>
      <c r="L872" s="16"/>
    </row>
    <row r="873" spans="1:12">
      <c r="A873" t="s">
        <v>1226</v>
      </c>
      <c r="B873" t="s">
        <v>585</v>
      </c>
      <c r="C873" t="s">
        <v>22</v>
      </c>
      <c r="D873">
        <v>10.85</v>
      </c>
      <c r="E873">
        <v>11.21</v>
      </c>
      <c r="F873" s="11">
        <v>0.89259999999999995</v>
      </c>
      <c r="G873" t="str">
        <f t="shared" si="41"/>
        <v>Admis sous condition</v>
      </c>
      <c r="H873" t="str" cm="1">
        <f t="array" ref="H873">_xlfn.IFS(E873&gt;=16, "Excellent",E873&gt;=14, "Très bien", E873&gt;=12, "Bien", E873&gt;=10, "Passable", E873&lt;10, "Insuffisant")</f>
        <v>Passable</v>
      </c>
      <c r="I873" s="14" t="str">
        <f t="shared" si="39"/>
        <v>RAS</v>
      </c>
      <c r="J873" s="14" t="str">
        <f t="shared" si="40"/>
        <v>Data</v>
      </c>
      <c r="K873" s="15"/>
      <c r="L873" s="16"/>
    </row>
    <row r="874" spans="1:12">
      <c r="A874" t="s">
        <v>177</v>
      </c>
      <c r="B874" t="s">
        <v>178</v>
      </c>
      <c r="C874" t="s">
        <v>27</v>
      </c>
      <c r="D874">
        <v>10.82</v>
      </c>
      <c r="E874">
        <v>15.12</v>
      </c>
      <c r="F874" s="11">
        <v>0.83409999999999995</v>
      </c>
      <c r="G874" t="str">
        <f t="shared" si="41"/>
        <v>Admis sous condition</v>
      </c>
      <c r="H874" t="str" cm="1">
        <f t="array" ref="H874">_xlfn.IFS(E874&gt;=16, "Excellent",E874&gt;=14, "Très bien", E874&gt;=12, "Bien", E874&gt;=10, "Passable", E874&lt;10, "Insuffisant")</f>
        <v>Très bien</v>
      </c>
      <c r="I874" s="14" t="str">
        <f t="shared" si="39"/>
        <v>RAS</v>
      </c>
      <c r="J874" s="14" t="str">
        <f t="shared" si="40"/>
        <v>Autre filière</v>
      </c>
      <c r="K874" s="15"/>
      <c r="L874" s="16"/>
    </row>
    <row r="875" spans="1:12">
      <c r="A875" t="s">
        <v>950</v>
      </c>
      <c r="B875" t="s">
        <v>581</v>
      </c>
      <c r="C875" t="s">
        <v>48</v>
      </c>
      <c r="D875">
        <v>10.31</v>
      </c>
      <c r="E875">
        <v>11.1</v>
      </c>
      <c r="F875" s="11">
        <v>0.86419999999999997</v>
      </c>
      <c r="G875" t="str">
        <f t="shared" si="41"/>
        <v>Admis sous condition</v>
      </c>
      <c r="H875" t="str" cm="1">
        <f t="array" ref="H875">_xlfn.IFS(E875&gt;=16, "Excellent",E875&gt;=14, "Très bien", E875&gt;=12, "Bien", E875&gt;=10, "Passable", E875&lt;10, "Insuffisant")</f>
        <v>Passable</v>
      </c>
      <c r="I875" s="14" t="str">
        <f t="shared" si="39"/>
        <v>RAS</v>
      </c>
      <c r="J875" s="14" t="str">
        <f t="shared" si="40"/>
        <v>Autre filière</v>
      </c>
      <c r="K875" s="15"/>
      <c r="L875" s="16"/>
    </row>
    <row r="876" spans="1:12">
      <c r="A876" t="s">
        <v>296</v>
      </c>
      <c r="B876" t="s">
        <v>297</v>
      </c>
      <c r="C876" t="s">
        <v>27</v>
      </c>
      <c r="D876">
        <v>13.62</v>
      </c>
      <c r="E876">
        <v>15.57</v>
      </c>
      <c r="F876" s="11">
        <v>0.94320000000000004</v>
      </c>
      <c r="G876" t="str">
        <f t="shared" si="41"/>
        <v>Admis</v>
      </c>
      <c r="H876" t="str" cm="1">
        <f t="array" ref="H876">_xlfn.IFS(E876&gt;=16, "Excellent",E876&gt;=14, "Très bien", E876&gt;=12, "Bien", E876&gt;=10, "Passable", E876&lt;10, "Insuffisant")</f>
        <v>Très bien</v>
      </c>
      <c r="I876" s="14" t="str">
        <f t="shared" si="39"/>
        <v>RAS</v>
      </c>
      <c r="J876" s="14" t="str">
        <f t="shared" si="40"/>
        <v>Autre filière</v>
      </c>
      <c r="L876" s="16"/>
    </row>
    <row r="877" spans="1:12">
      <c r="A877" t="s">
        <v>808</v>
      </c>
      <c r="B877" t="s">
        <v>737</v>
      </c>
      <c r="C877" t="s">
        <v>48</v>
      </c>
      <c r="D877">
        <v>15.69</v>
      </c>
      <c r="E877">
        <v>14.47</v>
      </c>
      <c r="F877" s="11">
        <v>0.81320000000000003</v>
      </c>
      <c r="G877" t="str">
        <f t="shared" si="41"/>
        <v>Admis</v>
      </c>
      <c r="H877" t="str" cm="1">
        <f t="array" ref="H877">_xlfn.IFS(E877&gt;=16, "Excellent",E877&gt;=14, "Très bien", E877&gt;=12, "Bien", E877&gt;=10, "Passable", E877&lt;10, "Insuffisant")</f>
        <v>Très bien</v>
      </c>
      <c r="I877" s="14" t="str">
        <f t="shared" si="39"/>
        <v>RAS</v>
      </c>
      <c r="J877" s="14" t="str">
        <f t="shared" si="40"/>
        <v>Autre filière</v>
      </c>
      <c r="K877" s="15"/>
      <c r="L877" s="16"/>
    </row>
    <row r="878" spans="1:12">
      <c r="A878" t="s">
        <v>887</v>
      </c>
      <c r="B878" t="s">
        <v>106</v>
      </c>
      <c r="C878" t="s">
        <v>22</v>
      </c>
      <c r="D878">
        <v>10.87</v>
      </c>
      <c r="E878">
        <v>10.98</v>
      </c>
      <c r="F878" s="11">
        <v>0.78890000000000005</v>
      </c>
      <c r="G878" t="str">
        <f t="shared" si="41"/>
        <v>Admis sous condition</v>
      </c>
      <c r="H878" t="str" cm="1">
        <f t="array" ref="H878">_xlfn.IFS(E878&gt;=16, "Excellent",E878&gt;=14, "Très bien", E878&gt;=12, "Bien", E878&gt;=10, "Passable", E878&lt;10, "Insuffisant")</f>
        <v>Passable</v>
      </c>
      <c r="I878" s="14" t="str">
        <f t="shared" si="39"/>
        <v>RAS</v>
      </c>
      <c r="J878" s="14" t="str">
        <f t="shared" si="40"/>
        <v>Data</v>
      </c>
      <c r="L878" s="16"/>
    </row>
    <row r="879" spans="1:12">
      <c r="A879" t="s">
        <v>639</v>
      </c>
      <c r="B879" t="s">
        <v>640</v>
      </c>
      <c r="C879" t="s">
        <v>22</v>
      </c>
      <c r="D879">
        <v>9.8800000000000008</v>
      </c>
      <c r="E879">
        <v>14.7</v>
      </c>
      <c r="F879" s="11">
        <v>0.9486</v>
      </c>
      <c r="G879" t="str">
        <f t="shared" si="41"/>
        <v>Refusé</v>
      </c>
      <c r="H879" t="str" cm="1">
        <f t="array" ref="H879">_xlfn.IFS(E879&gt;=16, "Excellent",E879&gt;=14, "Très bien", E879&gt;=12, "Bien", E879&gt;=10, "Passable", E879&lt;10, "Insuffisant")</f>
        <v>Très bien</v>
      </c>
      <c r="I879" s="14" t="str">
        <f t="shared" si="39"/>
        <v>A surveiller</v>
      </c>
      <c r="J879" s="14" t="str">
        <f t="shared" si="40"/>
        <v>Data</v>
      </c>
      <c r="L879" s="16"/>
    </row>
    <row r="880" spans="1:12">
      <c r="A880" t="s">
        <v>44</v>
      </c>
      <c r="B880" t="s">
        <v>45</v>
      </c>
      <c r="C880" t="s">
        <v>27</v>
      </c>
      <c r="D880">
        <v>7.43</v>
      </c>
      <c r="E880">
        <v>12.08</v>
      </c>
      <c r="F880" s="11">
        <v>0.87990000000000002</v>
      </c>
      <c r="G880" t="str">
        <f t="shared" si="41"/>
        <v>Refusé</v>
      </c>
      <c r="H880" t="str" cm="1">
        <f t="array" ref="H880">_xlfn.IFS(E880&gt;=16, "Excellent",E880&gt;=14, "Très bien", E880&gt;=12, "Bien", E880&gt;=10, "Passable", E880&lt;10, "Insuffisant")</f>
        <v>Bien</v>
      </c>
      <c r="I880" s="14" t="str">
        <f t="shared" si="39"/>
        <v>A surveiller</v>
      </c>
      <c r="J880" s="14" t="str">
        <f t="shared" si="40"/>
        <v>Autre filière</v>
      </c>
      <c r="K880" s="15"/>
      <c r="L880" s="16"/>
    </row>
    <row r="881" spans="1:12">
      <c r="A881" t="s">
        <v>394</v>
      </c>
      <c r="B881" t="s">
        <v>19</v>
      </c>
      <c r="C881" t="s">
        <v>35</v>
      </c>
      <c r="D881">
        <v>9.65</v>
      </c>
      <c r="E881">
        <v>6.77</v>
      </c>
      <c r="F881" s="11">
        <v>0.97270000000000001</v>
      </c>
      <c r="G881" t="str">
        <f t="shared" si="41"/>
        <v>Refusé</v>
      </c>
      <c r="H881" t="str" cm="1">
        <f t="array" ref="H881">_xlfn.IFS(E881&gt;=16, "Excellent",E881&gt;=14, "Très bien", E881&gt;=12, "Bien", E881&gt;=10, "Passable", E881&lt;10, "Insuffisant")</f>
        <v>Insuffisant</v>
      </c>
      <c r="I881" s="14" t="str">
        <f t="shared" si="39"/>
        <v>A surveiller</v>
      </c>
      <c r="J881" s="14" t="str">
        <f t="shared" si="40"/>
        <v>Autre filière</v>
      </c>
      <c r="L881" s="16"/>
    </row>
    <row r="882" spans="1:12">
      <c r="A882" t="s">
        <v>377</v>
      </c>
      <c r="B882" t="s">
        <v>378</v>
      </c>
      <c r="C882" t="s">
        <v>22</v>
      </c>
      <c r="D882">
        <v>10.28</v>
      </c>
      <c r="E882">
        <v>14.76</v>
      </c>
      <c r="F882" s="11">
        <v>0.77929999999999999</v>
      </c>
      <c r="G882" t="str">
        <f t="shared" si="41"/>
        <v>Admis sous condition</v>
      </c>
      <c r="H882" t="str" cm="1">
        <f t="array" ref="H882">_xlfn.IFS(E882&gt;=16, "Excellent",E882&gt;=14, "Très bien", E882&gt;=12, "Bien", E882&gt;=10, "Passable", E882&lt;10, "Insuffisant")</f>
        <v>Très bien</v>
      </c>
      <c r="I882" s="14" t="str">
        <f t="shared" si="39"/>
        <v>RAS</v>
      </c>
      <c r="J882" s="14" t="str">
        <f t="shared" si="40"/>
        <v>Data</v>
      </c>
      <c r="L882" s="16"/>
    </row>
    <row r="883" spans="1:12">
      <c r="A883" t="s">
        <v>185</v>
      </c>
      <c r="B883" t="s">
        <v>186</v>
      </c>
      <c r="C883" t="s">
        <v>35</v>
      </c>
      <c r="D883">
        <v>12.79</v>
      </c>
      <c r="E883">
        <v>10.91</v>
      </c>
      <c r="F883" s="11">
        <v>0.93310000000000004</v>
      </c>
      <c r="G883" t="str">
        <f t="shared" si="41"/>
        <v>Admis sous condition</v>
      </c>
      <c r="H883" t="str" cm="1">
        <f t="array" ref="H883">_xlfn.IFS(E883&gt;=16, "Excellent",E883&gt;=14, "Très bien", E883&gt;=12, "Bien", E883&gt;=10, "Passable", E883&lt;10, "Insuffisant")</f>
        <v>Passable</v>
      </c>
      <c r="I883" s="14" t="str">
        <f t="shared" si="39"/>
        <v>RAS</v>
      </c>
      <c r="J883" s="14" t="str">
        <f t="shared" si="40"/>
        <v>Autre filière</v>
      </c>
      <c r="L883" s="16"/>
    </row>
    <row r="884" spans="1:12">
      <c r="A884" t="s">
        <v>558</v>
      </c>
      <c r="B884" t="s">
        <v>182</v>
      </c>
      <c r="C884" t="s">
        <v>35</v>
      </c>
      <c r="D884">
        <v>12.32</v>
      </c>
      <c r="E884">
        <v>16.87</v>
      </c>
      <c r="F884" s="11">
        <v>0.66690000000000005</v>
      </c>
      <c r="G884" t="str">
        <f t="shared" si="41"/>
        <v>Admis sous condition</v>
      </c>
      <c r="H884" t="str" cm="1">
        <f t="array" ref="H884">_xlfn.IFS(E884&gt;=16, "Excellent",E884&gt;=14, "Très bien", E884&gt;=12, "Bien", E884&gt;=10, "Passable", E884&lt;10, "Insuffisant")</f>
        <v>Excellent</v>
      </c>
      <c r="I884" s="14" t="str">
        <f t="shared" si="39"/>
        <v>A surveiller</v>
      </c>
      <c r="J884" s="14" t="str">
        <f t="shared" si="40"/>
        <v>Autre filière</v>
      </c>
      <c r="L884" s="16"/>
    </row>
    <row r="885" spans="1:12">
      <c r="A885" t="s">
        <v>1078</v>
      </c>
      <c r="B885" t="s">
        <v>600</v>
      </c>
      <c r="C885" t="s">
        <v>35</v>
      </c>
      <c r="D885">
        <v>14.55</v>
      </c>
      <c r="E885">
        <v>10.43</v>
      </c>
      <c r="F885" s="11">
        <v>0.8679</v>
      </c>
      <c r="G885" t="str">
        <f t="shared" si="41"/>
        <v>Admis sous condition</v>
      </c>
      <c r="H885" t="str" cm="1">
        <f t="array" ref="H885">_xlfn.IFS(E885&gt;=16, "Excellent",E885&gt;=14, "Très bien", E885&gt;=12, "Bien", E885&gt;=10, "Passable", E885&lt;10, "Insuffisant")</f>
        <v>Passable</v>
      </c>
      <c r="I885" s="14" t="str">
        <f t="shared" si="39"/>
        <v>RAS</v>
      </c>
      <c r="J885" s="14" t="str">
        <f t="shared" si="40"/>
        <v>Autre filière</v>
      </c>
      <c r="K885" s="15"/>
      <c r="L885" s="16"/>
    </row>
    <row r="886" spans="1:12">
      <c r="A886" t="s">
        <v>361</v>
      </c>
      <c r="B886" t="s">
        <v>362</v>
      </c>
      <c r="C886" t="s">
        <v>22</v>
      </c>
      <c r="D886">
        <v>7.87</v>
      </c>
      <c r="E886">
        <v>6.37</v>
      </c>
      <c r="F886" s="11">
        <v>0.97640000000000005</v>
      </c>
      <c r="G886" t="str">
        <f t="shared" si="41"/>
        <v>Refusé</v>
      </c>
      <c r="H886" t="str" cm="1">
        <f t="array" ref="H886">_xlfn.IFS(E886&gt;=16, "Excellent",E886&gt;=14, "Très bien", E886&gt;=12, "Bien", E886&gt;=10, "Passable", E886&lt;10, "Insuffisant")</f>
        <v>Insuffisant</v>
      </c>
      <c r="I886" s="14" t="str">
        <f t="shared" si="39"/>
        <v>A surveiller</v>
      </c>
      <c r="J886" s="14" t="str">
        <f t="shared" si="40"/>
        <v>Data</v>
      </c>
      <c r="L886" s="16"/>
    </row>
    <row r="887" spans="1:12">
      <c r="A887" t="s">
        <v>519</v>
      </c>
      <c r="B887" t="s">
        <v>191</v>
      </c>
      <c r="C887" t="s">
        <v>22</v>
      </c>
      <c r="D887">
        <v>14.91</v>
      </c>
      <c r="E887">
        <v>12.43</v>
      </c>
      <c r="F887" s="11">
        <v>0.71930000000000005</v>
      </c>
      <c r="G887" t="str">
        <f t="shared" si="41"/>
        <v>Admis sous condition</v>
      </c>
      <c r="H887" t="str" cm="1">
        <f t="array" ref="H887">_xlfn.IFS(E887&gt;=16, "Excellent",E887&gt;=14, "Très bien", E887&gt;=12, "Bien", E887&gt;=10, "Passable", E887&lt;10, "Insuffisant")</f>
        <v>Bien</v>
      </c>
      <c r="I887" s="14" t="str">
        <f t="shared" si="39"/>
        <v>RAS</v>
      </c>
      <c r="J887" s="14" t="str">
        <f t="shared" si="40"/>
        <v>Data</v>
      </c>
      <c r="L887" s="16"/>
    </row>
    <row r="888" spans="1:12">
      <c r="A888" t="s">
        <v>142</v>
      </c>
      <c r="B888" t="s">
        <v>109</v>
      </c>
      <c r="C888" t="s">
        <v>27</v>
      </c>
      <c r="D888">
        <v>7.04</v>
      </c>
      <c r="E888">
        <v>6.56</v>
      </c>
      <c r="F888" s="11">
        <v>0.6895</v>
      </c>
      <c r="G888" t="str">
        <f t="shared" si="41"/>
        <v>Refusé</v>
      </c>
      <c r="H888" t="str" cm="1">
        <f t="array" ref="H888">_xlfn.IFS(E888&gt;=16, "Excellent",E888&gt;=14, "Très bien", E888&gt;=12, "Bien", E888&gt;=10, "Passable", E888&lt;10, "Insuffisant")</f>
        <v>Insuffisant</v>
      </c>
      <c r="I888" s="14" t="str">
        <f t="shared" si="39"/>
        <v>A surveiller</v>
      </c>
      <c r="J888" s="14" t="str">
        <f t="shared" si="40"/>
        <v>Autre filière</v>
      </c>
      <c r="L888" s="16"/>
    </row>
    <row r="889" spans="1:12">
      <c r="A889" t="s">
        <v>432</v>
      </c>
      <c r="B889" t="s">
        <v>433</v>
      </c>
      <c r="C889" t="s">
        <v>27</v>
      </c>
      <c r="D889">
        <v>12.51</v>
      </c>
      <c r="E889">
        <v>13.88</v>
      </c>
      <c r="F889" s="11">
        <v>0.93389999999999995</v>
      </c>
      <c r="G889" t="str">
        <f t="shared" si="41"/>
        <v>Admis</v>
      </c>
      <c r="H889" t="str" cm="1">
        <f t="array" ref="H889">_xlfn.IFS(E889&gt;=16, "Excellent",E889&gt;=14, "Très bien", E889&gt;=12, "Bien", E889&gt;=10, "Passable", E889&lt;10, "Insuffisant")</f>
        <v>Bien</v>
      </c>
      <c r="I889" s="14" t="str">
        <f t="shared" si="39"/>
        <v>RAS</v>
      </c>
      <c r="J889" s="14" t="str">
        <f t="shared" si="40"/>
        <v>Autre filière</v>
      </c>
      <c r="L889" s="16"/>
    </row>
    <row r="890" spans="1:12">
      <c r="A890" t="s">
        <v>1260</v>
      </c>
      <c r="B890" t="s">
        <v>146</v>
      </c>
      <c r="C890" t="s">
        <v>48</v>
      </c>
      <c r="D890">
        <v>9.4499999999999993</v>
      </c>
      <c r="E890">
        <v>7</v>
      </c>
      <c r="F890" s="11">
        <v>0.95640000000000003</v>
      </c>
      <c r="G890" t="str">
        <f t="shared" si="41"/>
        <v>Refusé</v>
      </c>
      <c r="H890" t="str" cm="1">
        <f t="array" ref="H890">_xlfn.IFS(E890&gt;=16, "Excellent",E890&gt;=14, "Très bien", E890&gt;=12, "Bien", E890&gt;=10, "Passable", E890&lt;10, "Insuffisant")</f>
        <v>Insuffisant</v>
      </c>
      <c r="I890" s="14" t="str">
        <f t="shared" si="39"/>
        <v>A surveiller</v>
      </c>
      <c r="J890" s="14" t="str">
        <f t="shared" si="40"/>
        <v>Autre filière</v>
      </c>
      <c r="L890" s="16"/>
    </row>
    <row r="891" spans="1:12">
      <c r="A891" t="s">
        <v>874</v>
      </c>
      <c r="B891" t="s">
        <v>875</v>
      </c>
      <c r="C891" t="s">
        <v>35</v>
      </c>
      <c r="D891">
        <v>10.64</v>
      </c>
      <c r="E891">
        <v>12.87</v>
      </c>
      <c r="F891" s="11">
        <v>0.78520000000000001</v>
      </c>
      <c r="G891" t="str">
        <f t="shared" si="41"/>
        <v>Admis sous condition</v>
      </c>
      <c r="H891" t="str" cm="1">
        <f t="array" ref="H891">_xlfn.IFS(E891&gt;=16, "Excellent",E891&gt;=14, "Très bien", E891&gt;=12, "Bien", E891&gt;=10, "Passable", E891&lt;10, "Insuffisant")</f>
        <v>Bien</v>
      </c>
      <c r="I891" s="14" t="str">
        <f t="shared" si="39"/>
        <v>RAS</v>
      </c>
      <c r="J891" s="14" t="str">
        <f t="shared" si="40"/>
        <v>Autre filière</v>
      </c>
      <c r="K891" s="15"/>
      <c r="L891" s="16"/>
    </row>
    <row r="892" spans="1:12">
      <c r="A892" t="s">
        <v>1215</v>
      </c>
      <c r="B892" t="s">
        <v>372</v>
      </c>
      <c r="C892" t="s">
        <v>48</v>
      </c>
      <c r="D892">
        <v>13.85</v>
      </c>
      <c r="E892">
        <v>13.25</v>
      </c>
      <c r="F892" s="11">
        <v>0.72609999999999997</v>
      </c>
      <c r="G892" t="str">
        <f t="shared" si="41"/>
        <v>Admis sous condition</v>
      </c>
      <c r="H892" t="str" cm="1">
        <f t="array" ref="H892">_xlfn.IFS(E892&gt;=16, "Excellent",E892&gt;=14, "Très bien", E892&gt;=12, "Bien", E892&gt;=10, "Passable", E892&lt;10, "Insuffisant")</f>
        <v>Bien</v>
      </c>
      <c r="I892" s="14" t="str">
        <f t="shared" si="39"/>
        <v>RAS</v>
      </c>
      <c r="J892" s="14" t="str">
        <f t="shared" si="40"/>
        <v>Autre filière</v>
      </c>
      <c r="L892" s="16"/>
    </row>
    <row r="893" spans="1:12">
      <c r="A893" t="s">
        <v>569</v>
      </c>
      <c r="B893" t="s">
        <v>220</v>
      </c>
      <c r="C893" t="s">
        <v>35</v>
      </c>
      <c r="D893">
        <v>11.86</v>
      </c>
      <c r="E893">
        <v>13.21</v>
      </c>
      <c r="F893" s="11">
        <v>0.95879999999999999</v>
      </c>
      <c r="G893" t="str">
        <f t="shared" si="41"/>
        <v>Admis sous condition</v>
      </c>
      <c r="H893" t="str" cm="1">
        <f t="array" ref="H893">_xlfn.IFS(E893&gt;=16, "Excellent",E893&gt;=14, "Très bien", E893&gt;=12, "Bien", E893&gt;=10, "Passable", E893&lt;10, "Insuffisant")</f>
        <v>Bien</v>
      </c>
      <c r="I893" s="14" t="str">
        <f t="shared" si="39"/>
        <v>RAS</v>
      </c>
      <c r="J893" s="14" t="str">
        <f t="shared" si="40"/>
        <v>Autre filière</v>
      </c>
      <c r="L893" s="16"/>
    </row>
    <row r="894" spans="1:12">
      <c r="A894" t="s">
        <v>1188</v>
      </c>
      <c r="B894" t="s">
        <v>679</v>
      </c>
      <c r="C894" t="s">
        <v>22</v>
      </c>
      <c r="D894">
        <v>8.16</v>
      </c>
      <c r="E894">
        <v>11.03</v>
      </c>
      <c r="F894" s="11">
        <v>0.82110000000000005</v>
      </c>
      <c r="G894" t="str">
        <f t="shared" si="41"/>
        <v>Refusé</v>
      </c>
      <c r="H894" t="str" cm="1">
        <f t="array" ref="H894">_xlfn.IFS(E894&gt;=16, "Excellent",E894&gt;=14, "Très bien", E894&gt;=12, "Bien", E894&gt;=10, "Passable", E894&lt;10, "Insuffisant")</f>
        <v>Passable</v>
      </c>
      <c r="I894" s="14" t="str">
        <f t="shared" si="39"/>
        <v>A surveiller</v>
      </c>
      <c r="J894" s="14" t="str">
        <f t="shared" si="40"/>
        <v>Data</v>
      </c>
      <c r="K894" s="15"/>
      <c r="L894" s="16"/>
    </row>
    <row r="895" spans="1:12">
      <c r="A895" t="s">
        <v>1121</v>
      </c>
      <c r="B895" t="s">
        <v>55</v>
      </c>
      <c r="C895" t="s">
        <v>48</v>
      </c>
      <c r="D895">
        <v>8.26</v>
      </c>
      <c r="E895">
        <v>8.69</v>
      </c>
      <c r="F895" s="11">
        <v>0.74050000000000005</v>
      </c>
      <c r="G895" t="str">
        <f t="shared" si="41"/>
        <v>Refusé</v>
      </c>
      <c r="H895" t="str" cm="1">
        <f t="array" ref="H895">_xlfn.IFS(E895&gt;=16, "Excellent",E895&gt;=14, "Très bien", E895&gt;=12, "Bien", E895&gt;=10, "Passable", E895&lt;10, "Insuffisant")</f>
        <v>Insuffisant</v>
      </c>
      <c r="I895" s="14" t="str">
        <f t="shared" si="39"/>
        <v>A surveiller</v>
      </c>
      <c r="J895" s="14" t="str">
        <f t="shared" si="40"/>
        <v>Autre filière</v>
      </c>
      <c r="L895" s="16"/>
    </row>
    <row r="896" spans="1:12">
      <c r="A896" t="s">
        <v>1308</v>
      </c>
      <c r="B896" t="s">
        <v>337</v>
      </c>
      <c r="C896" t="s">
        <v>35</v>
      </c>
      <c r="D896">
        <v>8.1</v>
      </c>
      <c r="E896">
        <v>12.2</v>
      </c>
      <c r="F896" s="11">
        <v>0.55000000000000004</v>
      </c>
      <c r="G896" t="str">
        <f t="shared" si="41"/>
        <v>Refusé</v>
      </c>
      <c r="H896" t="str" cm="1">
        <f t="array" ref="H896">_xlfn.IFS(E896&gt;=16, "Excellent",E896&gt;=14, "Très bien", E896&gt;=12, "Bien", E896&gt;=10, "Passable", E896&lt;10, "Insuffisant")</f>
        <v>Bien</v>
      </c>
      <c r="I896" s="14" t="str">
        <f t="shared" si="39"/>
        <v>A surveiller</v>
      </c>
      <c r="J896" s="14" t="str">
        <f t="shared" si="40"/>
        <v>Autre filière</v>
      </c>
      <c r="L896" s="16"/>
    </row>
    <row r="897" spans="1:12">
      <c r="A897" t="s">
        <v>654</v>
      </c>
      <c r="B897" t="s">
        <v>655</v>
      </c>
      <c r="C897" t="s">
        <v>48</v>
      </c>
      <c r="D897">
        <v>8.5299999999999994</v>
      </c>
      <c r="E897">
        <v>13.13</v>
      </c>
      <c r="F897" s="11">
        <v>0.95520000000000005</v>
      </c>
      <c r="G897" t="str">
        <f t="shared" si="41"/>
        <v>Refusé</v>
      </c>
      <c r="H897" t="str" cm="1">
        <f t="array" ref="H897">_xlfn.IFS(E897&gt;=16, "Excellent",E897&gt;=14, "Très bien", E897&gt;=12, "Bien", E897&gt;=10, "Passable", E897&lt;10, "Insuffisant")</f>
        <v>Bien</v>
      </c>
      <c r="I897" s="14" t="str">
        <f t="shared" si="39"/>
        <v>A surveiller</v>
      </c>
      <c r="J897" s="14" t="str">
        <f t="shared" si="40"/>
        <v>Autre filière</v>
      </c>
      <c r="L897" s="16"/>
    </row>
    <row r="898" spans="1:12">
      <c r="A898" t="s">
        <v>769</v>
      </c>
      <c r="B898" t="s">
        <v>770</v>
      </c>
      <c r="C898" t="s">
        <v>22</v>
      </c>
      <c r="D898">
        <v>10.33</v>
      </c>
      <c r="E898">
        <v>12.09</v>
      </c>
      <c r="F898" s="11">
        <v>0.61839999999999995</v>
      </c>
      <c r="G898" t="str">
        <f t="shared" si="41"/>
        <v>Admis sous condition</v>
      </c>
      <c r="H898" t="str" cm="1">
        <f t="array" ref="H898">_xlfn.IFS(E898&gt;=16, "Excellent",E898&gt;=14, "Très bien", E898&gt;=12, "Bien", E898&gt;=10, "Passable", E898&lt;10, "Insuffisant")</f>
        <v>Bien</v>
      </c>
      <c r="I898" s="14" t="str">
        <f t="shared" si="39"/>
        <v>A surveiller</v>
      </c>
      <c r="J898" s="14" t="str">
        <f t="shared" si="40"/>
        <v>Data</v>
      </c>
      <c r="L898" s="16"/>
    </row>
    <row r="899" spans="1:12">
      <c r="A899" t="s">
        <v>1262</v>
      </c>
      <c r="B899" t="s">
        <v>1184</v>
      </c>
      <c r="C899" t="s">
        <v>27</v>
      </c>
      <c r="D899">
        <v>10.25</v>
      </c>
      <c r="E899">
        <v>5.33</v>
      </c>
      <c r="F899" s="11">
        <v>0.79890000000000005</v>
      </c>
      <c r="G899" t="str">
        <f t="shared" si="41"/>
        <v>Refusé</v>
      </c>
      <c r="H899" t="str" cm="1">
        <f t="array" ref="H899">_xlfn.IFS(E899&gt;=16, "Excellent",E899&gt;=14, "Très bien", E899&gt;=12, "Bien", E899&gt;=10, "Passable", E899&lt;10, "Insuffisant")</f>
        <v>Insuffisant</v>
      </c>
      <c r="I899" s="14" t="str">
        <f t="shared" ref="I899:I962" si="42">IF(OR(D899&lt;10,E899&lt;10,F899&lt;70%), "A surveiller", "RAS")</f>
        <v>A surveiller</v>
      </c>
      <c r="J899" s="14" t="str">
        <f t="shared" ref="J899:J962" si="43">IF(NOT(C899="Data"), "Autre filière", "Data")</f>
        <v>Autre filière</v>
      </c>
      <c r="L899" s="16"/>
    </row>
    <row r="900" spans="1:12">
      <c r="A900" t="s">
        <v>1025</v>
      </c>
      <c r="B900" t="s">
        <v>258</v>
      </c>
      <c r="C900" t="s">
        <v>35</v>
      </c>
      <c r="D900">
        <v>7.44</v>
      </c>
      <c r="E900">
        <v>8</v>
      </c>
      <c r="F900" s="11">
        <v>0.8266</v>
      </c>
      <c r="G900" t="str">
        <f t="shared" si="41"/>
        <v>Refusé</v>
      </c>
      <c r="H900" t="str" cm="1">
        <f t="array" ref="H900">_xlfn.IFS(E900&gt;=16, "Excellent",E900&gt;=14, "Très bien", E900&gt;=12, "Bien", E900&gt;=10, "Passable", E900&lt;10, "Insuffisant")</f>
        <v>Insuffisant</v>
      </c>
      <c r="I900" s="14" t="str">
        <f t="shared" si="42"/>
        <v>A surveiller</v>
      </c>
      <c r="J900" s="14" t="str">
        <f t="shared" si="43"/>
        <v>Autre filière</v>
      </c>
      <c r="K900" s="15"/>
      <c r="L900" s="16"/>
    </row>
    <row r="901" spans="1:12">
      <c r="A901" t="s">
        <v>850</v>
      </c>
      <c r="B901" t="s">
        <v>406</v>
      </c>
      <c r="C901" t="s">
        <v>35</v>
      </c>
      <c r="D901">
        <v>11.9</v>
      </c>
      <c r="E901">
        <v>7.94</v>
      </c>
      <c r="F901" s="11">
        <v>0.88370000000000004</v>
      </c>
      <c r="G901" t="str">
        <f t="shared" si="41"/>
        <v>Refusé</v>
      </c>
      <c r="H901" t="str" cm="1">
        <f t="array" ref="H901">_xlfn.IFS(E901&gt;=16, "Excellent",E901&gt;=14, "Très bien", E901&gt;=12, "Bien", E901&gt;=10, "Passable", E901&lt;10, "Insuffisant")</f>
        <v>Insuffisant</v>
      </c>
      <c r="I901" s="14" t="str">
        <f t="shared" si="42"/>
        <v>A surveiller</v>
      </c>
      <c r="J901" s="14" t="str">
        <f t="shared" si="43"/>
        <v>Autre filière</v>
      </c>
      <c r="K901" s="15"/>
      <c r="L901" s="16"/>
    </row>
    <row r="902" spans="1:12">
      <c r="A902" t="s">
        <v>829</v>
      </c>
      <c r="B902" t="s">
        <v>175</v>
      </c>
      <c r="C902" t="s">
        <v>27</v>
      </c>
      <c r="D902">
        <v>12.81</v>
      </c>
      <c r="E902">
        <v>12.84</v>
      </c>
      <c r="F902" s="11">
        <v>0.64270000000000005</v>
      </c>
      <c r="G902" t="str">
        <f t="shared" si="41"/>
        <v>Admis sous condition</v>
      </c>
      <c r="H902" t="str" cm="1">
        <f t="array" ref="H902">_xlfn.IFS(E902&gt;=16, "Excellent",E902&gt;=14, "Très bien", E902&gt;=12, "Bien", E902&gt;=10, "Passable", E902&lt;10, "Insuffisant")</f>
        <v>Bien</v>
      </c>
      <c r="I902" s="14" t="str">
        <f t="shared" si="42"/>
        <v>A surveiller</v>
      </c>
      <c r="J902" s="14" t="str">
        <f t="shared" si="43"/>
        <v>Autre filière</v>
      </c>
      <c r="L902" s="16"/>
    </row>
    <row r="903" spans="1:12">
      <c r="A903" t="s">
        <v>1102</v>
      </c>
      <c r="B903" t="s">
        <v>288</v>
      </c>
      <c r="C903" t="s">
        <v>35</v>
      </c>
      <c r="D903">
        <v>11.4</v>
      </c>
      <c r="E903">
        <v>9.39</v>
      </c>
      <c r="F903" s="11">
        <v>0.81420000000000003</v>
      </c>
      <c r="G903" t="str">
        <f t="shared" si="41"/>
        <v>Refusé</v>
      </c>
      <c r="H903" t="str" cm="1">
        <f t="array" ref="H903">_xlfn.IFS(E903&gt;=16, "Excellent",E903&gt;=14, "Très bien", E903&gt;=12, "Bien", E903&gt;=10, "Passable", E903&lt;10, "Insuffisant")</f>
        <v>Insuffisant</v>
      </c>
      <c r="I903" s="14" t="str">
        <f t="shared" si="42"/>
        <v>A surveiller</v>
      </c>
      <c r="J903" s="14" t="str">
        <f t="shared" si="43"/>
        <v>Autre filière</v>
      </c>
      <c r="K903" s="15"/>
      <c r="L903" s="16"/>
    </row>
    <row r="904" spans="1:12">
      <c r="A904" t="s">
        <v>851</v>
      </c>
      <c r="B904" t="s">
        <v>376</v>
      </c>
      <c r="C904" t="s">
        <v>48</v>
      </c>
      <c r="D904">
        <v>4.3099999999999996</v>
      </c>
      <c r="E904">
        <v>2.1800000000000002</v>
      </c>
      <c r="F904" s="11">
        <v>0.89329999999999998</v>
      </c>
      <c r="G904" t="str">
        <f t="shared" si="41"/>
        <v>Refusé</v>
      </c>
      <c r="H904" t="str" cm="1">
        <f t="array" ref="H904">_xlfn.IFS(E904&gt;=16, "Excellent",E904&gt;=14, "Très bien", E904&gt;=12, "Bien", E904&gt;=10, "Passable", E904&lt;10, "Insuffisant")</f>
        <v>Insuffisant</v>
      </c>
      <c r="I904" s="14" t="str">
        <f t="shared" si="42"/>
        <v>A surveiller</v>
      </c>
      <c r="J904" s="14" t="str">
        <f t="shared" si="43"/>
        <v>Autre filière</v>
      </c>
      <c r="K904" s="15"/>
      <c r="L904" s="16"/>
    </row>
    <row r="905" spans="1:12">
      <c r="A905" t="s">
        <v>989</v>
      </c>
      <c r="B905" t="s">
        <v>926</v>
      </c>
      <c r="C905" t="s">
        <v>22</v>
      </c>
      <c r="D905">
        <v>8.74</v>
      </c>
      <c r="E905">
        <v>12.25</v>
      </c>
      <c r="F905" s="11">
        <v>0.59</v>
      </c>
      <c r="G905" t="str">
        <f t="shared" si="41"/>
        <v>Refusé</v>
      </c>
      <c r="H905" t="str" cm="1">
        <f t="array" ref="H905">_xlfn.IFS(E905&gt;=16, "Excellent",E905&gt;=14, "Très bien", E905&gt;=12, "Bien", E905&gt;=10, "Passable", E905&lt;10, "Insuffisant")</f>
        <v>Bien</v>
      </c>
      <c r="I905" s="14" t="str">
        <f t="shared" si="42"/>
        <v>A surveiller</v>
      </c>
      <c r="J905" s="14" t="str">
        <f t="shared" si="43"/>
        <v>Data</v>
      </c>
      <c r="L905" s="16"/>
    </row>
    <row r="906" spans="1:12">
      <c r="A906" t="s">
        <v>1311</v>
      </c>
      <c r="B906" t="s">
        <v>514</v>
      </c>
      <c r="C906" t="s">
        <v>22</v>
      </c>
      <c r="D906">
        <v>9.86</v>
      </c>
      <c r="E906">
        <v>8.39</v>
      </c>
      <c r="F906" s="11">
        <v>0.87709999999999999</v>
      </c>
      <c r="G906" t="str">
        <f t="shared" si="41"/>
        <v>Refusé</v>
      </c>
      <c r="H906" t="str" cm="1">
        <f t="array" ref="H906">_xlfn.IFS(E906&gt;=16, "Excellent",E906&gt;=14, "Très bien", E906&gt;=12, "Bien", E906&gt;=10, "Passable", E906&lt;10, "Insuffisant")</f>
        <v>Insuffisant</v>
      </c>
      <c r="I906" s="14" t="str">
        <f t="shared" si="42"/>
        <v>A surveiller</v>
      </c>
      <c r="J906" s="14" t="str">
        <f t="shared" si="43"/>
        <v>Data</v>
      </c>
      <c r="K906" s="15"/>
      <c r="L906" s="16"/>
    </row>
    <row r="907" spans="1:12">
      <c r="A907" t="s">
        <v>890</v>
      </c>
      <c r="B907" t="s">
        <v>79</v>
      </c>
      <c r="C907" t="s">
        <v>22</v>
      </c>
      <c r="D907">
        <v>14.13</v>
      </c>
      <c r="E907">
        <v>11.45</v>
      </c>
      <c r="F907" s="11">
        <v>0.94240000000000002</v>
      </c>
      <c r="G907" t="str">
        <f t="shared" si="41"/>
        <v>Admis sous condition</v>
      </c>
      <c r="H907" t="str" cm="1">
        <f t="array" ref="H907">_xlfn.IFS(E907&gt;=16, "Excellent",E907&gt;=14, "Très bien", E907&gt;=12, "Bien", E907&gt;=10, "Passable", E907&lt;10, "Insuffisant")</f>
        <v>Passable</v>
      </c>
      <c r="I907" s="14" t="str">
        <f t="shared" si="42"/>
        <v>RAS</v>
      </c>
      <c r="J907" s="14" t="str">
        <f t="shared" si="43"/>
        <v>Data</v>
      </c>
      <c r="L907" s="16"/>
    </row>
    <row r="908" spans="1:12">
      <c r="A908" t="s">
        <v>862</v>
      </c>
      <c r="B908" t="s">
        <v>737</v>
      </c>
      <c r="C908" t="s">
        <v>22</v>
      </c>
      <c r="D908">
        <v>15.56</v>
      </c>
      <c r="E908">
        <v>19.05</v>
      </c>
      <c r="F908" s="11">
        <v>0.90059999999999996</v>
      </c>
      <c r="G908" t="str">
        <f t="shared" si="41"/>
        <v>Admis</v>
      </c>
      <c r="H908" t="str" cm="1">
        <f t="array" ref="H908">_xlfn.IFS(E908&gt;=16, "Excellent",E908&gt;=14, "Très bien", E908&gt;=12, "Bien", E908&gt;=10, "Passable", E908&lt;10, "Insuffisant")</f>
        <v>Excellent</v>
      </c>
      <c r="I908" s="14" t="str">
        <f t="shared" si="42"/>
        <v>RAS</v>
      </c>
      <c r="J908" s="14" t="str">
        <f t="shared" si="43"/>
        <v>Data</v>
      </c>
      <c r="L908" s="16"/>
    </row>
    <row r="909" spans="1:12">
      <c r="A909" t="s">
        <v>577</v>
      </c>
      <c r="B909" t="s">
        <v>578</v>
      </c>
      <c r="C909" t="s">
        <v>22</v>
      </c>
      <c r="D909">
        <v>9.9</v>
      </c>
      <c r="E909">
        <v>8.75</v>
      </c>
      <c r="F909" s="11">
        <v>0.95840000000000003</v>
      </c>
      <c r="G909" t="str">
        <f t="shared" ref="G909:G972" si="44">IF(AND(D909&gt;=12,E909&gt;=12,F909&gt;=80%),"Admis",IF(AND(D909&gt;=10,E909&gt;=10),"Admis sous condition","Refusé"))</f>
        <v>Refusé</v>
      </c>
      <c r="H909" t="str" cm="1">
        <f t="array" ref="H909">_xlfn.IFS(E909&gt;=16, "Excellent",E909&gt;=14, "Très bien", E909&gt;=12, "Bien", E909&gt;=10, "Passable", E909&lt;10, "Insuffisant")</f>
        <v>Insuffisant</v>
      </c>
      <c r="I909" s="14" t="str">
        <f t="shared" si="42"/>
        <v>A surveiller</v>
      </c>
      <c r="J909" s="14" t="str">
        <f t="shared" si="43"/>
        <v>Data</v>
      </c>
      <c r="L909" s="16"/>
    </row>
    <row r="910" spans="1:12">
      <c r="A910" t="s">
        <v>1006</v>
      </c>
      <c r="B910" t="s">
        <v>490</v>
      </c>
      <c r="C910" t="s">
        <v>22</v>
      </c>
      <c r="D910">
        <v>8.7899999999999991</v>
      </c>
      <c r="E910">
        <v>3.27</v>
      </c>
      <c r="F910" s="11">
        <v>0.57320000000000004</v>
      </c>
      <c r="G910" t="str">
        <f t="shared" si="44"/>
        <v>Refusé</v>
      </c>
      <c r="H910" t="str" cm="1">
        <f t="array" ref="H910">_xlfn.IFS(E910&gt;=16, "Excellent",E910&gt;=14, "Très bien", E910&gt;=12, "Bien", E910&gt;=10, "Passable", E910&lt;10, "Insuffisant")</f>
        <v>Insuffisant</v>
      </c>
      <c r="I910" s="14" t="str">
        <f t="shared" si="42"/>
        <v>A surveiller</v>
      </c>
      <c r="J910" s="14" t="str">
        <f t="shared" si="43"/>
        <v>Data</v>
      </c>
      <c r="L910" s="16"/>
    </row>
    <row r="911" spans="1:12">
      <c r="A911" t="s">
        <v>1293</v>
      </c>
      <c r="B911" t="s">
        <v>1106</v>
      </c>
      <c r="C911" t="s">
        <v>48</v>
      </c>
      <c r="D911">
        <v>11.31</v>
      </c>
      <c r="E911">
        <v>10.36</v>
      </c>
      <c r="F911" s="11">
        <v>0.9284</v>
      </c>
      <c r="G911" t="str">
        <f t="shared" si="44"/>
        <v>Admis sous condition</v>
      </c>
      <c r="H911" t="str" cm="1">
        <f t="array" ref="H911">_xlfn.IFS(E911&gt;=16, "Excellent",E911&gt;=14, "Très bien", E911&gt;=12, "Bien", E911&gt;=10, "Passable", E911&lt;10, "Insuffisant")</f>
        <v>Passable</v>
      </c>
      <c r="I911" s="14" t="str">
        <f t="shared" si="42"/>
        <v>RAS</v>
      </c>
      <c r="J911" s="14" t="str">
        <f t="shared" si="43"/>
        <v>Autre filière</v>
      </c>
      <c r="L911" s="16"/>
    </row>
    <row r="912" spans="1:12">
      <c r="A912" t="s">
        <v>608</v>
      </c>
      <c r="B912" t="s">
        <v>464</v>
      </c>
      <c r="C912" t="s">
        <v>48</v>
      </c>
      <c r="D912">
        <v>7.22</v>
      </c>
      <c r="E912">
        <v>5.9</v>
      </c>
      <c r="F912" s="11">
        <v>0.79049999999999998</v>
      </c>
      <c r="G912" t="str">
        <f t="shared" si="44"/>
        <v>Refusé</v>
      </c>
      <c r="H912" t="str" cm="1">
        <f t="array" ref="H912">_xlfn.IFS(E912&gt;=16, "Excellent",E912&gt;=14, "Très bien", E912&gt;=12, "Bien", E912&gt;=10, "Passable", E912&lt;10, "Insuffisant")</f>
        <v>Insuffisant</v>
      </c>
      <c r="I912" s="14" t="str">
        <f t="shared" si="42"/>
        <v>A surveiller</v>
      </c>
      <c r="J912" s="14" t="str">
        <f t="shared" si="43"/>
        <v>Autre filière</v>
      </c>
      <c r="L912" s="16"/>
    </row>
    <row r="913" spans="1:12">
      <c r="A913" t="s">
        <v>935</v>
      </c>
      <c r="B913" t="s">
        <v>164</v>
      </c>
      <c r="C913" t="s">
        <v>22</v>
      </c>
      <c r="D913">
        <v>7.49</v>
      </c>
      <c r="E913">
        <v>12.14</v>
      </c>
      <c r="F913" s="11">
        <v>0.87350000000000005</v>
      </c>
      <c r="G913" t="str">
        <f t="shared" si="44"/>
        <v>Refusé</v>
      </c>
      <c r="H913" t="str" cm="1">
        <f t="array" ref="H913">_xlfn.IFS(E913&gt;=16, "Excellent",E913&gt;=14, "Très bien", E913&gt;=12, "Bien", E913&gt;=10, "Passable", E913&lt;10, "Insuffisant")</f>
        <v>Bien</v>
      </c>
      <c r="I913" s="14" t="str">
        <f t="shared" si="42"/>
        <v>A surveiller</v>
      </c>
      <c r="J913" s="14" t="str">
        <f t="shared" si="43"/>
        <v>Data</v>
      </c>
      <c r="K913" s="15"/>
      <c r="L913" s="16"/>
    </row>
    <row r="914" spans="1:12">
      <c r="A914" t="s">
        <v>580</v>
      </c>
      <c r="B914" t="s">
        <v>581</v>
      </c>
      <c r="C914" t="s">
        <v>35</v>
      </c>
      <c r="D914">
        <v>8.18</v>
      </c>
      <c r="E914">
        <v>6.97</v>
      </c>
      <c r="F914" s="11">
        <v>0.81640000000000001</v>
      </c>
      <c r="G914" t="str">
        <f t="shared" si="44"/>
        <v>Refusé</v>
      </c>
      <c r="H914" t="str" cm="1">
        <f t="array" ref="H914">_xlfn.IFS(E914&gt;=16, "Excellent",E914&gt;=14, "Très bien", E914&gt;=12, "Bien", E914&gt;=10, "Passable", E914&lt;10, "Insuffisant")</f>
        <v>Insuffisant</v>
      </c>
      <c r="I914" s="14" t="str">
        <f t="shared" si="42"/>
        <v>A surveiller</v>
      </c>
      <c r="J914" s="14" t="str">
        <f t="shared" si="43"/>
        <v>Autre filière</v>
      </c>
      <c r="K914" s="15"/>
      <c r="L914" s="16"/>
    </row>
    <row r="915" spans="1:12">
      <c r="A915" t="s">
        <v>545</v>
      </c>
      <c r="B915" t="s">
        <v>246</v>
      </c>
      <c r="C915" t="s">
        <v>22</v>
      </c>
      <c r="D915">
        <v>10.130000000000001</v>
      </c>
      <c r="E915">
        <v>7.28</v>
      </c>
      <c r="F915" s="11">
        <v>0.78939999999999999</v>
      </c>
      <c r="G915" t="str">
        <f t="shared" si="44"/>
        <v>Refusé</v>
      </c>
      <c r="H915" t="str" cm="1">
        <f t="array" ref="H915">_xlfn.IFS(E915&gt;=16, "Excellent",E915&gt;=14, "Très bien", E915&gt;=12, "Bien", E915&gt;=10, "Passable", E915&lt;10, "Insuffisant")</f>
        <v>Insuffisant</v>
      </c>
      <c r="I915" s="14" t="str">
        <f t="shared" si="42"/>
        <v>A surveiller</v>
      </c>
      <c r="J915" s="14" t="str">
        <f t="shared" si="43"/>
        <v>Data</v>
      </c>
      <c r="L915" s="16"/>
    </row>
    <row r="916" spans="1:12">
      <c r="A916" t="s">
        <v>797</v>
      </c>
      <c r="B916" t="s">
        <v>404</v>
      </c>
      <c r="C916" t="s">
        <v>35</v>
      </c>
      <c r="D916">
        <v>7.55</v>
      </c>
      <c r="E916">
        <v>9.49</v>
      </c>
      <c r="F916" s="11">
        <v>0.79430000000000001</v>
      </c>
      <c r="G916" t="str">
        <f t="shared" si="44"/>
        <v>Refusé</v>
      </c>
      <c r="H916" t="str" cm="1">
        <f t="array" ref="H916">_xlfn.IFS(E916&gt;=16, "Excellent",E916&gt;=14, "Très bien", E916&gt;=12, "Bien", E916&gt;=10, "Passable", E916&lt;10, "Insuffisant")</f>
        <v>Insuffisant</v>
      </c>
      <c r="I916" s="14" t="str">
        <f t="shared" si="42"/>
        <v>A surveiller</v>
      </c>
      <c r="J916" s="14" t="str">
        <f t="shared" si="43"/>
        <v>Autre filière</v>
      </c>
      <c r="K916" s="15"/>
      <c r="L916" s="16"/>
    </row>
    <row r="917" spans="1:12">
      <c r="A917" t="s">
        <v>1030</v>
      </c>
      <c r="B917" t="s">
        <v>436</v>
      </c>
      <c r="C917" t="s">
        <v>48</v>
      </c>
      <c r="D917">
        <v>6.71</v>
      </c>
      <c r="E917">
        <v>6.56</v>
      </c>
      <c r="F917" s="11">
        <v>0.99</v>
      </c>
      <c r="G917" t="str">
        <f t="shared" si="44"/>
        <v>Refusé</v>
      </c>
      <c r="H917" t="str" cm="1">
        <f t="array" ref="H917">_xlfn.IFS(E917&gt;=16, "Excellent",E917&gt;=14, "Très bien", E917&gt;=12, "Bien", E917&gt;=10, "Passable", E917&lt;10, "Insuffisant")</f>
        <v>Insuffisant</v>
      </c>
      <c r="I917" s="14" t="str">
        <f t="shared" si="42"/>
        <v>A surveiller</v>
      </c>
      <c r="J917" s="14" t="str">
        <f t="shared" si="43"/>
        <v>Autre filière</v>
      </c>
      <c r="L917" s="16"/>
    </row>
    <row r="918" spans="1:12">
      <c r="A918" t="s">
        <v>774</v>
      </c>
      <c r="B918" t="s">
        <v>340</v>
      </c>
      <c r="C918" t="s">
        <v>35</v>
      </c>
      <c r="D918">
        <v>11.22</v>
      </c>
      <c r="E918">
        <v>11.64</v>
      </c>
      <c r="F918" s="11">
        <v>0.55000000000000004</v>
      </c>
      <c r="G918" t="str">
        <f t="shared" si="44"/>
        <v>Admis sous condition</v>
      </c>
      <c r="H918" t="str" cm="1">
        <f t="array" ref="H918">_xlfn.IFS(E918&gt;=16, "Excellent",E918&gt;=14, "Très bien", E918&gt;=12, "Bien", E918&gt;=10, "Passable", E918&lt;10, "Insuffisant")</f>
        <v>Passable</v>
      </c>
      <c r="I918" s="14" t="str">
        <f t="shared" si="42"/>
        <v>A surveiller</v>
      </c>
      <c r="J918" s="14" t="str">
        <f t="shared" si="43"/>
        <v>Autre filière</v>
      </c>
      <c r="L918" s="16"/>
    </row>
    <row r="919" spans="1:12">
      <c r="A919" t="s">
        <v>1267</v>
      </c>
      <c r="B919" t="s">
        <v>699</v>
      </c>
      <c r="C919" t="s">
        <v>35</v>
      </c>
      <c r="D919">
        <v>8.07</v>
      </c>
      <c r="E919">
        <v>9.3000000000000007</v>
      </c>
      <c r="F919" s="11">
        <v>0.91720000000000002</v>
      </c>
      <c r="G919" t="str">
        <f t="shared" si="44"/>
        <v>Refusé</v>
      </c>
      <c r="H919" t="str" cm="1">
        <f t="array" ref="H919">_xlfn.IFS(E919&gt;=16, "Excellent",E919&gt;=14, "Très bien", E919&gt;=12, "Bien", E919&gt;=10, "Passable", E919&lt;10, "Insuffisant")</f>
        <v>Insuffisant</v>
      </c>
      <c r="I919" s="14" t="str">
        <f t="shared" si="42"/>
        <v>A surveiller</v>
      </c>
      <c r="J919" s="14" t="str">
        <f t="shared" si="43"/>
        <v>Autre filière</v>
      </c>
      <c r="L919" s="16"/>
    </row>
    <row r="920" spans="1:12">
      <c r="A920" t="s">
        <v>369</v>
      </c>
      <c r="B920" t="s">
        <v>370</v>
      </c>
      <c r="C920" t="s">
        <v>48</v>
      </c>
      <c r="D920">
        <v>12.89</v>
      </c>
      <c r="E920">
        <v>8.4600000000000009</v>
      </c>
      <c r="F920" s="11">
        <v>0.94599999999999995</v>
      </c>
      <c r="G920" t="str">
        <f t="shared" si="44"/>
        <v>Refusé</v>
      </c>
      <c r="H920" t="str" cm="1">
        <f t="array" ref="H920">_xlfn.IFS(E920&gt;=16, "Excellent",E920&gt;=14, "Très bien", E920&gt;=12, "Bien", E920&gt;=10, "Passable", E920&lt;10, "Insuffisant")</f>
        <v>Insuffisant</v>
      </c>
      <c r="I920" s="14" t="str">
        <f t="shared" si="42"/>
        <v>A surveiller</v>
      </c>
      <c r="J920" s="14" t="str">
        <f t="shared" si="43"/>
        <v>Autre filière</v>
      </c>
      <c r="L920" s="16"/>
    </row>
    <row r="921" spans="1:12">
      <c r="A921" t="s">
        <v>72</v>
      </c>
      <c r="B921" t="s">
        <v>73</v>
      </c>
      <c r="C921" t="s">
        <v>22</v>
      </c>
      <c r="D921">
        <v>11.98</v>
      </c>
      <c r="E921">
        <v>9.59</v>
      </c>
      <c r="F921" s="11">
        <v>0.83630000000000004</v>
      </c>
      <c r="G921" t="str">
        <f t="shared" si="44"/>
        <v>Refusé</v>
      </c>
      <c r="H921" t="str" cm="1">
        <f t="array" ref="H921">_xlfn.IFS(E921&gt;=16, "Excellent",E921&gt;=14, "Très bien", E921&gt;=12, "Bien", E921&gt;=10, "Passable", E921&lt;10, "Insuffisant")</f>
        <v>Insuffisant</v>
      </c>
      <c r="I921" s="14" t="str">
        <f t="shared" si="42"/>
        <v>A surveiller</v>
      </c>
      <c r="J921" s="14" t="str">
        <f t="shared" si="43"/>
        <v>Data</v>
      </c>
      <c r="K921" s="15"/>
      <c r="L921" s="16"/>
    </row>
    <row r="922" spans="1:12">
      <c r="A922" t="s">
        <v>785</v>
      </c>
      <c r="B922" t="s">
        <v>251</v>
      </c>
      <c r="C922" t="s">
        <v>22</v>
      </c>
      <c r="D922">
        <v>9.1999999999999993</v>
      </c>
      <c r="E922">
        <v>9.08</v>
      </c>
      <c r="F922" s="11">
        <v>0.80289999999999995</v>
      </c>
      <c r="G922" t="str">
        <f t="shared" si="44"/>
        <v>Refusé</v>
      </c>
      <c r="H922" t="str" cm="1">
        <f t="array" ref="H922">_xlfn.IFS(E922&gt;=16, "Excellent",E922&gt;=14, "Très bien", E922&gt;=12, "Bien", E922&gt;=10, "Passable", E922&lt;10, "Insuffisant")</f>
        <v>Insuffisant</v>
      </c>
      <c r="I922" s="14" t="str">
        <f t="shared" si="42"/>
        <v>A surveiller</v>
      </c>
      <c r="J922" s="14" t="str">
        <f t="shared" si="43"/>
        <v>Data</v>
      </c>
      <c r="K922" s="15"/>
      <c r="L922" s="16"/>
    </row>
    <row r="923" spans="1:12">
      <c r="A923" t="s">
        <v>905</v>
      </c>
      <c r="B923" t="s">
        <v>301</v>
      </c>
      <c r="C923" t="s">
        <v>27</v>
      </c>
      <c r="D923">
        <v>11.63</v>
      </c>
      <c r="E923">
        <v>16.5</v>
      </c>
      <c r="F923" s="11">
        <v>0.89649999999999996</v>
      </c>
      <c r="G923" t="str">
        <f t="shared" si="44"/>
        <v>Admis sous condition</v>
      </c>
      <c r="H923" t="str" cm="1">
        <f t="array" ref="H923">_xlfn.IFS(E923&gt;=16, "Excellent",E923&gt;=14, "Très bien", E923&gt;=12, "Bien", E923&gt;=10, "Passable", E923&lt;10, "Insuffisant")</f>
        <v>Excellent</v>
      </c>
      <c r="I923" s="14" t="str">
        <f t="shared" si="42"/>
        <v>RAS</v>
      </c>
      <c r="J923" s="14" t="str">
        <f t="shared" si="43"/>
        <v>Autre filière</v>
      </c>
      <c r="K923" s="15"/>
      <c r="L923" s="16"/>
    </row>
    <row r="924" spans="1:12">
      <c r="A924" t="s">
        <v>1325</v>
      </c>
      <c r="B924" t="s">
        <v>241</v>
      </c>
      <c r="C924" t="s">
        <v>22</v>
      </c>
      <c r="D924">
        <v>9.5</v>
      </c>
      <c r="E924">
        <v>10.95</v>
      </c>
      <c r="F924" s="11">
        <v>0.66690000000000005</v>
      </c>
      <c r="G924" t="str">
        <f t="shared" si="44"/>
        <v>Refusé</v>
      </c>
      <c r="H924" t="str" cm="1">
        <f t="array" ref="H924">_xlfn.IFS(E924&gt;=16, "Excellent",E924&gt;=14, "Très bien", E924&gt;=12, "Bien", E924&gt;=10, "Passable", E924&lt;10, "Insuffisant")</f>
        <v>Passable</v>
      </c>
      <c r="I924" s="14" t="str">
        <f t="shared" si="42"/>
        <v>A surveiller</v>
      </c>
      <c r="J924" s="14" t="str">
        <f t="shared" si="43"/>
        <v>Data</v>
      </c>
      <c r="L924" s="16"/>
    </row>
    <row r="925" spans="1:12">
      <c r="A925" t="s">
        <v>1154</v>
      </c>
      <c r="B925" t="s">
        <v>213</v>
      </c>
      <c r="C925" t="s">
        <v>22</v>
      </c>
      <c r="D925">
        <v>13.06</v>
      </c>
      <c r="E925">
        <v>14.83</v>
      </c>
      <c r="F925" s="11">
        <v>0.88039999999999996</v>
      </c>
      <c r="G925" t="str">
        <f t="shared" si="44"/>
        <v>Admis</v>
      </c>
      <c r="H925" t="str" cm="1">
        <f t="array" ref="H925">_xlfn.IFS(E925&gt;=16, "Excellent",E925&gt;=14, "Très bien", E925&gt;=12, "Bien", E925&gt;=10, "Passable", E925&lt;10, "Insuffisant")</f>
        <v>Très bien</v>
      </c>
      <c r="I925" s="14" t="str">
        <f t="shared" si="42"/>
        <v>RAS</v>
      </c>
      <c r="J925" s="14" t="str">
        <f t="shared" si="43"/>
        <v>Data</v>
      </c>
      <c r="K925" s="15"/>
      <c r="L925" s="16"/>
    </row>
    <row r="926" spans="1:12">
      <c r="A926" t="s">
        <v>1051</v>
      </c>
      <c r="B926" t="s">
        <v>323</v>
      </c>
      <c r="C926" t="s">
        <v>22</v>
      </c>
      <c r="D926">
        <v>11.68</v>
      </c>
      <c r="E926">
        <v>8.74</v>
      </c>
      <c r="F926" s="11">
        <v>0.71120000000000005</v>
      </c>
      <c r="G926" t="str">
        <f t="shared" si="44"/>
        <v>Refusé</v>
      </c>
      <c r="H926" t="str" cm="1">
        <f t="array" ref="H926">_xlfn.IFS(E926&gt;=16, "Excellent",E926&gt;=14, "Très bien", E926&gt;=12, "Bien", E926&gt;=10, "Passable", E926&lt;10, "Insuffisant")</f>
        <v>Insuffisant</v>
      </c>
      <c r="I926" s="14" t="str">
        <f t="shared" si="42"/>
        <v>A surveiller</v>
      </c>
      <c r="J926" s="14" t="str">
        <f t="shared" si="43"/>
        <v>Data</v>
      </c>
      <c r="L926" s="16"/>
    </row>
    <row r="927" spans="1:12">
      <c r="A927" t="s">
        <v>1208</v>
      </c>
      <c r="B927" t="s">
        <v>55</v>
      </c>
      <c r="C927" t="s">
        <v>22</v>
      </c>
      <c r="D927">
        <v>10.08</v>
      </c>
      <c r="E927">
        <v>8.74</v>
      </c>
      <c r="F927" s="11">
        <v>0.97289999999999999</v>
      </c>
      <c r="G927" t="str">
        <f t="shared" si="44"/>
        <v>Refusé</v>
      </c>
      <c r="H927" t="str" cm="1">
        <f t="array" ref="H927">_xlfn.IFS(E927&gt;=16, "Excellent",E927&gt;=14, "Très bien", E927&gt;=12, "Bien", E927&gt;=10, "Passable", E927&lt;10, "Insuffisant")</f>
        <v>Insuffisant</v>
      </c>
      <c r="I927" s="14" t="str">
        <f t="shared" si="42"/>
        <v>A surveiller</v>
      </c>
      <c r="J927" s="14" t="str">
        <f t="shared" si="43"/>
        <v>Data</v>
      </c>
      <c r="L927" s="16"/>
    </row>
    <row r="928" spans="1:12">
      <c r="A928" t="s">
        <v>381</v>
      </c>
      <c r="B928" t="s">
        <v>382</v>
      </c>
      <c r="C928" t="s">
        <v>27</v>
      </c>
      <c r="D928">
        <v>9.8000000000000007</v>
      </c>
      <c r="E928">
        <v>7.73</v>
      </c>
      <c r="F928" s="11">
        <v>0.57250000000000001</v>
      </c>
      <c r="G928" t="str">
        <f t="shared" si="44"/>
        <v>Refusé</v>
      </c>
      <c r="H928" t="str" cm="1">
        <f t="array" ref="H928">_xlfn.IFS(E928&gt;=16, "Excellent",E928&gt;=14, "Très bien", E928&gt;=12, "Bien", E928&gt;=10, "Passable", E928&lt;10, "Insuffisant")</f>
        <v>Insuffisant</v>
      </c>
      <c r="I928" s="14" t="str">
        <f t="shared" si="42"/>
        <v>A surveiller</v>
      </c>
      <c r="J928" s="14" t="str">
        <f t="shared" si="43"/>
        <v>Autre filière</v>
      </c>
      <c r="L928" s="16"/>
    </row>
    <row r="929" spans="1:12">
      <c r="A929" t="s">
        <v>739</v>
      </c>
      <c r="B929" t="s">
        <v>471</v>
      </c>
      <c r="C929" t="s">
        <v>35</v>
      </c>
      <c r="D929">
        <v>9.91</v>
      </c>
      <c r="E929">
        <v>11.86</v>
      </c>
      <c r="F929" s="11">
        <v>0.55000000000000004</v>
      </c>
      <c r="G929" t="str">
        <f t="shared" si="44"/>
        <v>Refusé</v>
      </c>
      <c r="H929" t="str" cm="1">
        <f t="array" ref="H929">_xlfn.IFS(E929&gt;=16, "Excellent",E929&gt;=14, "Très bien", E929&gt;=12, "Bien", E929&gt;=10, "Passable", E929&lt;10, "Insuffisant")</f>
        <v>Passable</v>
      </c>
      <c r="I929" s="14" t="str">
        <f t="shared" si="42"/>
        <v>A surveiller</v>
      </c>
      <c r="J929" s="14" t="str">
        <f t="shared" si="43"/>
        <v>Autre filière</v>
      </c>
      <c r="L929" s="16"/>
    </row>
    <row r="930" spans="1:12">
      <c r="A930" t="s">
        <v>255</v>
      </c>
      <c r="B930" t="s">
        <v>256</v>
      </c>
      <c r="C930" t="s">
        <v>27</v>
      </c>
      <c r="D930">
        <v>12.66</v>
      </c>
      <c r="E930">
        <v>9.9700000000000006</v>
      </c>
      <c r="F930" s="11">
        <v>0.8034</v>
      </c>
      <c r="G930" t="str">
        <f t="shared" si="44"/>
        <v>Refusé</v>
      </c>
      <c r="H930" t="str" cm="1">
        <f t="array" ref="H930">_xlfn.IFS(E930&gt;=16, "Excellent",E930&gt;=14, "Très bien", E930&gt;=12, "Bien", E930&gt;=10, "Passable", E930&lt;10, "Insuffisant")</f>
        <v>Insuffisant</v>
      </c>
      <c r="I930" s="14" t="str">
        <f t="shared" si="42"/>
        <v>A surveiller</v>
      </c>
      <c r="J930" s="14" t="str">
        <f t="shared" si="43"/>
        <v>Autre filière</v>
      </c>
      <c r="K930" s="15"/>
      <c r="L930" s="16"/>
    </row>
    <row r="931" spans="1:12">
      <c r="A931" t="s">
        <v>566</v>
      </c>
      <c r="B931" t="s">
        <v>552</v>
      </c>
      <c r="C931" t="s">
        <v>35</v>
      </c>
      <c r="D931">
        <v>12.31</v>
      </c>
      <c r="E931">
        <v>9.82</v>
      </c>
      <c r="F931" s="11">
        <v>0.85360000000000003</v>
      </c>
      <c r="G931" t="str">
        <f t="shared" si="44"/>
        <v>Refusé</v>
      </c>
      <c r="H931" t="str" cm="1">
        <f t="array" ref="H931">_xlfn.IFS(E931&gt;=16, "Excellent",E931&gt;=14, "Très bien", E931&gt;=12, "Bien", E931&gt;=10, "Passable", E931&lt;10, "Insuffisant")</f>
        <v>Insuffisant</v>
      </c>
      <c r="I931" s="14" t="str">
        <f t="shared" si="42"/>
        <v>A surveiller</v>
      </c>
      <c r="J931" s="14" t="str">
        <f t="shared" si="43"/>
        <v>Autre filière</v>
      </c>
      <c r="K931" s="15"/>
      <c r="L931" s="16"/>
    </row>
    <row r="932" spans="1:12">
      <c r="A932" t="s">
        <v>1314</v>
      </c>
      <c r="B932" t="s">
        <v>253</v>
      </c>
      <c r="C932" t="s">
        <v>35</v>
      </c>
      <c r="D932">
        <v>9.1300000000000008</v>
      </c>
      <c r="E932">
        <v>6.38</v>
      </c>
      <c r="F932" s="11">
        <v>0.69350000000000001</v>
      </c>
      <c r="G932" t="str">
        <f t="shared" si="44"/>
        <v>Refusé</v>
      </c>
      <c r="H932" t="str" cm="1">
        <f t="array" ref="H932">_xlfn.IFS(E932&gt;=16, "Excellent",E932&gt;=14, "Très bien", E932&gt;=12, "Bien", E932&gt;=10, "Passable", E932&lt;10, "Insuffisant")</f>
        <v>Insuffisant</v>
      </c>
      <c r="I932" s="14" t="str">
        <f t="shared" si="42"/>
        <v>A surveiller</v>
      </c>
      <c r="J932" s="14" t="str">
        <f t="shared" si="43"/>
        <v>Autre filière</v>
      </c>
      <c r="L932" s="16"/>
    </row>
    <row r="933" spans="1:12">
      <c r="A933" t="s">
        <v>1093</v>
      </c>
      <c r="B933" t="s">
        <v>1094</v>
      </c>
      <c r="C933" t="s">
        <v>35</v>
      </c>
      <c r="D933">
        <v>8.36</v>
      </c>
      <c r="E933">
        <v>13.87</v>
      </c>
      <c r="F933" s="11">
        <v>0.84809999999999997</v>
      </c>
      <c r="G933" t="str">
        <f t="shared" si="44"/>
        <v>Refusé</v>
      </c>
      <c r="H933" t="str" cm="1">
        <f t="array" ref="H933">_xlfn.IFS(E933&gt;=16, "Excellent",E933&gt;=14, "Très bien", E933&gt;=12, "Bien", E933&gt;=10, "Passable", E933&lt;10, "Insuffisant")</f>
        <v>Bien</v>
      </c>
      <c r="I933" s="14" t="str">
        <f t="shared" si="42"/>
        <v>A surveiller</v>
      </c>
      <c r="J933" s="14" t="str">
        <f t="shared" si="43"/>
        <v>Autre filière</v>
      </c>
      <c r="K933" s="15"/>
      <c r="L933" s="16"/>
    </row>
    <row r="934" spans="1:12">
      <c r="A934" t="s">
        <v>695</v>
      </c>
      <c r="B934" t="s">
        <v>264</v>
      </c>
      <c r="C934" t="s">
        <v>27</v>
      </c>
      <c r="D934">
        <v>12.77</v>
      </c>
      <c r="E934">
        <v>14.8</v>
      </c>
      <c r="F934" s="11">
        <v>0.90069999999999995</v>
      </c>
      <c r="G934" t="str">
        <f t="shared" si="44"/>
        <v>Admis</v>
      </c>
      <c r="H934" t="str" cm="1">
        <f t="array" ref="H934">_xlfn.IFS(E934&gt;=16, "Excellent",E934&gt;=14, "Très bien", E934&gt;=12, "Bien", E934&gt;=10, "Passable", E934&lt;10, "Insuffisant")</f>
        <v>Très bien</v>
      </c>
      <c r="I934" s="14" t="str">
        <f t="shared" si="42"/>
        <v>RAS</v>
      </c>
      <c r="J934" s="14" t="str">
        <f t="shared" si="43"/>
        <v>Autre filière</v>
      </c>
      <c r="L934" s="16"/>
    </row>
    <row r="935" spans="1:12">
      <c r="A935" t="s">
        <v>891</v>
      </c>
      <c r="B935" t="s">
        <v>451</v>
      </c>
      <c r="C935" t="s">
        <v>22</v>
      </c>
      <c r="D935">
        <v>7.43</v>
      </c>
      <c r="E935">
        <v>10.08</v>
      </c>
      <c r="F935" s="11">
        <v>0.86570000000000003</v>
      </c>
      <c r="G935" t="str">
        <f t="shared" si="44"/>
        <v>Refusé</v>
      </c>
      <c r="H935" t="str" cm="1">
        <f t="array" ref="H935">_xlfn.IFS(E935&gt;=16, "Excellent",E935&gt;=14, "Très bien", E935&gt;=12, "Bien", E935&gt;=10, "Passable", E935&lt;10, "Insuffisant")</f>
        <v>Passable</v>
      </c>
      <c r="I935" s="14" t="str">
        <f t="shared" si="42"/>
        <v>A surveiller</v>
      </c>
      <c r="J935" s="14" t="str">
        <f t="shared" si="43"/>
        <v>Data</v>
      </c>
      <c r="K935" s="15"/>
      <c r="L935" s="16"/>
    </row>
    <row r="936" spans="1:12">
      <c r="A936" t="s">
        <v>571</v>
      </c>
      <c r="B936" t="s">
        <v>320</v>
      </c>
      <c r="C936" t="s">
        <v>27</v>
      </c>
      <c r="D936">
        <v>5.92</v>
      </c>
      <c r="E936">
        <v>8.35</v>
      </c>
      <c r="F936" s="11">
        <v>0.93059999999999998</v>
      </c>
      <c r="G936" t="str">
        <f t="shared" si="44"/>
        <v>Refusé</v>
      </c>
      <c r="H936" t="str" cm="1">
        <f t="array" ref="H936">_xlfn.IFS(E936&gt;=16, "Excellent",E936&gt;=14, "Très bien", E936&gt;=12, "Bien", E936&gt;=10, "Passable", E936&lt;10, "Insuffisant")</f>
        <v>Insuffisant</v>
      </c>
      <c r="I936" s="14" t="str">
        <f t="shared" si="42"/>
        <v>A surveiller</v>
      </c>
      <c r="J936" s="14" t="str">
        <f t="shared" si="43"/>
        <v>Autre filière</v>
      </c>
      <c r="L936" s="16"/>
    </row>
    <row r="937" spans="1:12">
      <c r="A937" t="s">
        <v>1209</v>
      </c>
      <c r="B937" t="s">
        <v>442</v>
      </c>
      <c r="C937" t="s">
        <v>35</v>
      </c>
      <c r="D937">
        <v>11.69</v>
      </c>
      <c r="E937">
        <v>10.88</v>
      </c>
      <c r="F937" s="11">
        <v>0.82310000000000005</v>
      </c>
      <c r="G937" t="str">
        <f t="shared" si="44"/>
        <v>Admis sous condition</v>
      </c>
      <c r="H937" t="str" cm="1">
        <f t="array" ref="H937">_xlfn.IFS(E937&gt;=16, "Excellent",E937&gt;=14, "Très bien", E937&gt;=12, "Bien", E937&gt;=10, "Passable", E937&lt;10, "Insuffisant")</f>
        <v>Passable</v>
      </c>
      <c r="I937" s="14" t="str">
        <f t="shared" si="42"/>
        <v>RAS</v>
      </c>
      <c r="J937" s="14" t="str">
        <f t="shared" si="43"/>
        <v>Autre filière</v>
      </c>
      <c r="K937" s="15"/>
      <c r="L937" s="16"/>
    </row>
    <row r="938" spans="1:12">
      <c r="A938" t="s">
        <v>1300</v>
      </c>
      <c r="B938" t="s">
        <v>213</v>
      </c>
      <c r="C938" t="s">
        <v>22</v>
      </c>
      <c r="D938">
        <v>10.32</v>
      </c>
      <c r="E938">
        <v>11.64</v>
      </c>
      <c r="F938" s="11">
        <v>0.98</v>
      </c>
      <c r="G938" t="str">
        <f t="shared" si="44"/>
        <v>Admis sous condition</v>
      </c>
      <c r="H938" t="str" cm="1">
        <f t="array" ref="H938">_xlfn.IFS(E938&gt;=16, "Excellent",E938&gt;=14, "Très bien", E938&gt;=12, "Bien", E938&gt;=10, "Passable", E938&lt;10, "Insuffisant")</f>
        <v>Passable</v>
      </c>
      <c r="I938" s="14" t="str">
        <f t="shared" si="42"/>
        <v>RAS</v>
      </c>
      <c r="J938" s="14" t="str">
        <f t="shared" si="43"/>
        <v>Data</v>
      </c>
      <c r="L938" s="16"/>
    </row>
    <row r="939" spans="1:12">
      <c r="A939" t="s">
        <v>122</v>
      </c>
      <c r="B939" t="s">
        <v>123</v>
      </c>
      <c r="C939" t="s">
        <v>27</v>
      </c>
      <c r="D939">
        <v>8.2799999999999994</v>
      </c>
      <c r="E939">
        <v>10.59</v>
      </c>
      <c r="F939" s="11">
        <v>0.93630000000000002</v>
      </c>
      <c r="G939" t="str">
        <f t="shared" si="44"/>
        <v>Refusé</v>
      </c>
      <c r="H939" t="str" cm="1">
        <f t="array" ref="H939">_xlfn.IFS(E939&gt;=16, "Excellent",E939&gt;=14, "Très bien", E939&gt;=12, "Bien", E939&gt;=10, "Passable", E939&lt;10, "Insuffisant")</f>
        <v>Passable</v>
      </c>
      <c r="I939" s="14" t="str">
        <f t="shared" si="42"/>
        <v>A surveiller</v>
      </c>
      <c r="J939" s="14" t="str">
        <f t="shared" si="43"/>
        <v>Autre filière</v>
      </c>
      <c r="L939" s="16"/>
    </row>
    <row r="940" spans="1:12">
      <c r="A940" t="s">
        <v>801</v>
      </c>
      <c r="B940" t="s">
        <v>541</v>
      </c>
      <c r="C940" t="s">
        <v>22</v>
      </c>
      <c r="D940">
        <v>9.3000000000000007</v>
      </c>
      <c r="E940">
        <v>7.63</v>
      </c>
      <c r="F940" s="11">
        <v>0.84670000000000001</v>
      </c>
      <c r="G940" t="str">
        <f t="shared" si="44"/>
        <v>Refusé</v>
      </c>
      <c r="H940" t="str" cm="1">
        <f t="array" ref="H940">_xlfn.IFS(E940&gt;=16, "Excellent",E940&gt;=14, "Très bien", E940&gt;=12, "Bien", E940&gt;=10, "Passable", E940&lt;10, "Insuffisant")</f>
        <v>Insuffisant</v>
      </c>
      <c r="I940" s="14" t="str">
        <f t="shared" si="42"/>
        <v>A surveiller</v>
      </c>
      <c r="J940" s="14" t="str">
        <f t="shared" si="43"/>
        <v>Data</v>
      </c>
      <c r="K940" s="15"/>
      <c r="L940" s="16"/>
    </row>
    <row r="941" spans="1:12">
      <c r="A941" t="s">
        <v>1162</v>
      </c>
      <c r="B941" t="s">
        <v>357</v>
      </c>
      <c r="C941" t="s">
        <v>22</v>
      </c>
      <c r="D941">
        <v>13.37</v>
      </c>
      <c r="E941">
        <v>10.7</v>
      </c>
      <c r="F941" s="11">
        <v>0.88780000000000003</v>
      </c>
      <c r="G941" t="str">
        <f t="shared" si="44"/>
        <v>Admis sous condition</v>
      </c>
      <c r="H941" t="str" cm="1">
        <f t="array" ref="H941">_xlfn.IFS(E941&gt;=16, "Excellent",E941&gt;=14, "Très bien", E941&gt;=12, "Bien", E941&gt;=10, "Passable", E941&lt;10, "Insuffisant")</f>
        <v>Passable</v>
      </c>
      <c r="I941" s="14" t="str">
        <f t="shared" si="42"/>
        <v>RAS</v>
      </c>
      <c r="J941" s="14" t="str">
        <f t="shared" si="43"/>
        <v>Data</v>
      </c>
      <c r="K941" s="15"/>
      <c r="L941" s="16"/>
    </row>
    <row r="942" spans="1:12">
      <c r="A942" t="s">
        <v>813</v>
      </c>
      <c r="B942" t="s">
        <v>291</v>
      </c>
      <c r="C942" t="s">
        <v>35</v>
      </c>
      <c r="D942">
        <v>10.39</v>
      </c>
      <c r="E942">
        <v>11.19</v>
      </c>
      <c r="F942" s="11">
        <v>0.92800000000000005</v>
      </c>
      <c r="G942" t="str">
        <f t="shared" si="44"/>
        <v>Admis sous condition</v>
      </c>
      <c r="H942" t="str" cm="1">
        <f t="array" ref="H942">_xlfn.IFS(E942&gt;=16, "Excellent",E942&gt;=14, "Très bien", E942&gt;=12, "Bien", E942&gt;=10, "Passable", E942&lt;10, "Insuffisant")</f>
        <v>Passable</v>
      </c>
      <c r="I942" s="14" t="str">
        <f t="shared" si="42"/>
        <v>RAS</v>
      </c>
      <c r="J942" s="14" t="str">
        <f t="shared" si="43"/>
        <v>Autre filière</v>
      </c>
      <c r="L942" s="16"/>
    </row>
    <row r="943" spans="1:12">
      <c r="A943" t="s">
        <v>689</v>
      </c>
      <c r="B943" t="s">
        <v>690</v>
      </c>
      <c r="C943" t="s">
        <v>48</v>
      </c>
      <c r="D943">
        <v>5.97</v>
      </c>
      <c r="E943">
        <v>10.119999999999999</v>
      </c>
      <c r="F943" s="11">
        <v>0.6915</v>
      </c>
      <c r="G943" t="str">
        <f t="shared" si="44"/>
        <v>Refusé</v>
      </c>
      <c r="H943" t="str" cm="1">
        <f t="array" ref="H943">_xlfn.IFS(E943&gt;=16, "Excellent",E943&gt;=14, "Très bien", E943&gt;=12, "Bien", E943&gt;=10, "Passable", E943&lt;10, "Insuffisant")</f>
        <v>Passable</v>
      </c>
      <c r="I943" s="14" t="str">
        <f t="shared" si="42"/>
        <v>A surveiller</v>
      </c>
      <c r="J943" s="14" t="str">
        <f t="shared" si="43"/>
        <v>Autre filière</v>
      </c>
      <c r="L943" s="16"/>
    </row>
    <row r="944" spans="1:12">
      <c r="A944" t="s">
        <v>335</v>
      </c>
      <c r="B944" t="s">
        <v>104</v>
      </c>
      <c r="C944" t="s">
        <v>22</v>
      </c>
      <c r="D944">
        <v>8.2200000000000006</v>
      </c>
      <c r="E944">
        <v>8.23</v>
      </c>
      <c r="F944" s="11">
        <v>0.71509999999999996</v>
      </c>
      <c r="G944" t="str">
        <f t="shared" si="44"/>
        <v>Refusé</v>
      </c>
      <c r="H944" t="str" cm="1">
        <f t="array" ref="H944">_xlfn.IFS(E944&gt;=16, "Excellent",E944&gt;=14, "Très bien", E944&gt;=12, "Bien", E944&gt;=10, "Passable", E944&lt;10, "Insuffisant")</f>
        <v>Insuffisant</v>
      </c>
      <c r="I944" s="14" t="str">
        <f t="shared" si="42"/>
        <v>A surveiller</v>
      </c>
      <c r="J944" s="14" t="str">
        <f t="shared" si="43"/>
        <v>Data</v>
      </c>
      <c r="L944" s="16"/>
    </row>
    <row r="945" spans="1:12">
      <c r="A945" t="s">
        <v>1150</v>
      </c>
      <c r="B945" t="s">
        <v>1098</v>
      </c>
      <c r="C945" t="s">
        <v>22</v>
      </c>
      <c r="D945">
        <v>8.4499999999999993</v>
      </c>
      <c r="E945">
        <v>6.23</v>
      </c>
      <c r="F945" s="11">
        <v>0.84289999999999998</v>
      </c>
      <c r="G945" t="str">
        <f t="shared" si="44"/>
        <v>Refusé</v>
      </c>
      <c r="H945" t="str" cm="1">
        <f t="array" ref="H945">_xlfn.IFS(E945&gt;=16, "Excellent",E945&gt;=14, "Très bien", E945&gt;=12, "Bien", E945&gt;=10, "Passable", E945&lt;10, "Insuffisant")</f>
        <v>Insuffisant</v>
      </c>
      <c r="I945" s="14" t="str">
        <f t="shared" si="42"/>
        <v>A surveiller</v>
      </c>
      <c r="J945" s="14" t="str">
        <f t="shared" si="43"/>
        <v>Data</v>
      </c>
      <c r="K945" s="15"/>
      <c r="L945" s="16"/>
    </row>
    <row r="946" spans="1:12">
      <c r="A946" t="s">
        <v>1132</v>
      </c>
      <c r="B946" t="s">
        <v>803</v>
      </c>
      <c r="C946" t="s">
        <v>35</v>
      </c>
      <c r="D946">
        <v>11.45</v>
      </c>
      <c r="E946">
        <v>9.36</v>
      </c>
      <c r="F946" s="11">
        <v>0.94850000000000001</v>
      </c>
      <c r="G946" t="str">
        <f t="shared" si="44"/>
        <v>Refusé</v>
      </c>
      <c r="H946" t="str" cm="1">
        <f t="array" ref="H946">_xlfn.IFS(E946&gt;=16, "Excellent",E946&gt;=14, "Très bien", E946&gt;=12, "Bien", E946&gt;=10, "Passable", E946&lt;10, "Insuffisant")</f>
        <v>Insuffisant</v>
      </c>
      <c r="I946" s="14" t="str">
        <f t="shared" si="42"/>
        <v>A surveiller</v>
      </c>
      <c r="J946" s="14" t="str">
        <f t="shared" si="43"/>
        <v>Autre filière</v>
      </c>
      <c r="L946" s="16"/>
    </row>
    <row r="947" spans="1:12">
      <c r="A947" t="s">
        <v>784</v>
      </c>
      <c r="B947" t="s">
        <v>106</v>
      </c>
      <c r="C947" t="s">
        <v>22</v>
      </c>
      <c r="D947">
        <v>11.11</v>
      </c>
      <c r="E947">
        <v>8.16</v>
      </c>
      <c r="F947" s="11">
        <v>0.81899999999999995</v>
      </c>
      <c r="G947" t="str">
        <f t="shared" si="44"/>
        <v>Refusé</v>
      </c>
      <c r="H947" t="str" cm="1">
        <f t="array" ref="H947">_xlfn.IFS(E947&gt;=16, "Excellent",E947&gt;=14, "Très bien", E947&gt;=12, "Bien", E947&gt;=10, "Passable", E947&lt;10, "Insuffisant")</f>
        <v>Insuffisant</v>
      </c>
      <c r="I947" s="14" t="str">
        <f t="shared" si="42"/>
        <v>A surveiller</v>
      </c>
      <c r="J947" s="14" t="str">
        <f t="shared" si="43"/>
        <v>Data</v>
      </c>
      <c r="K947" s="15"/>
      <c r="L947" s="16"/>
    </row>
    <row r="948" spans="1:12">
      <c r="A948" t="s">
        <v>698</v>
      </c>
      <c r="B948" t="s">
        <v>699</v>
      </c>
      <c r="C948" t="s">
        <v>27</v>
      </c>
      <c r="D948">
        <v>3.3</v>
      </c>
      <c r="E948">
        <v>7.94</v>
      </c>
      <c r="F948" s="11">
        <v>0.89590000000000003</v>
      </c>
      <c r="G948" t="str">
        <f t="shared" si="44"/>
        <v>Refusé</v>
      </c>
      <c r="H948" t="str" cm="1">
        <f t="array" ref="H948">_xlfn.IFS(E948&gt;=16, "Excellent",E948&gt;=14, "Très bien", E948&gt;=12, "Bien", E948&gt;=10, "Passable", E948&lt;10, "Insuffisant")</f>
        <v>Insuffisant</v>
      </c>
      <c r="I948" s="14" t="str">
        <f t="shared" si="42"/>
        <v>A surveiller</v>
      </c>
      <c r="J948" s="14" t="str">
        <f t="shared" si="43"/>
        <v>Autre filière</v>
      </c>
      <c r="K948" s="15"/>
      <c r="L948" s="16"/>
    </row>
    <row r="949" spans="1:12">
      <c r="A949" t="s">
        <v>836</v>
      </c>
      <c r="B949" t="s">
        <v>382</v>
      </c>
      <c r="C949" t="s">
        <v>27</v>
      </c>
      <c r="D949">
        <v>8.07</v>
      </c>
      <c r="E949">
        <v>9.7899999999999991</v>
      </c>
      <c r="F949" s="11">
        <v>0.92479999999999996</v>
      </c>
      <c r="G949" t="str">
        <f t="shared" si="44"/>
        <v>Refusé</v>
      </c>
      <c r="H949" t="str" cm="1">
        <f t="array" ref="H949">_xlfn.IFS(E949&gt;=16, "Excellent",E949&gt;=14, "Très bien", E949&gt;=12, "Bien", E949&gt;=10, "Passable", E949&lt;10, "Insuffisant")</f>
        <v>Insuffisant</v>
      </c>
      <c r="I949" s="14" t="str">
        <f t="shared" si="42"/>
        <v>A surveiller</v>
      </c>
      <c r="J949" s="14" t="str">
        <f t="shared" si="43"/>
        <v>Autre filière</v>
      </c>
      <c r="L949" s="16"/>
    </row>
    <row r="950" spans="1:12">
      <c r="A950" t="s">
        <v>1224</v>
      </c>
      <c r="B950" t="s">
        <v>260</v>
      </c>
      <c r="C950" t="s">
        <v>48</v>
      </c>
      <c r="D950">
        <v>9.5500000000000007</v>
      </c>
      <c r="E950">
        <v>9.9</v>
      </c>
      <c r="F950" s="11">
        <v>0.85919999999999996</v>
      </c>
      <c r="G950" t="str">
        <f t="shared" si="44"/>
        <v>Refusé</v>
      </c>
      <c r="H950" t="str" cm="1">
        <f t="array" ref="H950">_xlfn.IFS(E950&gt;=16, "Excellent",E950&gt;=14, "Très bien", E950&gt;=12, "Bien", E950&gt;=10, "Passable", E950&lt;10, "Insuffisant")</f>
        <v>Insuffisant</v>
      </c>
      <c r="I950" s="14" t="str">
        <f t="shared" si="42"/>
        <v>A surveiller</v>
      </c>
      <c r="J950" s="14" t="str">
        <f t="shared" si="43"/>
        <v>Autre filière</v>
      </c>
      <c r="K950" s="15"/>
      <c r="L950" s="16"/>
    </row>
    <row r="951" spans="1:12">
      <c r="A951" t="s">
        <v>1028</v>
      </c>
      <c r="B951" t="s">
        <v>113</v>
      </c>
      <c r="C951" t="s">
        <v>35</v>
      </c>
      <c r="D951">
        <v>8.02</v>
      </c>
      <c r="E951">
        <v>10.88</v>
      </c>
      <c r="F951" s="11">
        <v>0.96599999999999997</v>
      </c>
      <c r="G951" t="str">
        <f t="shared" si="44"/>
        <v>Refusé</v>
      </c>
      <c r="H951" t="str" cm="1">
        <f t="array" ref="H951">_xlfn.IFS(E951&gt;=16, "Excellent",E951&gt;=14, "Très bien", E951&gt;=12, "Bien", E951&gt;=10, "Passable", E951&lt;10, "Insuffisant")</f>
        <v>Passable</v>
      </c>
      <c r="I951" s="14" t="str">
        <f t="shared" si="42"/>
        <v>A surveiller</v>
      </c>
      <c r="J951" s="14" t="str">
        <f t="shared" si="43"/>
        <v>Autre filière</v>
      </c>
      <c r="L951" s="16"/>
    </row>
    <row r="952" spans="1:12">
      <c r="A952" t="s">
        <v>1138</v>
      </c>
      <c r="B952" t="s">
        <v>37</v>
      </c>
      <c r="C952" t="s">
        <v>48</v>
      </c>
      <c r="D952">
        <v>9.01</v>
      </c>
      <c r="E952">
        <v>6.13</v>
      </c>
      <c r="F952" s="11">
        <v>0.74590000000000001</v>
      </c>
      <c r="G952" t="str">
        <f t="shared" si="44"/>
        <v>Refusé</v>
      </c>
      <c r="H952" t="str" cm="1">
        <f t="array" ref="H952">_xlfn.IFS(E952&gt;=16, "Excellent",E952&gt;=14, "Très bien", E952&gt;=12, "Bien", E952&gt;=10, "Passable", E952&lt;10, "Insuffisant")</f>
        <v>Insuffisant</v>
      </c>
      <c r="I952" s="14" t="str">
        <f t="shared" si="42"/>
        <v>A surveiller</v>
      </c>
      <c r="J952" s="14" t="str">
        <f t="shared" si="43"/>
        <v>Autre filière</v>
      </c>
      <c r="L952" s="16"/>
    </row>
    <row r="953" spans="1:12">
      <c r="A953" t="s">
        <v>318</v>
      </c>
      <c r="B953" t="s">
        <v>19</v>
      </c>
      <c r="C953" t="s">
        <v>35</v>
      </c>
      <c r="D953">
        <v>7.8</v>
      </c>
      <c r="E953">
        <v>8.6199999999999992</v>
      </c>
      <c r="F953" s="11">
        <v>0.91080000000000005</v>
      </c>
      <c r="G953" t="str">
        <f t="shared" si="44"/>
        <v>Refusé</v>
      </c>
      <c r="H953" t="str" cm="1">
        <f t="array" ref="H953">_xlfn.IFS(E953&gt;=16, "Excellent",E953&gt;=14, "Très bien", E953&gt;=12, "Bien", E953&gt;=10, "Passable", E953&lt;10, "Insuffisant")</f>
        <v>Insuffisant</v>
      </c>
      <c r="I953" s="14" t="str">
        <f t="shared" si="42"/>
        <v>A surveiller</v>
      </c>
      <c r="J953" s="14" t="str">
        <f t="shared" si="43"/>
        <v>Autre filière</v>
      </c>
      <c r="L953" s="16"/>
    </row>
    <row r="954" spans="1:12">
      <c r="A954" t="s">
        <v>387</v>
      </c>
      <c r="B954" t="s">
        <v>388</v>
      </c>
      <c r="C954" t="s">
        <v>35</v>
      </c>
      <c r="D954">
        <v>8.5500000000000007</v>
      </c>
      <c r="E954">
        <v>12.05</v>
      </c>
      <c r="F954" s="11">
        <v>0.90839999999999999</v>
      </c>
      <c r="G954" t="str">
        <f t="shared" si="44"/>
        <v>Refusé</v>
      </c>
      <c r="H954" t="str" cm="1">
        <f t="array" ref="H954">_xlfn.IFS(E954&gt;=16, "Excellent",E954&gt;=14, "Très bien", E954&gt;=12, "Bien", E954&gt;=10, "Passable", E954&lt;10, "Insuffisant")</f>
        <v>Bien</v>
      </c>
      <c r="I954" s="14" t="str">
        <f t="shared" si="42"/>
        <v>A surveiller</v>
      </c>
      <c r="J954" s="14" t="str">
        <f t="shared" si="43"/>
        <v>Autre filière</v>
      </c>
      <c r="L954" s="16"/>
    </row>
    <row r="955" spans="1:12">
      <c r="A955" t="s">
        <v>108</v>
      </c>
      <c r="B955" t="s">
        <v>109</v>
      </c>
      <c r="C955" t="s">
        <v>22</v>
      </c>
      <c r="D955">
        <v>15.33</v>
      </c>
      <c r="E955">
        <v>11.75</v>
      </c>
      <c r="F955" s="11">
        <v>0.77600000000000002</v>
      </c>
      <c r="G955" t="str">
        <f t="shared" si="44"/>
        <v>Admis sous condition</v>
      </c>
      <c r="H955" t="str" cm="1">
        <f t="array" ref="H955">_xlfn.IFS(E955&gt;=16, "Excellent",E955&gt;=14, "Très bien", E955&gt;=12, "Bien", E955&gt;=10, "Passable", E955&lt;10, "Insuffisant")</f>
        <v>Passable</v>
      </c>
      <c r="I955" s="14" t="str">
        <f t="shared" si="42"/>
        <v>RAS</v>
      </c>
      <c r="J955" s="14" t="str">
        <f t="shared" si="43"/>
        <v>Data</v>
      </c>
      <c r="L955" s="16"/>
    </row>
    <row r="956" spans="1:12">
      <c r="A956" t="s">
        <v>860</v>
      </c>
      <c r="B956" t="s">
        <v>640</v>
      </c>
      <c r="C956" t="s">
        <v>22</v>
      </c>
      <c r="D956">
        <v>7.43</v>
      </c>
      <c r="E956">
        <v>6.27</v>
      </c>
      <c r="F956" s="11">
        <v>0.7671</v>
      </c>
      <c r="G956" t="str">
        <f t="shared" si="44"/>
        <v>Refusé</v>
      </c>
      <c r="H956" t="str" cm="1">
        <f t="array" ref="H956">_xlfn.IFS(E956&gt;=16, "Excellent",E956&gt;=14, "Très bien", E956&gt;=12, "Bien", E956&gt;=10, "Passable", E956&lt;10, "Insuffisant")</f>
        <v>Insuffisant</v>
      </c>
      <c r="I956" s="14" t="str">
        <f t="shared" si="42"/>
        <v>A surveiller</v>
      </c>
      <c r="J956" s="14" t="str">
        <f t="shared" si="43"/>
        <v>Data</v>
      </c>
      <c r="L956" s="16"/>
    </row>
    <row r="957" spans="1:12">
      <c r="A957" t="s">
        <v>1021</v>
      </c>
      <c r="B957" t="s">
        <v>246</v>
      </c>
      <c r="C957" t="s">
        <v>22</v>
      </c>
      <c r="D957">
        <v>13.07</v>
      </c>
      <c r="E957">
        <v>7.67</v>
      </c>
      <c r="F957" s="11">
        <v>0.95489999999999997</v>
      </c>
      <c r="G957" t="str">
        <f t="shared" si="44"/>
        <v>Refusé</v>
      </c>
      <c r="H957" t="str" cm="1">
        <f t="array" ref="H957">_xlfn.IFS(E957&gt;=16, "Excellent",E957&gt;=14, "Très bien", E957&gt;=12, "Bien", E957&gt;=10, "Passable", E957&lt;10, "Insuffisant")</f>
        <v>Insuffisant</v>
      </c>
      <c r="I957" s="14" t="str">
        <f t="shared" si="42"/>
        <v>A surveiller</v>
      </c>
      <c r="J957" s="14" t="str">
        <f t="shared" si="43"/>
        <v>Data</v>
      </c>
      <c r="L957" s="16"/>
    </row>
    <row r="958" spans="1:12">
      <c r="A958" t="s">
        <v>1047</v>
      </c>
      <c r="B958" t="s">
        <v>159</v>
      </c>
      <c r="C958" t="s">
        <v>48</v>
      </c>
      <c r="D958">
        <v>11.88</v>
      </c>
      <c r="E958">
        <v>10.48</v>
      </c>
      <c r="F958" s="11">
        <v>0.74470000000000003</v>
      </c>
      <c r="G958" t="str">
        <f t="shared" si="44"/>
        <v>Admis sous condition</v>
      </c>
      <c r="H958" t="str" cm="1">
        <f t="array" ref="H958">_xlfn.IFS(E958&gt;=16, "Excellent",E958&gt;=14, "Très bien", E958&gt;=12, "Bien", E958&gt;=10, "Passable", E958&lt;10, "Insuffisant")</f>
        <v>Passable</v>
      </c>
      <c r="I958" s="14" t="str">
        <f t="shared" si="42"/>
        <v>RAS</v>
      </c>
      <c r="J958" s="14" t="str">
        <f t="shared" si="43"/>
        <v>Autre filière</v>
      </c>
      <c r="L958" s="16"/>
    </row>
    <row r="959" spans="1:12">
      <c r="A959" t="s">
        <v>789</v>
      </c>
      <c r="B959" t="s">
        <v>372</v>
      </c>
      <c r="C959" t="s">
        <v>35</v>
      </c>
      <c r="D959">
        <v>12.89</v>
      </c>
      <c r="E959">
        <v>9.89</v>
      </c>
      <c r="F959" s="11">
        <v>0.86729999999999996</v>
      </c>
      <c r="G959" t="str">
        <f t="shared" si="44"/>
        <v>Refusé</v>
      </c>
      <c r="H959" t="str" cm="1">
        <f t="array" ref="H959">_xlfn.IFS(E959&gt;=16, "Excellent",E959&gt;=14, "Très bien", E959&gt;=12, "Bien", E959&gt;=10, "Passable", E959&lt;10, "Insuffisant")</f>
        <v>Insuffisant</v>
      </c>
      <c r="I959" s="14" t="str">
        <f t="shared" si="42"/>
        <v>A surveiller</v>
      </c>
      <c r="J959" s="14" t="str">
        <f t="shared" si="43"/>
        <v>Autre filière</v>
      </c>
      <c r="K959" s="15"/>
      <c r="L959" s="16"/>
    </row>
    <row r="960" spans="1:12">
      <c r="A960" t="s">
        <v>776</v>
      </c>
      <c r="B960" t="s">
        <v>777</v>
      </c>
      <c r="C960" t="s">
        <v>35</v>
      </c>
      <c r="D960">
        <v>13.06</v>
      </c>
      <c r="E960">
        <v>10.89</v>
      </c>
      <c r="F960" s="11">
        <v>0.55000000000000004</v>
      </c>
      <c r="G960" t="str">
        <f t="shared" si="44"/>
        <v>Admis sous condition</v>
      </c>
      <c r="H960" t="str" cm="1">
        <f t="array" ref="H960">_xlfn.IFS(E960&gt;=16, "Excellent",E960&gt;=14, "Très bien", E960&gt;=12, "Bien", E960&gt;=10, "Passable", E960&lt;10, "Insuffisant")</f>
        <v>Passable</v>
      </c>
      <c r="I960" s="14" t="str">
        <f t="shared" si="42"/>
        <v>A surveiller</v>
      </c>
      <c r="J960" s="14" t="str">
        <f t="shared" si="43"/>
        <v>Autre filière</v>
      </c>
      <c r="L960" s="16"/>
    </row>
    <row r="961" spans="1:12">
      <c r="A961" t="s">
        <v>609</v>
      </c>
      <c r="B961" t="s">
        <v>357</v>
      </c>
      <c r="C961" t="s">
        <v>22</v>
      </c>
      <c r="D961">
        <v>9.59</v>
      </c>
      <c r="E961">
        <v>11.31</v>
      </c>
      <c r="F961" s="11">
        <v>0.75980000000000003</v>
      </c>
      <c r="G961" t="str">
        <f t="shared" si="44"/>
        <v>Refusé</v>
      </c>
      <c r="H961" t="str" cm="1">
        <f t="array" ref="H961">_xlfn.IFS(E961&gt;=16, "Excellent",E961&gt;=14, "Très bien", E961&gt;=12, "Bien", E961&gt;=10, "Passable", E961&lt;10, "Insuffisant")</f>
        <v>Passable</v>
      </c>
      <c r="I961" s="14" t="str">
        <f t="shared" si="42"/>
        <v>A surveiller</v>
      </c>
      <c r="J961" s="14" t="str">
        <f t="shared" si="43"/>
        <v>Data</v>
      </c>
      <c r="L961" s="16"/>
    </row>
    <row r="962" spans="1:12">
      <c r="A962" t="s">
        <v>843</v>
      </c>
      <c r="B962" t="s">
        <v>657</v>
      </c>
      <c r="C962" t="s">
        <v>48</v>
      </c>
      <c r="D962">
        <v>7.88</v>
      </c>
      <c r="E962">
        <v>9.59</v>
      </c>
      <c r="F962" s="11">
        <v>0.86019999999999996</v>
      </c>
      <c r="G962" t="str">
        <f t="shared" si="44"/>
        <v>Refusé</v>
      </c>
      <c r="H962" t="str" cm="1">
        <f t="array" ref="H962">_xlfn.IFS(E962&gt;=16, "Excellent",E962&gt;=14, "Très bien", E962&gt;=12, "Bien", E962&gt;=10, "Passable", E962&lt;10, "Insuffisant")</f>
        <v>Insuffisant</v>
      </c>
      <c r="I962" s="14" t="str">
        <f t="shared" si="42"/>
        <v>A surveiller</v>
      </c>
      <c r="J962" s="14" t="str">
        <f t="shared" si="43"/>
        <v>Autre filière</v>
      </c>
      <c r="K962" s="15"/>
      <c r="L962" s="16"/>
    </row>
    <row r="963" spans="1:12">
      <c r="A963" t="s">
        <v>1011</v>
      </c>
      <c r="B963" t="s">
        <v>669</v>
      </c>
      <c r="C963" t="s">
        <v>35</v>
      </c>
      <c r="D963">
        <v>9.2100000000000009</v>
      </c>
      <c r="E963">
        <v>14.32</v>
      </c>
      <c r="F963" s="11">
        <v>0.99099999999999999</v>
      </c>
      <c r="G963" t="str">
        <f t="shared" si="44"/>
        <v>Refusé</v>
      </c>
      <c r="H963" t="str" cm="1">
        <f t="array" ref="H963">_xlfn.IFS(E963&gt;=16, "Excellent",E963&gt;=14, "Très bien", E963&gt;=12, "Bien", E963&gt;=10, "Passable", E963&lt;10, "Insuffisant")</f>
        <v>Très bien</v>
      </c>
      <c r="I963" s="14" t="str">
        <f t="shared" ref="I963:I1001" si="45">IF(OR(D963&lt;10,E963&lt;10,F963&lt;70%), "A surveiller", "RAS")</f>
        <v>A surveiller</v>
      </c>
      <c r="J963" s="14" t="str">
        <f t="shared" ref="J963:J1001" si="46">IF(NOT(C963="Data"), "Autre filière", "Data")</f>
        <v>Autre filière</v>
      </c>
      <c r="L963" s="16"/>
    </row>
    <row r="964" spans="1:12">
      <c r="A964" t="s">
        <v>1127</v>
      </c>
      <c r="B964" t="s">
        <v>47</v>
      </c>
      <c r="C964" t="s">
        <v>35</v>
      </c>
      <c r="D964">
        <v>10.43</v>
      </c>
      <c r="E964">
        <v>10.19</v>
      </c>
      <c r="F964" s="11">
        <v>0.90649999999999997</v>
      </c>
      <c r="G964" t="str">
        <f t="shared" si="44"/>
        <v>Admis sous condition</v>
      </c>
      <c r="H964" t="str" cm="1">
        <f t="array" ref="H964">_xlfn.IFS(E964&gt;=16, "Excellent",E964&gt;=14, "Très bien", E964&gt;=12, "Bien", E964&gt;=10, "Passable", E964&lt;10, "Insuffisant")</f>
        <v>Passable</v>
      </c>
      <c r="I964" s="14" t="str">
        <f t="shared" si="45"/>
        <v>RAS</v>
      </c>
      <c r="J964" s="14" t="str">
        <f t="shared" si="46"/>
        <v>Autre filière</v>
      </c>
      <c r="L964" s="16"/>
    </row>
    <row r="965" spans="1:12">
      <c r="A965" t="s">
        <v>604</v>
      </c>
      <c r="B965" t="s">
        <v>233</v>
      </c>
      <c r="C965" t="s">
        <v>48</v>
      </c>
      <c r="D965">
        <v>12.15</v>
      </c>
      <c r="E965">
        <v>10.49</v>
      </c>
      <c r="F965" s="11">
        <v>0.76790000000000003</v>
      </c>
      <c r="G965" t="str">
        <f t="shared" si="44"/>
        <v>Admis sous condition</v>
      </c>
      <c r="H965" t="str" cm="1">
        <f t="array" ref="H965">_xlfn.IFS(E965&gt;=16, "Excellent",E965&gt;=14, "Très bien", E965&gt;=12, "Bien", E965&gt;=10, "Passable", E965&lt;10, "Insuffisant")</f>
        <v>Passable</v>
      </c>
      <c r="I965" s="14" t="str">
        <f t="shared" si="45"/>
        <v>RAS</v>
      </c>
      <c r="J965" s="14" t="str">
        <f t="shared" si="46"/>
        <v>Autre filière</v>
      </c>
      <c r="L965" s="16"/>
    </row>
    <row r="966" spans="1:12">
      <c r="A966" t="s">
        <v>904</v>
      </c>
      <c r="B966" t="s">
        <v>392</v>
      </c>
      <c r="C966" t="s">
        <v>22</v>
      </c>
      <c r="D966">
        <v>6.42</v>
      </c>
      <c r="E966">
        <v>10.92</v>
      </c>
      <c r="F966" s="11">
        <v>0.94220000000000004</v>
      </c>
      <c r="G966" t="str">
        <f t="shared" si="44"/>
        <v>Refusé</v>
      </c>
      <c r="H966" t="str" cm="1">
        <f t="array" ref="H966">_xlfn.IFS(E966&gt;=16, "Excellent",E966&gt;=14, "Très bien", E966&gt;=12, "Bien", E966&gt;=10, "Passable", E966&lt;10, "Insuffisant")</f>
        <v>Passable</v>
      </c>
      <c r="I966" s="14" t="str">
        <f t="shared" si="45"/>
        <v>A surveiller</v>
      </c>
      <c r="J966" s="14" t="str">
        <f t="shared" si="46"/>
        <v>Data</v>
      </c>
      <c r="L966" s="16"/>
    </row>
    <row r="967" spans="1:12">
      <c r="A967" t="s">
        <v>993</v>
      </c>
      <c r="B967" t="s">
        <v>444</v>
      </c>
      <c r="C967" t="s">
        <v>35</v>
      </c>
      <c r="D967">
        <v>10.050000000000001</v>
      </c>
      <c r="E967">
        <v>9.2100000000000009</v>
      </c>
      <c r="F967" s="11">
        <v>0.85160000000000002</v>
      </c>
      <c r="G967" t="str">
        <f t="shared" si="44"/>
        <v>Refusé</v>
      </c>
      <c r="H967" t="str" cm="1">
        <f t="array" ref="H967">_xlfn.IFS(E967&gt;=16, "Excellent",E967&gt;=14, "Très bien", E967&gt;=12, "Bien", E967&gt;=10, "Passable", E967&lt;10, "Insuffisant")</f>
        <v>Insuffisant</v>
      </c>
      <c r="I967" s="14" t="str">
        <f t="shared" si="45"/>
        <v>A surveiller</v>
      </c>
      <c r="J967" s="14" t="str">
        <f t="shared" si="46"/>
        <v>Autre filière</v>
      </c>
      <c r="K967" s="15"/>
      <c r="L967" s="16"/>
    </row>
    <row r="968" spans="1:12">
      <c r="A968" t="s">
        <v>1168</v>
      </c>
      <c r="B968" t="s">
        <v>431</v>
      </c>
      <c r="C968" t="s">
        <v>27</v>
      </c>
      <c r="D968">
        <v>5.95</v>
      </c>
      <c r="E968">
        <v>12.14</v>
      </c>
      <c r="F968" s="11">
        <v>0.7288</v>
      </c>
      <c r="G968" t="str">
        <f t="shared" si="44"/>
        <v>Refusé</v>
      </c>
      <c r="H968" t="str" cm="1">
        <f t="array" ref="H968">_xlfn.IFS(E968&gt;=16, "Excellent",E968&gt;=14, "Très bien", E968&gt;=12, "Bien", E968&gt;=10, "Passable", E968&lt;10, "Insuffisant")</f>
        <v>Bien</v>
      </c>
      <c r="I968" s="14" t="str">
        <f t="shared" si="45"/>
        <v>A surveiller</v>
      </c>
      <c r="J968" s="14" t="str">
        <f t="shared" si="46"/>
        <v>Autre filière</v>
      </c>
      <c r="L968" s="16"/>
    </row>
    <row r="969" spans="1:12">
      <c r="A969" t="s">
        <v>447</v>
      </c>
      <c r="B969" t="s">
        <v>431</v>
      </c>
      <c r="C969" t="s">
        <v>22</v>
      </c>
      <c r="D969">
        <v>9.5399999999999991</v>
      </c>
      <c r="E969">
        <v>10.32</v>
      </c>
      <c r="F969" s="11">
        <v>0.83479999999999999</v>
      </c>
      <c r="G969" t="str">
        <f t="shared" si="44"/>
        <v>Refusé</v>
      </c>
      <c r="H969" t="str" cm="1">
        <f t="array" ref="H969">_xlfn.IFS(E969&gt;=16, "Excellent",E969&gt;=14, "Très bien", E969&gt;=12, "Bien", E969&gt;=10, "Passable", E969&lt;10, "Insuffisant")</f>
        <v>Passable</v>
      </c>
      <c r="I969" s="14" t="str">
        <f t="shared" si="45"/>
        <v>A surveiller</v>
      </c>
      <c r="J969" s="14" t="str">
        <f t="shared" si="46"/>
        <v>Data</v>
      </c>
      <c r="K969" s="15"/>
      <c r="L969" s="16"/>
    </row>
    <row r="970" spans="1:12">
      <c r="A970" t="s">
        <v>973</v>
      </c>
      <c r="B970" t="s">
        <v>555</v>
      </c>
      <c r="C970" t="s">
        <v>48</v>
      </c>
      <c r="D970">
        <v>8.61</v>
      </c>
      <c r="E970">
        <v>8.2100000000000009</v>
      </c>
      <c r="F970" s="11">
        <v>0.60650000000000004</v>
      </c>
      <c r="G970" t="str">
        <f t="shared" si="44"/>
        <v>Refusé</v>
      </c>
      <c r="H970" t="str" cm="1">
        <f t="array" ref="H970">_xlfn.IFS(E970&gt;=16, "Excellent",E970&gt;=14, "Très bien", E970&gt;=12, "Bien", E970&gt;=10, "Passable", E970&lt;10, "Insuffisant")</f>
        <v>Insuffisant</v>
      </c>
      <c r="I970" s="14" t="str">
        <f t="shared" si="45"/>
        <v>A surveiller</v>
      </c>
      <c r="J970" s="14" t="str">
        <f t="shared" si="46"/>
        <v>Autre filière</v>
      </c>
      <c r="L970" s="16"/>
    </row>
    <row r="971" spans="1:12">
      <c r="A971" t="s">
        <v>1283</v>
      </c>
      <c r="B971" t="s">
        <v>433</v>
      </c>
      <c r="C971" t="s">
        <v>35</v>
      </c>
      <c r="D971">
        <v>9.6999999999999993</v>
      </c>
      <c r="E971">
        <v>1.99</v>
      </c>
      <c r="F971" s="11">
        <v>0.84860000000000002</v>
      </c>
      <c r="G971" t="str">
        <f t="shared" si="44"/>
        <v>Refusé</v>
      </c>
      <c r="H971" t="str" cm="1">
        <f t="array" ref="H971">_xlfn.IFS(E971&gt;=16, "Excellent",E971&gt;=14, "Très bien", E971&gt;=12, "Bien", E971&gt;=10, "Passable", E971&lt;10, "Insuffisant")</f>
        <v>Insuffisant</v>
      </c>
      <c r="I971" s="14" t="str">
        <f t="shared" si="45"/>
        <v>A surveiller</v>
      </c>
      <c r="J971" s="14" t="str">
        <f t="shared" si="46"/>
        <v>Autre filière</v>
      </c>
      <c r="K971" s="15"/>
      <c r="L971" s="16"/>
    </row>
    <row r="972" spans="1:12">
      <c r="A972" t="s">
        <v>250</v>
      </c>
      <c r="B972" t="s">
        <v>251</v>
      </c>
      <c r="C972" t="s">
        <v>22</v>
      </c>
      <c r="D972">
        <v>9.1999999999999993</v>
      </c>
      <c r="E972">
        <v>11.45</v>
      </c>
      <c r="F972" s="11">
        <v>0.77759999999999996</v>
      </c>
      <c r="G972" t="str">
        <f t="shared" si="44"/>
        <v>Refusé</v>
      </c>
      <c r="H972" t="str" cm="1">
        <f t="array" ref="H972">_xlfn.IFS(E972&gt;=16, "Excellent",E972&gt;=14, "Très bien", E972&gt;=12, "Bien", E972&gt;=10, "Passable", E972&lt;10, "Insuffisant")</f>
        <v>Passable</v>
      </c>
      <c r="I972" s="14" t="str">
        <f t="shared" si="45"/>
        <v>A surveiller</v>
      </c>
      <c r="J972" s="14" t="str">
        <f t="shared" si="46"/>
        <v>Data</v>
      </c>
      <c r="L972" s="16"/>
    </row>
    <row r="973" spans="1:12">
      <c r="A973" t="s">
        <v>849</v>
      </c>
      <c r="B973" t="s">
        <v>539</v>
      </c>
      <c r="C973" t="s">
        <v>27</v>
      </c>
      <c r="D973">
        <v>12.01</v>
      </c>
      <c r="E973">
        <v>8.64</v>
      </c>
      <c r="F973" s="11">
        <v>0.75460000000000005</v>
      </c>
      <c r="G973" t="str">
        <f t="shared" ref="G973:G1001" si="47">IF(AND(D973&gt;=12,E973&gt;=12,F973&gt;=80%),"Admis",IF(AND(D973&gt;=10,E973&gt;=10),"Admis sous condition","Refusé"))</f>
        <v>Refusé</v>
      </c>
      <c r="H973" t="str" cm="1">
        <f t="array" ref="H973">_xlfn.IFS(E973&gt;=16, "Excellent",E973&gt;=14, "Très bien", E973&gt;=12, "Bien", E973&gt;=10, "Passable", E973&lt;10, "Insuffisant")</f>
        <v>Insuffisant</v>
      </c>
      <c r="I973" s="14" t="str">
        <f t="shared" si="45"/>
        <v>A surveiller</v>
      </c>
      <c r="J973" s="14" t="str">
        <f t="shared" si="46"/>
        <v>Autre filière</v>
      </c>
      <c r="L973" s="16"/>
    </row>
    <row r="974" spans="1:12">
      <c r="A974" t="s">
        <v>1302</v>
      </c>
      <c r="B974" t="s">
        <v>351</v>
      </c>
      <c r="C974" t="s">
        <v>22</v>
      </c>
      <c r="D974">
        <v>13.22</v>
      </c>
      <c r="E974">
        <v>7.65</v>
      </c>
      <c r="F974" s="11">
        <v>0.9506</v>
      </c>
      <c r="G974" t="str">
        <f t="shared" si="47"/>
        <v>Refusé</v>
      </c>
      <c r="H974" t="str" cm="1">
        <f t="array" ref="H974">_xlfn.IFS(E974&gt;=16, "Excellent",E974&gt;=14, "Très bien", E974&gt;=12, "Bien", E974&gt;=10, "Passable", E974&lt;10, "Insuffisant")</f>
        <v>Insuffisant</v>
      </c>
      <c r="I974" s="14" t="str">
        <f t="shared" si="45"/>
        <v>A surveiller</v>
      </c>
      <c r="J974" s="14" t="str">
        <f t="shared" si="46"/>
        <v>Data</v>
      </c>
      <c r="L974" s="16"/>
    </row>
    <row r="975" spans="1:12">
      <c r="A975" t="s">
        <v>445</v>
      </c>
      <c r="B975" t="s">
        <v>301</v>
      </c>
      <c r="C975" t="s">
        <v>48</v>
      </c>
      <c r="D975">
        <v>9.43</v>
      </c>
      <c r="E975">
        <v>9.69</v>
      </c>
      <c r="F975" s="11">
        <v>0.87739999999999996</v>
      </c>
      <c r="G975" t="str">
        <f t="shared" si="47"/>
        <v>Refusé</v>
      </c>
      <c r="H975" t="str" cm="1">
        <f t="array" ref="H975">_xlfn.IFS(E975&gt;=16, "Excellent",E975&gt;=14, "Très bien", E975&gt;=12, "Bien", E975&gt;=10, "Passable", E975&lt;10, "Insuffisant")</f>
        <v>Insuffisant</v>
      </c>
      <c r="I975" s="14" t="str">
        <f t="shared" si="45"/>
        <v>A surveiller</v>
      </c>
      <c r="J975" s="14" t="str">
        <f t="shared" si="46"/>
        <v>Autre filière</v>
      </c>
      <c r="K975" s="15"/>
      <c r="L975" s="16"/>
    </row>
    <row r="976" spans="1:12">
      <c r="A976" t="s">
        <v>931</v>
      </c>
      <c r="B976" t="s">
        <v>186</v>
      </c>
      <c r="C976" t="s">
        <v>48</v>
      </c>
      <c r="D976">
        <v>8.4600000000000009</v>
      </c>
      <c r="E976">
        <v>6.44</v>
      </c>
      <c r="F976" s="11">
        <v>0.92290000000000005</v>
      </c>
      <c r="G976" t="str">
        <f t="shared" si="47"/>
        <v>Refusé</v>
      </c>
      <c r="H976" t="str" cm="1">
        <f t="array" ref="H976">_xlfn.IFS(E976&gt;=16, "Excellent",E976&gt;=14, "Très bien", E976&gt;=12, "Bien", E976&gt;=10, "Passable", E976&lt;10, "Insuffisant")</f>
        <v>Insuffisant</v>
      </c>
      <c r="I976" s="14" t="str">
        <f t="shared" si="45"/>
        <v>A surveiller</v>
      </c>
      <c r="J976" s="14" t="str">
        <f t="shared" si="46"/>
        <v>Autre filière</v>
      </c>
      <c r="L976" s="16"/>
    </row>
    <row r="977" spans="1:12">
      <c r="A977" t="s">
        <v>936</v>
      </c>
      <c r="B977" t="s">
        <v>59</v>
      </c>
      <c r="C977" t="s">
        <v>48</v>
      </c>
      <c r="D977">
        <v>10.79</v>
      </c>
      <c r="E977">
        <v>8.8000000000000007</v>
      </c>
      <c r="F977" s="11">
        <v>0.75249999999999995</v>
      </c>
      <c r="G977" t="str">
        <f t="shared" si="47"/>
        <v>Refusé</v>
      </c>
      <c r="H977" t="str" cm="1">
        <f t="array" ref="H977">_xlfn.IFS(E977&gt;=16, "Excellent",E977&gt;=14, "Très bien", E977&gt;=12, "Bien", E977&gt;=10, "Passable", E977&lt;10, "Insuffisant")</f>
        <v>Insuffisant</v>
      </c>
      <c r="I977" s="14" t="str">
        <f t="shared" si="45"/>
        <v>A surveiller</v>
      </c>
      <c r="J977" s="14" t="str">
        <f t="shared" si="46"/>
        <v>Autre filière</v>
      </c>
      <c r="L977" s="16"/>
    </row>
    <row r="978" spans="1:12">
      <c r="A978" t="s">
        <v>443</v>
      </c>
      <c r="B978" t="s">
        <v>444</v>
      </c>
      <c r="C978" t="s">
        <v>22</v>
      </c>
      <c r="D978">
        <v>3.82</v>
      </c>
      <c r="E978">
        <v>0.41</v>
      </c>
      <c r="F978" s="11">
        <v>0.92369999999999997</v>
      </c>
      <c r="G978" t="str">
        <f t="shared" si="47"/>
        <v>Refusé</v>
      </c>
      <c r="H978" t="str" cm="1">
        <f t="array" ref="H978">_xlfn.IFS(E978&gt;=16, "Excellent",E978&gt;=14, "Très bien", E978&gt;=12, "Bien", E978&gt;=10, "Passable", E978&lt;10, "Insuffisant")</f>
        <v>Insuffisant</v>
      </c>
      <c r="I978" s="14" t="str">
        <f t="shared" si="45"/>
        <v>A surveiller</v>
      </c>
      <c r="J978" s="14" t="str">
        <f t="shared" si="46"/>
        <v>Data</v>
      </c>
      <c r="L978" s="16"/>
    </row>
    <row r="979" spans="1:12">
      <c r="A979" t="s">
        <v>306</v>
      </c>
      <c r="B979" t="s">
        <v>307</v>
      </c>
      <c r="C979" t="s">
        <v>35</v>
      </c>
      <c r="D979">
        <v>9.59</v>
      </c>
      <c r="E979">
        <v>5.9</v>
      </c>
      <c r="F979" s="11">
        <v>0.89759999999999995</v>
      </c>
      <c r="G979" t="str">
        <f t="shared" si="47"/>
        <v>Refusé</v>
      </c>
      <c r="H979" t="str" cm="1">
        <f t="array" ref="H979">_xlfn.IFS(E979&gt;=16, "Excellent",E979&gt;=14, "Très bien", E979&gt;=12, "Bien", E979&gt;=10, "Passable", E979&lt;10, "Insuffisant")</f>
        <v>Insuffisant</v>
      </c>
      <c r="I979" s="14" t="str">
        <f t="shared" si="45"/>
        <v>A surveiller</v>
      </c>
      <c r="J979" s="14" t="str">
        <f t="shared" si="46"/>
        <v>Autre filière</v>
      </c>
      <c r="K979" s="15"/>
      <c r="L979" s="16"/>
    </row>
    <row r="980" spans="1:12">
      <c r="A980" t="s">
        <v>686</v>
      </c>
      <c r="B980" t="s">
        <v>251</v>
      </c>
      <c r="C980" t="s">
        <v>48</v>
      </c>
      <c r="D980">
        <v>7.56</v>
      </c>
      <c r="E980">
        <v>5.8</v>
      </c>
      <c r="F980" s="11">
        <v>0.61419999999999997</v>
      </c>
      <c r="G980" t="str">
        <f t="shared" si="47"/>
        <v>Refusé</v>
      </c>
      <c r="H980" t="str" cm="1">
        <f t="array" ref="H980">_xlfn.IFS(E980&gt;=16, "Excellent",E980&gt;=14, "Très bien", E980&gt;=12, "Bien", E980&gt;=10, "Passable", E980&lt;10, "Insuffisant")</f>
        <v>Insuffisant</v>
      </c>
      <c r="I980" s="14" t="str">
        <f t="shared" si="45"/>
        <v>A surveiller</v>
      </c>
      <c r="J980" s="14" t="str">
        <f t="shared" si="46"/>
        <v>Autre filière</v>
      </c>
      <c r="L980" s="16"/>
    </row>
    <row r="981" spans="1:12">
      <c r="A981" t="s">
        <v>195</v>
      </c>
      <c r="B981" t="s">
        <v>196</v>
      </c>
      <c r="C981" t="s">
        <v>27</v>
      </c>
      <c r="D981">
        <v>10.68</v>
      </c>
      <c r="E981">
        <v>6.72</v>
      </c>
      <c r="F981" s="11">
        <v>0.76039999999999996</v>
      </c>
      <c r="G981" t="str">
        <f t="shared" si="47"/>
        <v>Refusé</v>
      </c>
      <c r="H981" t="str" cm="1">
        <f t="array" ref="H981">_xlfn.IFS(E981&gt;=16, "Excellent",E981&gt;=14, "Très bien", E981&gt;=12, "Bien", E981&gt;=10, "Passable", E981&lt;10, "Insuffisant")</f>
        <v>Insuffisant</v>
      </c>
      <c r="I981" s="14" t="str">
        <f t="shared" si="45"/>
        <v>A surveiller</v>
      </c>
      <c r="J981" s="14" t="str">
        <f t="shared" si="46"/>
        <v>Autre filière</v>
      </c>
      <c r="L981" s="16"/>
    </row>
    <row r="982" spans="1:12">
      <c r="A982" t="s">
        <v>978</v>
      </c>
      <c r="B982" t="s">
        <v>202</v>
      </c>
      <c r="C982" t="s">
        <v>48</v>
      </c>
      <c r="D982">
        <v>12.92</v>
      </c>
      <c r="E982">
        <v>11.2</v>
      </c>
      <c r="F982" s="11">
        <v>0.94720000000000004</v>
      </c>
      <c r="G982" t="str">
        <f t="shared" si="47"/>
        <v>Admis sous condition</v>
      </c>
      <c r="H982" t="str" cm="1">
        <f t="array" ref="H982">_xlfn.IFS(E982&gt;=16, "Excellent",E982&gt;=14, "Très bien", E982&gt;=12, "Bien", E982&gt;=10, "Passable", E982&lt;10, "Insuffisant")</f>
        <v>Passable</v>
      </c>
      <c r="I982" s="14" t="str">
        <f t="shared" si="45"/>
        <v>RAS</v>
      </c>
      <c r="J982" s="14" t="str">
        <f t="shared" si="46"/>
        <v>Autre filière</v>
      </c>
      <c r="L982" s="16"/>
    </row>
    <row r="983" spans="1:12">
      <c r="A983" t="s">
        <v>929</v>
      </c>
      <c r="B983" t="s">
        <v>930</v>
      </c>
      <c r="C983" t="s">
        <v>35</v>
      </c>
      <c r="D983">
        <v>6.53</v>
      </c>
      <c r="E983">
        <v>8.65</v>
      </c>
      <c r="F983" s="11">
        <v>0.64100000000000001</v>
      </c>
      <c r="G983" t="str">
        <f t="shared" si="47"/>
        <v>Refusé</v>
      </c>
      <c r="H983" t="str" cm="1">
        <f t="array" ref="H983">_xlfn.IFS(E983&gt;=16, "Excellent",E983&gt;=14, "Très bien", E983&gt;=12, "Bien", E983&gt;=10, "Passable", E983&lt;10, "Insuffisant")</f>
        <v>Insuffisant</v>
      </c>
      <c r="I983" s="14" t="str">
        <f t="shared" si="45"/>
        <v>A surveiller</v>
      </c>
      <c r="J983" s="14" t="str">
        <f t="shared" si="46"/>
        <v>Autre filière</v>
      </c>
      <c r="L983" s="16"/>
    </row>
    <row r="984" spans="1:12">
      <c r="A984" t="s">
        <v>1066</v>
      </c>
      <c r="B984" t="s">
        <v>256</v>
      </c>
      <c r="C984" t="s">
        <v>35</v>
      </c>
      <c r="D984">
        <v>12.67</v>
      </c>
      <c r="E984">
        <v>5.75</v>
      </c>
      <c r="F984" s="11">
        <v>0.78259999999999996</v>
      </c>
      <c r="G984" t="str">
        <f t="shared" si="47"/>
        <v>Refusé</v>
      </c>
      <c r="H984" t="str" cm="1">
        <f t="array" ref="H984">_xlfn.IFS(E984&gt;=16, "Excellent",E984&gt;=14, "Très bien", E984&gt;=12, "Bien", E984&gt;=10, "Passable", E984&lt;10, "Insuffisant")</f>
        <v>Insuffisant</v>
      </c>
      <c r="I984" s="14" t="str">
        <f t="shared" si="45"/>
        <v>A surveiller</v>
      </c>
      <c r="J984" s="14" t="str">
        <f t="shared" si="46"/>
        <v>Autre filière</v>
      </c>
      <c r="L984" s="16"/>
    </row>
    <row r="985" spans="1:12">
      <c r="A985" t="s">
        <v>919</v>
      </c>
      <c r="B985" t="s">
        <v>69</v>
      </c>
      <c r="C985" t="s">
        <v>35</v>
      </c>
      <c r="D985">
        <v>7.94</v>
      </c>
      <c r="E985">
        <v>6.83</v>
      </c>
      <c r="F985" s="11">
        <v>0.74650000000000005</v>
      </c>
      <c r="G985" t="str">
        <f t="shared" si="47"/>
        <v>Refusé</v>
      </c>
      <c r="H985" t="str" cm="1">
        <f t="array" ref="H985">_xlfn.IFS(E985&gt;=16, "Excellent",E985&gt;=14, "Très bien", E985&gt;=12, "Bien", E985&gt;=10, "Passable", E985&lt;10, "Insuffisant")</f>
        <v>Insuffisant</v>
      </c>
      <c r="I985" s="14" t="str">
        <f t="shared" si="45"/>
        <v>A surveiller</v>
      </c>
      <c r="J985" s="14" t="str">
        <f t="shared" si="46"/>
        <v>Autre filière</v>
      </c>
      <c r="L985" s="16"/>
    </row>
    <row r="986" spans="1:12">
      <c r="A986" t="s">
        <v>870</v>
      </c>
      <c r="B986" t="s">
        <v>611</v>
      </c>
      <c r="C986" t="s">
        <v>35</v>
      </c>
      <c r="D986">
        <v>12.65</v>
      </c>
      <c r="E986">
        <v>11.2</v>
      </c>
      <c r="F986" s="11">
        <v>0.67059999999999997</v>
      </c>
      <c r="G986" t="str">
        <f t="shared" si="47"/>
        <v>Admis sous condition</v>
      </c>
      <c r="H986" t="str" cm="1">
        <f t="array" ref="H986">_xlfn.IFS(E986&gt;=16, "Excellent",E986&gt;=14, "Très bien", E986&gt;=12, "Bien", E986&gt;=10, "Passable", E986&lt;10, "Insuffisant")</f>
        <v>Passable</v>
      </c>
      <c r="I986" s="14" t="str">
        <f t="shared" si="45"/>
        <v>A surveiller</v>
      </c>
      <c r="J986" s="14" t="str">
        <f t="shared" si="46"/>
        <v>Autre filière</v>
      </c>
      <c r="L986" s="16"/>
    </row>
    <row r="987" spans="1:12">
      <c r="A987" t="s">
        <v>1053</v>
      </c>
      <c r="B987" t="s">
        <v>246</v>
      </c>
      <c r="C987" t="s">
        <v>27</v>
      </c>
      <c r="D987">
        <v>10.82</v>
      </c>
      <c r="E987">
        <v>7.79</v>
      </c>
      <c r="F987" s="11">
        <v>0.74019999999999997</v>
      </c>
      <c r="G987" t="str">
        <f t="shared" si="47"/>
        <v>Refusé</v>
      </c>
      <c r="H987" t="str" cm="1">
        <f t="array" ref="H987">_xlfn.IFS(E987&gt;=16, "Excellent",E987&gt;=14, "Très bien", E987&gt;=12, "Bien", E987&gt;=10, "Passable", E987&lt;10, "Insuffisant")</f>
        <v>Insuffisant</v>
      </c>
      <c r="I987" s="14" t="str">
        <f t="shared" si="45"/>
        <v>A surveiller</v>
      </c>
      <c r="J987" s="14" t="str">
        <f t="shared" si="46"/>
        <v>Autre filière</v>
      </c>
      <c r="L987" s="16"/>
    </row>
    <row r="988" spans="1:12">
      <c r="A988" t="s">
        <v>826</v>
      </c>
      <c r="B988" t="s">
        <v>729</v>
      </c>
      <c r="C988" t="s">
        <v>48</v>
      </c>
      <c r="D988">
        <v>8.59</v>
      </c>
      <c r="E988">
        <v>12.24</v>
      </c>
      <c r="F988" s="11">
        <v>0.61350000000000005</v>
      </c>
      <c r="G988" t="str">
        <f t="shared" si="47"/>
        <v>Refusé</v>
      </c>
      <c r="H988" t="str" cm="1">
        <f t="array" ref="H988">_xlfn.IFS(E988&gt;=16, "Excellent",E988&gt;=14, "Très bien", E988&gt;=12, "Bien", E988&gt;=10, "Passable", E988&lt;10, "Insuffisant")</f>
        <v>Bien</v>
      </c>
      <c r="I988" s="14" t="str">
        <f t="shared" si="45"/>
        <v>A surveiller</v>
      </c>
      <c r="J988" s="14" t="str">
        <f t="shared" si="46"/>
        <v>Autre filière</v>
      </c>
      <c r="L988" s="16"/>
    </row>
    <row r="989" spans="1:12">
      <c r="A989" t="s">
        <v>682</v>
      </c>
      <c r="B989" t="s">
        <v>683</v>
      </c>
      <c r="C989" t="s">
        <v>48</v>
      </c>
      <c r="D989">
        <v>6.74</v>
      </c>
      <c r="E989">
        <v>2.11</v>
      </c>
      <c r="F989" s="11">
        <v>0.77539999999999998</v>
      </c>
      <c r="G989" t="str">
        <f t="shared" si="47"/>
        <v>Refusé</v>
      </c>
      <c r="H989" t="str" cm="1">
        <f t="array" ref="H989">_xlfn.IFS(E989&gt;=16, "Excellent",E989&gt;=14, "Très bien", E989&gt;=12, "Bien", E989&gt;=10, "Passable", E989&lt;10, "Insuffisant")</f>
        <v>Insuffisant</v>
      </c>
      <c r="I989" s="14" t="str">
        <f t="shared" si="45"/>
        <v>A surveiller</v>
      </c>
      <c r="J989" s="14" t="str">
        <f t="shared" si="46"/>
        <v>Autre filière</v>
      </c>
      <c r="L989" s="16"/>
    </row>
    <row r="990" spans="1:12">
      <c r="A990" t="s">
        <v>1280</v>
      </c>
      <c r="B990" t="s">
        <v>415</v>
      </c>
      <c r="C990" t="s">
        <v>22</v>
      </c>
      <c r="D990">
        <v>3.35</v>
      </c>
      <c r="E990">
        <v>4.24</v>
      </c>
      <c r="F990" s="11">
        <v>0.61209999999999998</v>
      </c>
      <c r="G990" t="str">
        <f t="shared" si="47"/>
        <v>Refusé</v>
      </c>
      <c r="H990" t="str" cm="1">
        <f t="array" ref="H990">_xlfn.IFS(E990&gt;=16, "Excellent",E990&gt;=14, "Très bien", E990&gt;=12, "Bien", E990&gt;=10, "Passable", E990&lt;10, "Insuffisant")</f>
        <v>Insuffisant</v>
      </c>
      <c r="I990" s="14" t="str">
        <f t="shared" si="45"/>
        <v>A surveiller</v>
      </c>
      <c r="J990" s="14" t="str">
        <f t="shared" si="46"/>
        <v>Data</v>
      </c>
      <c r="L990" s="16"/>
    </row>
    <row r="991" spans="1:12">
      <c r="A991" t="s">
        <v>704</v>
      </c>
      <c r="B991" t="s">
        <v>412</v>
      </c>
      <c r="C991" t="s">
        <v>48</v>
      </c>
      <c r="D991">
        <v>9.75</v>
      </c>
      <c r="E991">
        <v>14.31</v>
      </c>
      <c r="F991" s="11">
        <v>0.55000000000000004</v>
      </c>
      <c r="G991" t="str">
        <f t="shared" si="47"/>
        <v>Refusé</v>
      </c>
      <c r="H991" t="str" cm="1">
        <f t="array" ref="H991">_xlfn.IFS(E991&gt;=16, "Excellent",E991&gt;=14, "Très bien", E991&gt;=12, "Bien", E991&gt;=10, "Passable", E991&lt;10, "Insuffisant")</f>
        <v>Très bien</v>
      </c>
      <c r="I991" s="14" t="str">
        <f t="shared" si="45"/>
        <v>A surveiller</v>
      </c>
      <c r="J991" s="14" t="str">
        <f t="shared" si="46"/>
        <v>Autre filière</v>
      </c>
      <c r="L991" s="16"/>
    </row>
    <row r="992" spans="1:12">
      <c r="A992" t="s">
        <v>561</v>
      </c>
      <c r="B992" t="s">
        <v>562</v>
      </c>
      <c r="C992" t="s">
        <v>27</v>
      </c>
      <c r="D992">
        <v>8.01</v>
      </c>
      <c r="E992">
        <v>5.86</v>
      </c>
      <c r="F992" s="11">
        <v>0.89339999999999997</v>
      </c>
      <c r="G992" t="str">
        <f t="shared" si="47"/>
        <v>Refusé</v>
      </c>
      <c r="H992" t="str" cm="1">
        <f t="array" ref="H992">_xlfn.IFS(E992&gt;=16, "Excellent",E992&gt;=14, "Très bien", E992&gt;=12, "Bien", E992&gt;=10, "Passable", E992&lt;10, "Insuffisant")</f>
        <v>Insuffisant</v>
      </c>
      <c r="I992" s="14" t="str">
        <f t="shared" si="45"/>
        <v>A surveiller</v>
      </c>
      <c r="J992" s="14" t="str">
        <f t="shared" si="46"/>
        <v>Autre filière</v>
      </c>
      <c r="K992" s="15"/>
      <c r="L992" s="16"/>
    </row>
    <row r="993" spans="1:12">
      <c r="A993" t="s">
        <v>883</v>
      </c>
      <c r="B993" t="s">
        <v>532</v>
      </c>
      <c r="C993" t="s">
        <v>22</v>
      </c>
      <c r="D993">
        <v>7.41</v>
      </c>
      <c r="E993">
        <v>13.62</v>
      </c>
      <c r="F993" s="11">
        <v>0.75329999999999997</v>
      </c>
      <c r="G993" t="str">
        <f t="shared" si="47"/>
        <v>Refusé</v>
      </c>
      <c r="H993" t="str" cm="1">
        <f t="array" ref="H993">_xlfn.IFS(E993&gt;=16, "Excellent",E993&gt;=14, "Très bien", E993&gt;=12, "Bien", E993&gt;=10, "Passable", E993&lt;10, "Insuffisant")</f>
        <v>Bien</v>
      </c>
      <c r="I993" s="14" t="str">
        <f t="shared" si="45"/>
        <v>A surveiller</v>
      </c>
      <c r="J993" s="14" t="str">
        <f t="shared" si="46"/>
        <v>Data</v>
      </c>
      <c r="L993" s="16"/>
    </row>
    <row r="994" spans="1:12">
      <c r="A994" t="s">
        <v>1058</v>
      </c>
      <c r="B994" t="s">
        <v>734</v>
      </c>
      <c r="C994" t="s">
        <v>35</v>
      </c>
      <c r="D994">
        <v>5.08</v>
      </c>
      <c r="E994">
        <v>6.3</v>
      </c>
      <c r="F994" s="11">
        <v>0.90510000000000002</v>
      </c>
      <c r="G994" t="str">
        <f t="shared" si="47"/>
        <v>Refusé</v>
      </c>
      <c r="H994" t="str" cm="1">
        <f t="array" ref="H994">_xlfn.IFS(E994&gt;=16, "Excellent",E994&gt;=14, "Très bien", E994&gt;=12, "Bien", E994&gt;=10, "Passable", E994&lt;10, "Insuffisant")</f>
        <v>Insuffisant</v>
      </c>
      <c r="I994" s="14" t="str">
        <f t="shared" si="45"/>
        <v>A surveiller</v>
      </c>
      <c r="J994" s="14" t="str">
        <f t="shared" si="46"/>
        <v>Autre filière</v>
      </c>
      <c r="L994" s="16"/>
    </row>
    <row r="995" spans="1:12">
      <c r="A995" t="s">
        <v>1144</v>
      </c>
      <c r="B995" t="s">
        <v>415</v>
      </c>
      <c r="C995" t="s">
        <v>35</v>
      </c>
      <c r="D995">
        <v>6.67</v>
      </c>
      <c r="E995">
        <v>8.3699999999999992</v>
      </c>
      <c r="F995" s="11">
        <v>0.80820000000000003</v>
      </c>
      <c r="G995" t="str">
        <f t="shared" si="47"/>
        <v>Refusé</v>
      </c>
      <c r="H995" t="str" cm="1">
        <f t="array" ref="H995">_xlfn.IFS(E995&gt;=16, "Excellent",E995&gt;=14, "Très bien", E995&gt;=12, "Bien", E995&gt;=10, "Passable", E995&lt;10, "Insuffisant")</f>
        <v>Insuffisant</v>
      </c>
      <c r="I995" s="14" t="str">
        <f t="shared" si="45"/>
        <v>A surveiller</v>
      </c>
      <c r="J995" s="14" t="str">
        <f t="shared" si="46"/>
        <v>Autre filière</v>
      </c>
      <c r="K995" s="15"/>
      <c r="L995" s="16"/>
    </row>
    <row r="996" spans="1:12">
      <c r="A996" t="s">
        <v>1312</v>
      </c>
      <c r="B996" t="s">
        <v>410</v>
      </c>
      <c r="C996" t="s">
        <v>48</v>
      </c>
      <c r="D996">
        <v>8.75</v>
      </c>
      <c r="E996">
        <v>7.8</v>
      </c>
      <c r="F996" s="11">
        <v>0.96530000000000005</v>
      </c>
      <c r="G996" t="str">
        <f t="shared" si="47"/>
        <v>Refusé</v>
      </c>
      <c r="H996" t="str" cm="1">
        <f t="array" ref="H996">_xlfn.IFS(E996&gt;=16, "Excellent",E996&gt;=14, "Très bien", E996&gt;=12, "Bien", E996&gt;=10, "Passable", E996&lt;10, "Insuffisant")</f>
        <v>Insuffisant</v>
      </c>
      <c r="I996" s="14" t="str">
        <f t="shared" si="45"/>
        <v>A surveiller</v>
      </c>
      <c r="J996" s="14" t="str">
        <f t="shared" si="46"/>
        <v>Autre filière</v>
      </c>
      <c r="L996" s="16"/>
    </row>
    <row r="997" spans="1:12">
      <c r="A997" t="s">
        <v>145</v>
      </c>
      <c r="B997" t="s">
        <v>146</v>
      </c>
      <c r="C997" t="s">
        <v>48</v>
      </c>
      <c r="D997">
        <v>9.1</v>
      </c>
      <c r="E997">
        <v>4.51</v>
      </c>
      <c r="F997" s="11">
        <v>0.91279999999999994</v>
      </c>
      <c r="G997" t="str">
        <f t="shared" si="47"/>
        <v>Refusé</v>
      </c>
      <c r="H997" t="str" cm="1">
        <f t="array" ref="H997">_xlfn.IFS(E997&gt;=16, "Excellent",E997&gt;=14, "Très bien", E997&gt;=12, "Bien", E997&gt;=10, "Passable", E997&lt;10, "Insuffisant")</f>
        <v>Insuffisant</v>
      </c>
      <c r="I997" s="14" t="str">
        <f t="shared" si="45"/>
        <v>A surveiller</v>
      </c>
      <c r="J997" s="14" t="str">
        <f t="shared" si="46"/>
        <v>Autre filière</v>
      </c>
      <c r="L997" s="16"/>
    </row>
    <row r="998" spans="1:12">
      <c r="A998" t="s">
        <v>1255</v>
      </c>
      <c r="B998" t="s">
        <v>129</v>
      </c>
      <c r="C998" t="s">
        <v>48</v>
      </c>
      <c r="D998">
        <v>6.92</v>
      </c>
      <c r="E998">
        <v>7.59</v>
      </c>
      <c r="F998" s="11">
        <v>0.89639999999999997</v>
      </c>
      <c r="G998" t="str">
        <f t="shared" si="47"/>
        <v>Refusé</v>
      </c>
      <c r="H998" t="str" cm="1">
        <f t="array" ref="H998">_xlfn.IFS(E998&gt;=16, "Excellent",E998&gt;=14, "Très bien", E998&gt;=12, "Bien", E998&gt;=10, "Passable", E998&lt;10, "Insuffisant")</f>
        <v>Insuffisant</v>
      </c>
      <c r="I998" s="14" t="str">
        <f t="shared" si="45"/>
        <v>A surveiller</v>
      </c>
      <c r="J998" s="14" t="str">
        <f t="shared" si="46"/>
        <v>Autre filière</v>
      </c>
      <c r="K998" s="15"/>
      <c r="L998" s="16"/>
    </row>
    <row r="999" spans="1:12">
      <c r="A999" t="s">
        <v>991</v>
      </c>
      <c r="B999" t="s">
        <v>229</v>
      </c>
      <c r="C999" t="s">
        <v>35</v>
      </c>
      <c r="D999">
        <v>8.65</v>
      </c>
      <c r="E999">
        <v>5.79</v>
      </c>
      <c r="F999" s="11">
        <v>0.88280000000000003</v>
      </c>
      <c r="G999" t="str">
        <f t="shared" si="47"/>
        <v>Refusé</v>
      </c>
      <c r="H999" t="str" cm="1">
        <f t="array" ref="H999">_xlfn.IFS(E999&gt;=16, "Excellent",E999&gt;=14, "Très bien", E999&gt;=12, "Bien", E999&gt;=10, "Passable", E999&lt;10, "Insuffisant")</f>
        <v>Insuffisant</v>
      </c>
      <c r="I999" s="14" t="str">
        <f t="shared" si="45"/>
        <v>A surveiller</v>
      </c>
      <c r="J999" s="14" t="str">
        <f t="shared" si="46"/>
        <v>Autre filière</v>
      </c>
      <c r="K999" s="15"/>
      <c r="L999" s="16"/>
    </row>
    <row r="1000" spans="1:12">
      <c r="A1000" t="s">
        <v>964</v>
      </c>
      <c r="B1000" t="s">
        <v>833</v>
      </c>
      <c r="C1000" t="s">
        <v>27</v>
      </c>
      <c r="D1000">
        <v>8.3000000000000007</v>
      </c>
      <c r="E1000">
        <v>7.17</v>
      </c>
      <c r="F1000" s="11">
        <v>0.94720000000000004</v>
      </c>
      <c r="G1000" t="str">
        <f t="shared" si="47"/>
        <v>Refusé</v>
      </c>
      <c r="H1000" t="str" cm="1">
        <f t="array" ref="H1000">_xlfn.IFS(E1000&gt;=16, "Excellent",E1000&gt;=14, "Très bien", E1000&gt;=12, "Bien", E1000&gt;=10, "Passable", E1000&lt;10, "Insuffisant")</f>
        <v>Insuffisant</v>
      </c>
      <c r="I1000" s="14" t="str">
        <f t="shared" si="45"/>
        <v>A surveiller</v>
      </c>
      <c r="J1000" s="14" t="str">
        <f t="shared" si="46"/>
        <v>Autre filière</v>
      </c>
      <c r="L1000" s="16"/>
    </row>
    <row r="1001" spans="1:12">
      <c r="A1001" t="s">
        <v>754</v>
      </c>
      <c r="B1001" t="s">
        <v>310</v>
      </c>
      <c r="C1001" t="s">
        <v>27</v>
      </c>
      <c r="D1001">
        <v>5.63</v>
      </c>
      <c r="E1001">
        <v>5.27</v>
      </c>
      <c r="F1001" s="11">
        <v>0.72319999999999995</v>
      </c>
      <c r="G1001" t="str">
        <f t="shared" si="47"/>
        <v>Refusé</v>
      </c>
      <c r="H1001" t="str" cm="1">
        <f t="array" ref="H1001">_xlfn.IFS(E1001&gt;=16, "Excellent",E1001&gt;=14, "Très bien", E1001&gt;=12, "Bien", E1001&gt;=10, "Passable", E1001&lt;10, "Insuffisant")</f>
        <v>Insuffisant</v>
      </c>
      <c r="I1001" s="14" t="str">
        <f t="shared" si="45"/>
        <v>A surveiller</v>
      </c>
      <c r="J1001" s="14" t="str">
        <f t="shared" si="46"/>
        <v>Autre filière</v>
      </c>
      <c r="L1001" s="16"/>
    </row>
  </sheetData>
  <conditionalFormatting sqref="G2:G1001">
    <cfRule type="containsText" dxfId="2" priority="3" operator="containsText" text="Admis">
      <formula>NOT(ISERROR(SEARCH("Admis",G2)))</formula>
    </cfRule>
  </conditionalFormatting>
  <conditionalFormatting sqref="G2:G1001">
    <cfRule type="containsText" dxfId="1" priority="2" operator="containsText" text="Admis sous">
      <formula>NOT(ISERROR(SEARCH("Admis sous",G2)))</formula>
    </cfRule>
  </conditionalFormatting>
  <conditionalFormatting sqref="G2:G1001">
    <cfRule type="containsText" dxfId="0" priority="1" operator="containsText" text="Refusé">
      <formula>NOT(ISERROR(SEARCH("Refusé",G2)))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2026-08-22T08:14:20Z</dcterms:created>
  <dcterms:modified xsi:type="dcterms:W3CDTF">2026-09-10T12:09:46Z</dcterms:modified>
  <cp:category/>
  <cp:contentStatus/>
</cp:coreProperties>
</file>