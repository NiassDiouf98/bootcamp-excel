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5A300E8C-7F6D-4EEA-93C7-36A6B81C3741}" xr6:coauthVersionLast="47" xr6:coauthVersionMax="47" xr10:uidLastSave="{00000000-0000-0000-0000-000000000000}"/>
  <bookViews>
    <workbookView xWindow="0" yWindow="0" windowWidth="0" windowHeight="0" firstSheet="1" activeTab="4" xr2:uid="{00000000-000D-0000-FFFF-FFFF00000000}"/>
  </bookViews>
  <sheets>
    <sheet name="Exercice 1 — Statistiques desc" sheetId="1" r:id="rId1"/>
    <sheet name="Exercice 2 — Compter selon cond" sheetId="2" r:id="rId2"/>
    <sheet name="Exercice 3 - Compter avec + con" sheetId="3" r:id="rId3"/>
    <sheet name="Mini-projet — Analyse des notes" sheetId="4" r:id="rId4"/>
    <sheet name="Challenge" sheetId="5" r:id="rId5"/>
  </sheets>
  <definedNames>
    <definedName name="_xlnm._FilterDatabase" localSheetId="2" hidden="1">'Exercice 3 - Compter avec + con'!$A$1:$Q$1</definedName>
    <definedName name="_xlnm._FilterDatabase" localSheetId="4" hidden="1">Challenge!$A$1:$R$1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5" l="1"/>
  <c r="R8" i="4"/>
  <c r="R28" i="4"/>
  <c r="R27" i="4"/>
  <c r="R26" i="4"/>
  <c r="R21" i="4"/>
  <c r="R20" i="4"/>
  <c r="R19" i="4"/>
  <c r="R14" i="4"/>
  <c r="R13" i="4"/>
  <c r="R12" i="4"/>
  <c r="R11" i="4"/>
  <c r="R10" i="4"/>
  <c r="R9" i="4"/>
  <c r="R7" i="4"/>
  <c r="Q15" i="3"/>
  <c r="Q12" i="3"/>
  <c r="Q9" i="3"/>
  <c r="Q12" i="2"/>
  <c r="Q9" i="2"/>
  <c r="Q6" i="2"/>
  <c r="U9" i="1"/>
  <c r="T9" i="1"/>
  <c r="S9" i="1"/>
  <c r="R9" i="1"/>
  <c r="Q9" i="1"/>
</calcChain>
</file>

<file path=xl/sharedStrings.xml><?xml version="1.0" encoding="utf-8"?>
<sst xmlns="http://schemas.openxmlformats.org/spreadsheetml/2006/main" count="25096" uniqueCount="1364">
  <si>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</si>
  <si>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</si>
  <si>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</si>
  <si>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</si>
  <si>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</si>
  <si>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</si>
  <si>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</si>
  <si>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</si>
  <si>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</si>
  <si>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</si>
  <si>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</si>
  <si>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</si>
  <si>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</si>
  <si>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</si>
  <si>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</si>
  <si>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</si>
  <si>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</si>
  <si>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</si>
  <si>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</si>
  <si>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</si>
  <si>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</si>
  <si>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</si>
  <si>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</si>
  <si>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</si>
  <si>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</si>
  <si>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</si>
  <si>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</si>
  <si>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</si>
  <si>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</si>
  <si>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</si>
  <si>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</si>
  <si>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</si>
  <si>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</si>
  <si>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Statistiques descriptives pour Pyhon</t>
  </si>
  <si>
    <t>ST0007</t>
  </si>
  <si>
    <t>Coumba Seck</t>
  </si>
  <si>
    <t>Touba</t>
  </si>
  <si>
    <t>Somme</t>
  </si>
  <si>
    <t>Moyenne</t>
  </si>
  <si>
    <t>Note Max</t>
  </si>
  <si>
    <t>Note Min</t>
  </si>
  <si>
    <t>Nb Notes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</si>
  <si>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</si>
  <si>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</si>
  <si>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</si>
  <si>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</si>
  <si>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</si>
  <si>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</si>
  <si>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</si>
  <si>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</si>
  <si>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</si>
  <si>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</si>
  <si>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</si>
  <si>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</si>
  <si>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</si>
  <si>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</si>
  <si>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</si>
  <si>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</si>
  <si>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</si>
  <si>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</si>
  <si>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</si>
  <si>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</si>
  <si>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</si>
  <si>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</si>
  <si>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</si>
  <si>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</si>
  <si>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</si>
  <si>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</si>
  <si>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</si>
  <si>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</si>
  <si>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</si>
  <si>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</si>
  <si>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</si>
  <si>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</si>
  <si>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</si>
  <si>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</si>
  <si>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</si>
  <si>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</si>
  <si>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</si>
  <si>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</si>
  <si>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</si>
  <si>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</si>
  <si>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</si>
  <si>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</si>
  <si>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</si>
  <si>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</si>
  <si>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</si>
  <si>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</si>
  <si>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</si>
  <si>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</si>
  <si>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</si>
  <si>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</si>
  <si>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</si>
  <si>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</si>
  <si>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</si>
  <si>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</si>
  <si>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</si>
  <si>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</si>
  <si>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</si>
  <si>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</si>
  <si>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</si>
  <si>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</si>
  <si>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</si>
  <si>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</si>
  <si>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</si>
  <si>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</si>
  <si>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</si>
  <si>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</si>
  <si>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</si>
  <si>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</si>
  <si>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</si>
  <si>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</si>
  <si>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</si>
  <si>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</si>
  <si>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</si>
  <si>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</si>
  <si>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</si>
  <si>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</si>
  <si>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</si>
  <si>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</si>
  <si>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</si>
  <si>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</si>
  <si>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</si>
  <si>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</si>
  <si>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</si>
  <si>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</si>
  <si>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</si>
  <si>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</si>
  <si>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</si>
  <si>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</si>
  <si>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</si>
  <si>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</si>
  <si>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</si>
  <si>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</si>
  <si>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</si>
  <si>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</si>
  <si>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</si>
  <si>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</si>
  <si>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</si>
  <si>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</si>
  <si>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</si>
  <si>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</si>
  <si>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</si>
  <si>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</si>
  <si>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</si>
  <si>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</si>
  <si>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</si>
  <si>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</si>
  <si>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</si>
  <si>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</si>
  <si>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</si>
  <si>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</si>
  <si>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</si>
  <si>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</si>
  <si>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</si>
  <si>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</si>
  <si>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</si>
  <si>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</si>
  <si>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</si>
  <si>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</si>
  <si>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</si>
  <si>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</si>
  <si>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</si>
  <si>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</si>
  <si>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</si>
  <si>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</si>
  <si>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</si>
  <si>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</si>
  <si>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</si>
  <si>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</si>
  <si>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</si>
  <si>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</si>
  <si>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</si>
  <si>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</si>
  <si>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</si>
  <si>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</si>
  <si>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</si>
  <si>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</si>
  <si>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</si>
  <si>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</si>
  <si>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</si>
  <si>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</si>
  <si>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</si>
  <si>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</si>
  <si>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</si>
  <si>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</si>
  <si>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</si>
  <si>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</si>
  <si>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</si>
  <si>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</si>
  <si>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</si>
  <si>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</si>
  <si>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</si>
  <si>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</si>
  <si>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</si>
  <si>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</si>
  <si>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</si>
  <si>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</si>
  <si>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</si>
  <si>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</si>
  <si>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</si>
  <si>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</si>
  <si>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</si>
  <si>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</si>
  <si>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</si>
  <si>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</si>
  <si>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</si>
  <si>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</si>
  <si>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</si>
  <si>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</si>
  <si>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</si>
  <si>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</si>
  <si>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</si>
  <si>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</si>
  <si>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</si>
  <si>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</si>
  <si>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</si>
  <si>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</si>
  <si>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</si>
  <si>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</si>
  <si>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</si>
  <si>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</si>
  <si>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</si>
  <si>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</si>
  <si>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</si>
  <si>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</si>
  <si>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</si>
  <si>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</si>
  <si>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</si>
  <si>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</si>
  <si>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</si>
  <si>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</si>
  <si>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</si>
  <si>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</si>
  <si>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</si>
  <si>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</si>
  <si>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</si>
  <si>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</si>
  <si>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</si>
  <si>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</si>
  <si>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</si>
  <si>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</si>
  <si>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</si>
  <si>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</si>
  <si>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</si>
  <si>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</si>
  <si>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</si>
  <si>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</si>
  <si>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</si>
  <si>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</si>
  <si>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</si>
  <si>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</si>
  <si>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</si>
  <si>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</si>
  <si>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</si>
  <si>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</si>
  <si>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</si>
  <si>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</si>
  <si>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</si>
  <si>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</si>
  <si>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</si>
  <si>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</si>
  <si>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</si>
  <si>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</si>
  <si>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</si>
  <si>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</si>
  <si>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</si>
  <si>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</si>
  <si>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</si>
  <si>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</si>
  <si>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</si>
  <si>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</si>
  <si>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</si>
  <si>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</si>
  <si>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</si>
  <si>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</si>
  <si>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</si>
  <si>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</si>
  <si>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</si>
  <si>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</si>
  <si>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</si>
  <si>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</si>
  <si>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</si>
  <si>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</si>
  <si>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</si>
  <si>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</si>
  <si>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</si>
  <si>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</si>
  <si>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</si>
  <si>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</si>
  <si>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</si>
  <si>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</si>
  <si>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</si>
  <si>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</si>
  <si>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</si>
  <si>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</si>
  <si>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</si>
  <si>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</si>
  <si>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</si>
  <si>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</si>
  <si>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</si>
  <si>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</si>
  <si>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</si>
  <si>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</si>
  <si>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</si>
  <si>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</si>
  <si>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</si>
  <si>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</si>
  <si>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</si>
  <si>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</si>
  <si>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</si>
  <si>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</si>
  <si>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</si>
  <si>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</si>
  <si>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</si>
  <si>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</si>
  <si>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</si>
  <si>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</si>
  <si>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</si>
  <si>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</si>
  <si>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</si>
  <si>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</si>
  <si>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</si>
  <si>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</si>
  <si>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</si>
  <si>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</si>
  <si>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</si>
  <si>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</si>
  <si>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</si>
  <si>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</si>
  <si>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</si>
  <si>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</si>
  <si>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</si>
  <si>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</si>
  <si>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</si>
  <si>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</si>
  <si>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</si>
  <si>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</si>
  <si>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</si>
  <si>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</si>
  <si>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</si>
  <si>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</si>
  <si>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</si>
  <si>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</si>
  <si>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</si>
  <si>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</si>
  <si>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</si>
  <si>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</si>
  <si>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</si>
  <si>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</si>
  <si>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</si>
  <si>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</si>
  <si>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</si>
  <si>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</si>
  <si>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</si>
  <si>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</si>
  <si>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</si>
  <si>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</si>
  <si>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</si>
  <si>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</si>
  <si>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</si>
  <si>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</si>
  <si>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</si>
  <si>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</si>
  <si>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</si>
  <si>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</si>
  <si>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</si>
  <si>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</si>
  <si>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</si>
  <si>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</si>
  <si>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</si>
  <si>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</si>
  <si>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</si>
  <si>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</si>
  <si>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</si>
  <si>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</si>
  <si>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</si>
  <si>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</si>
  <si>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</si>
  <si>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</si>
  <si>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</si>
  <si>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</si>
  <si>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</si>
  <si>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</si>
  <si>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</si>
  <si>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</si>
  <si>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</si>
  <si>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</si>
  <si>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</si>
  <si>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</si>
  <si>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</si>
  <si>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</si>
  <si>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</si>
  <si>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</si>
  <si>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</si>
  <si>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</si>
  <si>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</si>
  <si>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</si>
  <si>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</si>
  <si>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</si>
  <si>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</si>
  <si>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</si>
  <si>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</si>
  <si>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</si>
  <si>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</si>
  <si>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</si>
  <si>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</si>
  <si>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</si>
  <si>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</si>
  <si>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</si>
  <si>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</si>
  <si>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</si>
  <si>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</si>
  <si>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</si>
  <si>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</si>
  <si>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</si>
  <si>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</si>
  <si>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</si>
  <si>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</si>
  <si>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</si>
  <si>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</si>
  <si>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</si>
  <si>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</si>
  <si>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</si>
  <si>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</si>
  <si>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</si>
  <si>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</si>
  <si>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</si>
  <si>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</si>
  <si>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</si>
  <si>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</si>
  <si>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</si>
  <si>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</si>
  <si>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</si>
  <si>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</si>
  <si>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</si>
  <si>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</si>
  <si>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</si>
  <si>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</si>
  <si>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</si>
  <si>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</si>
  <si>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</si>
  <si>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</si>
  <si>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</si>
  <si>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</si>
  <si>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</si>
  <si>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</si>
  <si>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</si>
  <si>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</si>
  <si>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</si>
  <si>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</si>
  <si>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</si>
  <si>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</si>
  <si>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</si>
  <si>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</si>
  <si>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</si>
  <si>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</si>
  <si>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</si>
  <si>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</si>
  <si>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</si>
  <si>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</si>
  <si>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</si>
  <si>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</si>
  <si>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</si>
  <si>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</si>
  <si>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</si>
  <si>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</si>
  <si>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</si>
  <si>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</si>
  <si>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</si>
  <si>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</si>
  <si>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</si>
  <si>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</si>
  <si>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</si>
  <si>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</si>
  <si>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</si>
  <si>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</si>
  <si>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</si>
  <si>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</si>
  <si>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</si>
  <si>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</si>
  <si>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</si>
  <si>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</si>
  <si>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</si>
  <si>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</si>
  <si>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</si>
  <si>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</si>
  <si>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</si>
  <si>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</si>
  <si>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</si>
  <si>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</si>
  <si>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</si>
  <si>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</si>
  <si>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</si>
  <si>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</si>
  <si>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</si>
  <si>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</si>
  <si>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</si>
  <si>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</si>
  <si>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</si>
  <si>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</si>
  <si>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</si>
  <si>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</si>
  <si>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</si>
  <si>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</si>
  <si>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</si>
  <si>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</si>
  <si>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</si>
  <si>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</si>
  <si>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</si>
  <si>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</si>
  <si>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</si>
  <si>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</si>
  <si>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</si>
  <si>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</si>
  <si>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</si>
  <si>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</si>
  <si>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</si>
  <si>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</si>
  <si>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</si>
  <si>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</si>
  <si>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</si>
  <si>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</si>
  <si>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</si>
  <si>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</si>
  <si>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</si>
  <si>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</si>
  <si>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</si>
  <si>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</si>
  <si>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</si>
  <si>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</si>
  <si>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</si>
  <si>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</si>
  <si>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</si>
  <si>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</si>
  <si>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</si>
  <si>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</si>
  <si>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</si>
  <si>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</si>
  <si>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</si>
  <si>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</si>
  <si>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</si>
  <si>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</si>
  <si>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</si>
  <si>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</si>
  <si>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</si>
  <si>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</si>
  <si>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</si>
  <si>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</si>
  <si>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</si>
  <si>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</si>
  <si>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</si>
  <si>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</si>
  <si>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</si>
  <si>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</si>
  <si>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</si>
  <si>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</si>
  <si>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</si>
  <si>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</si>
  <si>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</si>
  <si>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</si>
  <si>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</si>
  <si>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</si>
  <si>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</si>
  <si>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</si>
  <si>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</si>
  <si>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</si>
  <si>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</si>
  <si>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</si>
  <si>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</si>
  <si>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</si>
  <si>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</si>
  <si>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</si>
  <si>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</si>
  <si>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</si>
  <si>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</si>
  <si>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</si>
  <si>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</si>
  <si>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</si>
  <si>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</si>
  <si>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</si>
  <si>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</si>
  <si>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</si>
  <si>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</si>
  <si>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</si>
  <si>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</si>
  <si>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</si>
  <si>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</si>
  <si>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</si>
  <si>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</si>
  <si>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</si>
  <si>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</si>
  <si>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</si>
  <si>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</si>
  <si>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</si>
  <si>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</si>
  <si>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</si>
  <si>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</si>
  <si>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</si>
  <si>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</si>
  <si>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</si>
  <si>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</si>
  <si>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</si>
  <si>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</si>
  <si>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</si>
  <si>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</si>
  <si>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</si>
  <si>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</si>
  <si>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</si>
  <si>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</si>
  <si>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</si>
  <si>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</si>
  <si>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</si>
  <si>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</si>
  <si>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</si>
  <si>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</si>
  <si>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</si>
  <si>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</si>
  <si>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</si>
  <si>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</si>
  <si>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</si>
  <si>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</si>
  <si>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</si>
  <si>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</si>
  <si>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</si>
  <si>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</si>
  <si>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</si>
  <si>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</si>
  <si>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</si>
  <si>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</si>
  <si>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</si>
  <si>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</si>
  <si>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</si>
  <si>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</si>
  <si>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</si>
  <si>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</si>
  <si>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</si>
  <si>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</si>
  <si>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</si>
  <si>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</si>
  <si>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</si>
  <si>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</si>
  <si>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</si>
  <si>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</si>
  <si>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</si>
  <si>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</si>
  <si>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</si>
  <si>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</si>
  <si>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</si>
  <si>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</si>
  <si>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</si>
  <si>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</si>
  <si>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</si>
  <si>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</si>
  <si>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</si>
  <si>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</si>
  <si>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</si>
  <si>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</si>
  <si>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</si>
  <si>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</si>
  <si>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</si>
  <si>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</si>
  <si>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</si>
  <si>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</si>
  <si>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</si>
  <si>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</si>
  <si>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</si>
  <si>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</si>
  <si>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</si>
  <si>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</si>
  <si>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</si>
  <si>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</si>
  <si>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</si>
  <si>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</si>
  <si>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</si>
  <si>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</si>
  <si>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</si>
  <si>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</si>
  <si>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</si>
  <si>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</si>
  <si>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</si>
  <si>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</si>
  <si>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</si>
  <si>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</si>
  <si>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</si>
  <si>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</si>
  <si>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</si>
  <si>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</si>
  <si>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</si>
  <si>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</si>
  <si>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</si>
  <si>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</si>
  <si>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</si>
  <si>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</si>
  <si>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</si>
  <si>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</si>
  <si>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</si>
  <si>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</si>
  <si>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</si>
  <si>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</si>
  <si>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</si>
  <si>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</si>
  <si>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</si>
  <si>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</si>
  <si>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</si>
  <si>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</si>
  <si>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</si>
  <si>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</si>
  <si>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</si>
  <si>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</si>
  <si>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</si>
  <si>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</si>
  <si>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</si>
  <si>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</si>
  <si>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</si>
  <si>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</si>
  <si>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</si>
  <si>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</si>
  <si>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</si>
  <si>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</si>
  <si>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</si>
  <si>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</si>
  <si>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</si>
  <si>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</si>
  <si>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</si>
  <si>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</si>
  <si>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</si>
  <si>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</si>
  <si>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</si>
  <si>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</si>
  <si>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</si>
  <si>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</si>
  <si>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</si>
  <si>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</si>
  <si>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</si>
  <si>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</si>
  <si>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</si>
  <si>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</si>
  <si>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</si>
  <si>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</si>
  <si>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</si>
  <si>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</si>
  <si>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</si>
  <si>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</si>
  <si>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</si>
  <si>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</si>
  <si>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</si>
  <si>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</si>
  <si>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</si>
  <si>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</si>
  <si>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</si>
  <si>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</si>
  <si>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</si>
  <si>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</si>
  <si>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</si>
  <si>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</si>
  <si>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</si>
  <si>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</si>
  <si>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</si>
  <si>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</si>
  <si>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</si>
  <si>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</si>
  <si>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</si>
  <si>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</si>
  <si>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</si>
  <si>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</si>
  <si>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</si>
  <si>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</si>
  <si>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</si>
  <si>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</si>
  <si>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</si>
  <si>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</si>
  <si>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</si>
  <si>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</si>
  <si>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</si>
  <si>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</si>
  <si>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</si>
  <si>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</si>
  <si>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</si>
  <si>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</si>
  <si>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</si>
  <si>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</si>
  <si>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</si>
  <si>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</si>
  <si>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</si>
  <si>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</si>
  <si>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</si>
  <si>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</si>
  <si>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</si>
  <si>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</si>
  <si>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</si>
  <si>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</si>
  <si>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</si>
  <si>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</si>
  <si>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</si>
  <si>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</si>
  <si>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</si>
  <si>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</si>
  <si>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</si>
  <si>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</si>
  <si>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</si>
  <si>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</si>
  <si>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</si>
  <si>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</si>
  <si>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</si>
  <si>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</si>
  <si>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</si>
  <si>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</si>
  <si>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</si>
  <si>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</si>
  <si>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</si>
  <si>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</si>
  <si>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</si>
  <si>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</si>
  <si>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</si>
  <si>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</si>
  <si>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</si>
  <si>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</si>
  <si>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</si>
  <si>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</si>
  <si>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</si>
  <si>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</si>
  <si>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</si>
  <si>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</si>
  <si>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</si>
  <si>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</si>
  <si>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</si>
  <si>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</si>
  <si>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</si>
  <si>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</si>
  <si>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</si>
  <si>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</si>
  <si>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</si>
  <si>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</si>
  <si>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</si>
  <si>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</si>
  <si>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</si>
  <si>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</si>
  <si>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</si>
  <si>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</si>
  <si>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</si>
  <si>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</si>
  <si>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</si>
  <si>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</si>
  <si>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</si>
  <si>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</si>
  <si>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</si>
  <si>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</si>
  <si>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</si>
  <si>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</si>
  <si>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</si>
  <si>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</si>
  <si>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</si>
  <si>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</si>
  <si>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</si>
  <si>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</si>
  <si>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</si>
  <si>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</si>
  <si>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</si>
  <si>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</si>
  <si>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</si>
  <si>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</si>
  <si>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</si>
  <si>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</si>
  <si>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</si>
  <si>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</si>
  <si>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</si>
  <si>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</si>
  <si>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</si>
  <si>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</si>
  <si>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</si>
  <si>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</si>
  <si>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</si>
  <si>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</si>
  <si>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</si>
  <si>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</si>
  <si>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</si>
  <si>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</si>
  <si>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</si>
  <si>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</si>
  <si>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</si>
  <si>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</si>
  <si>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</si>
  <si>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</si>
  <si>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</si>
  <si>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</si>
  <si>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</si>
  <si>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</si>
  <si>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</si>
  <si>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</si>
  <si>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</si>
  <si>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</si>
  <si>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</si>
  <si>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</si>
  <si>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</si>
  <si>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</si>
  <si>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</si>
  <si>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</si>
  <si>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</si>
  <si>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</si>
  <si>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</si>
  <si>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</si>
  <si>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</si>
  <si>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</si>
  <si>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</si>
  <si>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</si>
  <si>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</si>
  <si>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</si>
  <si>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</si>
  <si>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</si>
  <si>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</si>
  <si>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</si>
  <si>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</si>
  <si>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</si>
  <si>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</si>
  <si>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</si>
  <si>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</si>
  <si>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</si>
  <si>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</si>
  <si>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</si>
  <si>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</si>
  <si>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</si>
  <si>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</si>
  <si>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</si>
  <si>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</si>
  <si>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</si>
  <si>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</si>
  <si>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</si>
  <si>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</si>
  <si>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</si>
  <si>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</si>
  <si>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</si>
  <si>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</si>
  <si>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</si>
  <si>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</si>
  <si>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</si>
  <si>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</si>
  <si>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</si>
  <si>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</si>
  <si>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</si>
  <si>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</si>
  <si>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</si>
  <si>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</si>
  <si>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</si>
  <si>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</si>
  <si>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</si>
  <si>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</si>
  <si>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</si>
  <si>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</si>
  <si>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</si>
  <si>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</si>
  <si>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</si>
  <si>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</si>
  <si>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</si>
  <si>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</si>
  <si>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</si>
  <si>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</si>
  <si>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</si>
  <si>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</si>
  <si>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</si>
  <si>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</si>
  <si>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</si>
  <si>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</si>
  <si>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</si>
  <si>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</si>
  <si>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</si>
  <si>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</si>
  <si>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</si>
  <si>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</si>
  <si>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</si>
  <si>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</si>
  <si>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</si>
  <si>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</si>
  <si>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</si>
  <si>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</si>
  <si>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</si>
  <si>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</si>
  <si>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</si>
  <si>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</si>
  <si>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</si>
  <si>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</si>
  <si>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</si>
  <si>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</si>
  <si>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</si>
  <si>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</si>
  <si>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</si>
  <si>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</si>
  <si>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</si>
  <si>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</si>
  <si>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</si>
  <si>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</si>
  <si>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</si>
  <si>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</si>
  <si>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</si>
  <si>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</si>
  <si>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</si>
  <si>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</si>
  <si>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</si>
  <si>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</si>
  <si>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</si>
  <si>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</si>
  <si>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</si>
  <si>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</si>
  <si>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</si>
  <si>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</si>
  <si>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</si>
  <si>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</si>
  <si>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</si>
  <si>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</si>
  <si>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</si>
  <si>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</si>
  <si>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</si>
  <si>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</si>
  <si>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</si>
  <si>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</si>
  <si>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</si>
  <si>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</si>
  <si>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</si>
  <si>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</si>
  <si>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</si>
  <si>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</si>
  <si>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</si>
  <si>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</si>
  <si>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</si>
  <si>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</si>
  <si>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</si>
  <si>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</si>
  <si>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</si>
  <si>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</si>
  <si>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</si>
  <si>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</si>
  <si>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</si>
  <si>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</si>
  <si>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</si>
  <si>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</si>
  <si>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</si>
  <si>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</si>
  <si>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</si>
  <si>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</si>
  <si>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</si>
  <si>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</si>
  <si>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</si>
  <si>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</si>
  <si>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</si>
  <si>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</si>
  <si>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</si>
  <si>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</si>
  <si>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</si>
  <si>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</si>
  <si>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</si>
  <si>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</si>
  <si>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</si>
  <si>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</si>
  <si>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</si>
  <si>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</si>
  <si>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</si>
  <si>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</si>
  <si>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</si>
  <si>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</si>
  <si>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</si>
  <si>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</si>
  <si>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</si>
  <si>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</si>
  <si>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</si>
  <si>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</si>
  <si>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</si>
  <si>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</si>
  <si>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</si>
  <si>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</si>
  <si>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</si>
  <si>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</si>
  <si>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</si>
  <si>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</si>
  <si>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</si>
  <si>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</si>
  <si>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</si>
  <si>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</si>
  <si>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</si>
  <si>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</si>
  <si>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</si>
  <si>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</si>
  <si>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</si>
  <si>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</si>
  <si>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</si>
  <si>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</si>
  <si>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</si>
  <si>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</si>
  <si>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</si>
  <si>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</si>
  <si>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</si>
  <si>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</si>
  <si>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</si>
  <si>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</si>
  <si>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</si>
  <si>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</si>
  <si>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</si>
  <si>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</si>
  <si>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</si>
  <si>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</si>
  <si>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</si>
  <si>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</si>
  <si>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</si>
  <si>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</si>
  <si>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</si>
  <si>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</si>
  <si>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</si>
  <si>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</si>
  <si>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</si>
  <si>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</si>
  <si>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</si>
  <si>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</si>
  <si>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</si>
  <si>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</si>
  <si>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</si>
  <si>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</si>
  <si>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</si>
  <si>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</si>
  <si>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</si>
  <si>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</si>
  <si>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</si>
  <si>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</si>
  <si>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</si>
  <si>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</si>
  <si>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</si>
  <si>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</si>
  <si>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</si>
  <si>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</si>
  <si>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</si>
  <si>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</si>
  <si>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</si>
  <si>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</si>
  <si>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</si>
  <si>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</si>
  <si>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</si>
  <si>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</si>
  <si>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</si>
  <si>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</si>
  <si>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</si>
  <si>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</si>
  <si>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</si>
  <si>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</si>
  <si>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</si>
  <si>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</si>
  <si>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</si>
  <si>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</si>
  <si>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</si>
  <si>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</si>
  <si>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</si>
  <si>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</si>
  <si>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</si>
  <si>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</si>
  <si>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</si>
  <si>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</si>
  <si>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</si>
  <si>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</si>
  <si>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</si>
  <si>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</si>
  <si>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</si>
  <si>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</si>
  <si>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</si>
  <si>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</si>
  <si>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</si>
  <si>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</si>
  <si>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</si>
  <si>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</si>
  <si>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</si>
  <si>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</si>
  <si>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</si>
  <si>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</si>
  <si>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</si>
  <si>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</si>
  <si>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</si>
  <si>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</si>
  <si>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</si>
  <si>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</si>
  <si>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</si>
  <si>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</si>
  <si>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</si>
  <si>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</si>
  <si>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</si>
  <si>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</si>
  <si>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</si>
  <si>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</si>
  <si>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</si>
  <si>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</si>
  <si>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</si>
  <si>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</si>
  <si>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</si>
  <si>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</si>
  <si>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</si>
  <si>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</si>
  <si>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</si>
  <si>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</si>
  <si>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</si>
  <si>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</si>
  <si>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</si>
  <si>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</si>
  <si>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</si>
  <si>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</si>
  <si>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</si>
  <si>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</si>
  <si>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</si>
  <si>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</si>
  <si>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</si>
  <si>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</si>
  <si>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</si>
  <si>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</si>
  <si>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</si>
  <si>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</si>
  <si>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</si>
  <si>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</si>
  <si>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</si>
  <si>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</si>
  <si>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</si>
  <si>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</si>
  <si>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</si>
  <si>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</si>
  <si>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</si>
  <si>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</si>
  <si>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</si>
  <si>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</si>
  <si>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</si>
  <si>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</si>
  <si>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</si>
  <si>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</si>
  <si>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</si>
  <si>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</si>
  <si>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</si>
  <si>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</si>
  <si>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</si>
  <si>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</si>
  <si>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</si>
  <si>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</si>
  <si>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</si>
  <si>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</si>
  <si>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</si>
  <si>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</si>
  <si>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</si>
  <si>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</si>
  <si>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</si>
  <si>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</si>
  <si>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</si>
  <si>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</si>
  <si>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</si>
  <si>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</si>
  <si>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</si>
  <si>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</si>
  <si>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</si>
  <si>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</si>
  <si>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</si>
  <si>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</si>
  <si>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</si>
  <si>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</si>
  <si>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</si>
  <si>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</si>
  <si>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</si>
  <si>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</si>
  <si>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</si>
  <si>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</si>
  <si>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</si>
  <si>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</si>
  <si>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</si>
  <si>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</si>
  <si>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</si>
  <si>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</si>
  <si>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</si>
  <si>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</si>
  <si>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</si>
  <si>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</si>
  <si>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</si>
  <si>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</si>
  <si>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</si>
  <si>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</si>
  <si>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</si>
  <si>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</si>
  <si>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</si>
  <si>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</si>
  <si>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</si>
  <si>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</si>
  <si>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</si>
  <si>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</si>
  <si>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</si>
  <si>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</si>
  <si>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</si>
  <si>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</si>
  <si>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</si>
  <si>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</si>
  <si>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</si>
  <si>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</si>
  <si>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</si>
  <si>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</si>
  <si>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</si>
  <si>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</si>
  <si>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</si>
  <si>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</si>
  <si>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</si>
  <si>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</si>
  <si>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</si>
  <si>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</si>
  <si>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</si>
  <si>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</si>
  <si>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</si>
  <si>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</si>
  <si>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</si>
  <si>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</si>
  <si>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</si>
  <si>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</si>
  <si>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</si>
  <si>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</si>
  <si>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</si>
  <si>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</si>
  <si>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</si>
  <si>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</si>
  <si>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</si>
  <si>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</si>
  <si>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</si>
  <si>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</si>
  <si>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</si>
  <si>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</si>
  <si>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</si>
  <si>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</si>
  <si>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</si>
  <si>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</si>
  <si>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</si>
  <si>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</si>
  <si>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</si>
  <si>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</si>
  <si>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</si>
  <si>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</si>
  <si>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</si>
  <si>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</si>
  <si>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</si>
  <si>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</si>
  <si>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</si>
  <si>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</si>
  <si>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</si>
  <si>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</si>
  <si>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</si>
  <si>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r>
      <rPr>
        <sz val="11"/>
        <color rgb="FF000000"/>
        <rFont val="Arial"/>
      </rPr>
      <t xml:space="preserve">étudiants avec : </t>
    </r>
    <r>
      <rPr>
        <b/>
        <sz val="11"/>
        <color rgb="FF000000"/>
        <rFont val="Arial"/>
      </rPr>
      <t>Python</t>
    </r>
    <r>
      <rPr>
        <sz val="11"/>
        <color rgb="FF000000"/>
        <rFont val="Arial"/>
      </rPr>
      <t xml:space="preserve"> &gt;= 15</t>
    </r>
  </si>
  <si>
    <r>
      <rPr>
        <sz val="11"/>
        <color rgb="FF000000"/>
        <rFont val="Arial"/>
      </rPr>
      <t xml:space="preserve">étudiants avec : </t>
    </r>
    <r>
      <rPr>
        <b/>
        <sz val="11"/>
        <color rgb="FF000000"/>
        <rFont val="Arial"/>
      </rPr>
      <t>Math</t>
    </r>
    <r>
      <rPr>
        <sz val="11"/>
        <color rgb="FF000000"/>
        <rFont val="Arial"/>
      </rPr>
      <t xml:space="preserve"> &lt; 10</t>
    </r>
  </si>
  <si>
    <r>
      <rPr>
        <sz val="11"/>
        <color rgb="FF000000"/>
        <rFont val="Arial"/>
      </rPr>
      <t xml:space="preserve">étudiants avec : </t>
    </r>
    <r>
      <rPr>
        <b/>
        <sz val="11"/>
        <color rgb="FF000000"/>
        <rFont val="Arial"/>
      </rPr>
      <t>Presence</t>
    </r>
    <r>
      <rPr>
        <sz val="11"/>
        <color rgb="FF000000"/>
        <rFont val="Arial"/>
      </rPr>
      <t xml:space="preserve"> &gt;= 90 %</t>
    </r>
  </si>
  <si>
    <r>
      <t xml:space="preserve">Python </t>
    </r>
    <r>
      <rPr>
        <sz val="11"/>
        <color rgb="FF000000"/>
        <rFont val="Arial"/>
        <family val="2"/>
        <charset val="1"/>
      </rPr>
      <t xml:space="preserve">&gt;= 15 ET </t>
    </r>
    <r>
      <rPr>
        <b/>
        <sz val="11"/>
        <color rgb="FF000000"/>
        <rFont val="Arial"/>
        <family val="2"/>
        <charset val="1"/>
      </rPr>
      <t xml:space="preserve">Math </t>
    </r>
    <r>
      <rPr>
        <sz val="11"/>
        <color rgb="FF000000"/>
        <rFont val="Arial"/>
        <family val="2"/>
        <charset val="1"/>
      </rPr>
      <t>&gt;= 15</t>
    </r>
  </si>
  <si>
    <r>
      <t xml:space="preserve">Presence </t>
    </r>
    <r>
      <rPr>
        <sz val="11"/>
        <color rgb="FF000000"/>
        <rFont val="Arial"/>
        <family val="2"/>
        <charset val="1"/>
      </rPr>
      <t xml:space="preserve">&gt;= 90 % ET </t>
    </r>
    <r>
      <rPr>
        <b/>
        <sz val="11"/>
        <color rgb="FF000000"/>
        <rFont val="Arial"/>
        <family val="2"/>
        <charset val="1"/>
      </rPr>
      <t xml:space="preserve">Python </t>
    </r>
    <r>
      <rPr>
        <sz val="11"/>
        <color rgb="FF000000"/>
        <rFont val="Arial"/>
        <family val="2"/>
        <charset val="1"/>
      </rPr>
      <t>&gt;= 15</t>
    </r>
  </si>
  <si>
    <r>
      <t xml:space="preserve">Math </t>
    </r>
    <r>
      <rPr>
        <sz val="11"/>
        <color rgb="FF000000"/>
        <rFont val="Arial"/>
        <family val="2"/>
        <charset val="1"/>
      </rPr>
      <t xml:space="preserve">&lt; 10 ET </t>
    </r>
    <r>
      <rPr>
        <b/>
        <sz val="11"/>
        <color rgb="FF000000"/>
        <rFont val="Arial"/>
        <family val="2"/>
        <charset val="1"/>
      </rPr>
      <t xml:space="preserve">Presence </t>
    </r>
    <r>
      <rPr>
        <sz val="11"/>
        <color rgb="FF000000"/>
        <rFont val="Arial"/>
        <family val="2"/>
        <charset val="1"/>
      </rPr>
      <t>&lt; 80 %</t>
    </r>
  </si>
  <si>
    <t>Étape 1 — Résumé général</t>
  </si>
  <si>
    <t>Indicateur</t>
  </si>
  <si>
    <t>Résultat</t>
  </si>
  <si>
    <t>Nombre de notes en Math</t>
  </si>
  <si>
    <t>Moyenne Math</t>
  </si>
  <si>
    <t>Note maximale Math</t>
  </si>
  <si>
    <t>Note minimale Math</t>
  </si>
  <si>
    <t>Nombre de notes en Python</t>
  </si>
  <si>
    <t>Moyenne Python</t>
  </si>
  <si>
    <t>Note maximale Python</t>
  </si>
  <si>
    <t>Note minimale Python</t>
  </si>
  <si>
    <t>Étape 2 — Identifier les bonnes performances</t>
  </si>
  <si>
    <t>Étudiants avec Python ≥ 15</t>
  </si>
  <si>
    <t>Étudiants avec Math ≥ 15</t>
  </si>
  <si>
    <t>Étudiants avec Présence ≥ 90 %</t>
  </si>
  <si>
    <t>Étape 3 — Identifier les profils performants</t>
  </si>
  <si>
    <t>Math ≥ 15 ET Python ≥ 15</t>
  </si>
  <si>
    <t>Python ≥ 15 ET Présence ≥ 90 %</t>
  </si>
  <si>
    <t>Math &lt; 10 ET Présence &lt; 80 %</t>
  </si>
  <si>
    <t>Math ≥ 15 OU Python ≥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</si>
</sst>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/>
    <xf numFmtId="0" fontId="0" fillId="2" borderId="2" xfId="0" applyFill="1" applyBorder="1"/>
    <xf numFmtId="0" fontId="2" fillId="0" borderId="0" xfId="0" applyFont="1"/>
    <xf numFmtId="0" fontId="0" fillId="0" borderId="0" xfId="0" applyAlignment="1">
      <alignment horizontal="center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2" borderId="2" xfId="0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/>
    <xf numFmtId="0" fontId="5" fillId="0" borderId="2" xfId="0" applyFont="1" applyBorder="1"/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0" borderId="0" xfId="0" applyFont="1" applyBorder="1"/>
    <xf numFmtId="0" fontId="0" fillId="0" borderId="0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>
      <selection activeCell="A2" sqref="A1:L1001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1" max="11" width="11.5703125" bestFit="1" customWidth="1"/>
    <col min="12" max="12" width="19.5703125" bestFit="1" customWidth="1"/>
    <col min="17" max="17" width="7.7109375" bestFit="1" customWidth="1"/>
    <col min="18" max="18" width="9.42578125" bestFit="1" customWidth="1"/>
    <col min="19" max="19" width="9.7109375" bestFit="1" customWidth="1"/>
    <col min="20" max="20" width="9.42578125" bestFit="1" customWidth="1"/>
    <col min="21" max="21" width="9.28515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1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>
        <v>0.91869999999999996</v>
      </c>
      <c r="K2">
        <v>75000</v>
      </c>
      <c r="L2" s="2">
        <v>45854</v>
      </c>
    </row>
    <row r="3" spans="1:21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>
        <v>0.81930000000000003</v>
      </c>
      <c r="K3">
        <v>90000</v>
      </c>
      <c r="L3" s="2">
        <v>45633</v>
      </c>
    </row>
    <row r="4" spans="1:21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>
        <v>0.79079999999999995</v>
      </c>
      <c r="K4">
        <v>85000</v>
      </c>
      <c r="L4" s="2">
        <v>45682</v>
      </c>
    </row>
    <row r="5" spans="1:21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>
        <v>0.76400000000000001</v>
      </c>
      <c r="K5">
        <v>120000</v>
      </c>
      <c r="L5" s="2">
        <v>45844</v>
      </c>
    </row>
    <row r="6" spans="1:21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>
        <v>0.73070000000000002</v>
      </c>
      <c r="K6">
        <v>70000</v>
      </c>
      <c r="L6" s="2">
        <v>46019</v>
      </c>
    </row>
    <row r="7" spans="1:21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>
        <v>0.7429</v>
      </c>
      <c r="K7">
        <v>85000</v>
      </c>
      <c r="L7" s="2">
        <v>45826</v>
      </c>
      <c r="Q7" s="9" t="s">
        <v>33</v>
      </c>
      <c r="R7" s="9"/>
      <c r="S7" s="9"/>
      <c r="T7" s="9"/>
      <c r="U7" s="9"/>
    </row>
    <row r="8" spans="1:21">
      <c r="A8" t="s">
        <v>34</v>
      </c>
      <c r="B8" t="s">
        <v>35</v>
      </c>
      <c r="C8" t="s">
        <v>14</v>
      </c>
      <c r="D8" t="s">
        <v>36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>
        <v>0.75839999999999996</v>
      </c>
      <c r="K8">
        <v>60000</v>
      </c>
      <c r="L8" s="2">
        <v>45915</v>
      </c>
      <c r="Q8" s="4" t="s">
        <v>37</v>
      </c>
      <c r="R8" s="4" t="s">
        <v>38</v>
      </c>
      <c r="S8" s="4" t="s">
        <v>39</v>
      </c>
      <c r="T8" s="4" t="s">
        <v>40</v>
      </c>
      <c r="U8" s="4" t="s">
        <v>41</v>
      </c>
    </row>
    <row r="9" spans="1:21">
      <c r="A9" t="s">
        <v>42</v>
      </c>
      <c r="B9" t="s">
        <v>43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>
        <v>0.95250000000000001</v>
      </c>
      <c r="K9">
        <v>90000</v>
      </c>
      <c r="L9" s="2">
        <v>45901</v>
      </c>
      <c r="Q9" s="4">
        <f>SUM(H2:H1001)</f>
        <v>13428.10999999999</v>
      </c>
      <c r="R9" s="4">
        <f>AVERAGE(H2:H1001)</f>
        <v>13.42810999999999</v>
      </c>
      <c r="S9" s="4">
        <f>MAX(H2:H1001)</f>
        <v>20</v>
      </c>
      <c r="T9" s="4">
        <f>MIN(H2:H1001)</f>
        <v>0.41</v>
      </c>
      <c r="U9" s="4">
        <f>COUNT(H2:H1001)</f>
        <v>1000</v>
      </c>
    </row>
    <row r="10" spans="1:21">
      <c r="A10" t="s">
        <v>44</v>
      </c>
      <c r="B10" t="s">
        <v>45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>
        <v>0.87990000000000002</v>
      </c>
      <c r="K10">
        <v>50000</v>
      </c>
      <c r="L10" s="2">
        <v>45724</v>
      </c>
      <c r="Q10" s="3"/>
      <c r="R10" s="3"/>
      <c r="S10" s="3"/>
      <c r="T10" s="3"/>
      <c r="U10" s="3"/>
    </row>
    <row r="11" spans="1:21">
      <c r="A11" t="s">
        <v>46</v>
      </c>
      <c r="B11" t="s">
        <v>47</v>
      </c>
      <c r="C11" t="s">
        <v>14</v>
      </c>
      <c r="D11" t="s">
        <v>36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>
        <v>0.74860000000000004</v>
      </c>
      <c r="K11">
        <v>80000</v>
      </c>
      <c r="L11" s="2">
        <v>45731</v>
      </c>
      <c r="Q11" s="3"/>
      <c r="R11" s="3"/>
      <c r="S11" s="3"/>
      <c r="T11" s="3"/>
      <c r="U11" s="3"/>
    </row>
    <row r="12" spans="1:21">
      <c r="A12" t="s">
        <v>49</v>
      </c>
      <c r="B12" t="s">
        <v>50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>
        <v>0.78959999999999997</v>
      </c>
      <c r="K12">
        <v>50000</v>
      </c>
      <c r="L12" s="2">
        <v>45834</v>
      </c>
      <c r="Q12" s="3"/>
      <c r="R12" s="3"/>
      <c r="S12" s="3"/>
      <c r="T12" s="3"/>
      <c r="U12" s="3"/>
    </row>
    <row r="13" spans="1:21">
      <c r="A13" t="s">
        <v>51</v>
      </c>
      <c r="B13" t="s">
        <v>52</v>
      </c>
      <c r="C13" t="s">
        <v>19</v>
      </c>
      <c r="D13" t="s">
        <v>53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>
        <v>0.9133</v>
      </c>
      <c r="K13">
        <v>75000</v>
      </c>
      <c r="L13" s="2">
        <v>45558</v>
      </c>
      <c r="Q13" s="3"/>
      <c r="R13" s="3"/>
      <c r="S13" s="3"/>
      <c r="T13" s="3"/>
      <c r="U13" s="3"/>
    </row>
    <row r="14" spans="1:21">
      <c r="A14" t="s">
        <v>54</v>
      </c>
      <c r="B14" t="s">
        <v>55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>
        <v>0.87109999999999999</v>
      </c>
      <c r="K14">
        <v>85000</v>
      </c>
      <c r="L14" s="2">
        <v>46015</v>
      </c>
      <c r="Q14" s="3"/>
      <c r="R14" s="3"/>
      <c r="S14" s="3"/>
      <c r="T14" s="3"/>
      <c r="U14" s="3"/>
    </row>
    <row r="15" spans="1:21">
      <c r="A15" t="s">
        <v>56</v>
      </c>
      <c r="B15" t="s">
        <v>57</v>
      </c>
      <c r="C15" t="s">
        <v>19</v>
      </c>
      <c r="D15" t="s">
        <v>32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>
        <v>0.73260000000000003</v>
      </c>
      <c r="K15">
        <v>75000</v>
      </c>
      <c r="L15" s="2">
        <v>45966</v>
      </c>
      <c r="Q15" s="3"/>
      <c r="R15" s="3"/>
      <c r="S15" s="3"/>
      <c r="T15" s="3"/>
      <c r="U15" s="3"/>
    </row>
    <row r="16" spans="1:21">
      <c r="A16" t="s">
        <v>58</v>
      </c>
      <c r="B16" t="s">
        <v>59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>
        <v>0.95089999999999997</v>
      </c>
      <c r="K16">
        <v>80000</v>
      </c>
      <c r="L16" s="2">
        <v>45750</v>
      </c>
      <c r="Q16" s="3"/>
      <c r="R16" s="3"/>
      <c r="S16" s="3"/>
      <c r="T16" s="3"/>
      <c r="U16" s="3"/>
    </row>
    <row r="17" spans="1:12">
      <c r="A17" t="s">
        <v>60</v>
      </c>
      <c r="B17" t="s">
        <v>61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>
        <v>0.79810000000000003</v>
      </c>
      <c r="K17">
        <v>60000</v>
      </c>
      <c r="L17" s="2">
        <v>45797</v>
      </c>
    </row>
    <row r="18" spans="1:12">
      <c r="A18" t="s">
        <v>62</v>
      </c>
      <c r="B18" t="s">
        <v>63</v>
      </c>
      <c r="C18" t="s">
        <v>19</v>
      </c>
      <c r="D18" t="s">
        <v>15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>
        <v>0.84589999999999999</v>
      </c>
      <c r="K18">
        <v>100000</v>
      </c>
      <c r="L18" s="2">
        <v>45766</v>
      </c>
    </row>
    <row r="19" spans="1:12">
      <c r="A19" t="s">
        <v>64</v>
      </c>
      <c r="B19" t="s">
        <v>65</v>
      </c>
      <c r="C19" t="s">
        <v>14</v>
      </c>
      <c r="D19" t="s">
        <v>15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>
        <v>0.55000000000000004</v>
      </c>
      <c r="K19">
        <v>110000</v>
      </c>
      <c r="L19" s="2">
        <v>45991</v>
      </c>
    </row>
    <row r="20" spans="1:12">
      <c r="A20" t="s">
        <v>66</v>
      </c>
      <c r="B20" t="s">
        <v>67</v>
      </c>
      <c r="C20" t="s">
        <v>19</v>
      </c>
      <c r="D20" t="s">
        <v>15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>
        <v>0.55000000000000004</v>
      </c>
      <c r="K20">
        <v>85000</v>
      </c>
      <c r="L20" s="2">
        <v>46067</v>
      </c>
    </row>
    <row r="21" spans="1:12">
      <c r="A21" t="s">
        <v>68</v>
      </c>
      <c r="B21" t="s">
        <v>69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>
        <v>0.82350000000000001</v>
      </c>
      <c r="K21">
        <v>50000</v>
      </c>
      <c r="L21" s="2">
        <v>45612</v>
      </c>
    </row>
    <row r="22" spans="1:12">
      <c r="A22" t="s">
        <v>70</v>
      </c>
      <c r="B22" t="s">
        <v>71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>
        <v>0.87709999999999999</v>
      </c>
      <c r="K22">
        <v>50000</v>
      </c>
      <c r="L22" s="2">
        <v>45825</v>
      </c>
    </row>
    <row r="23" spans="1:12">
      <c r="A23" t="s">
        <v>72</v>
      </c>
      <c r="B23" t="s">
        <v>73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>
        <v>0.83630000000000004</v>
      </c>
      <c r="K23">
        <v>100000</v>
      </c>
      <c r="L23" s="2">
        <v>45545</v>
      </c>
    </row>
    <row r="24" spans="1:12">
      <c r="A24" t="s">
        <v>74</v>
      </c>
      <c r="B24" t="s">
        <v>75</v>
      </c>
      <c r="C24" t="s">
        <v>14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>
        <v>0.94589999999999996</v>
      </c>
      <c r="K24">
        <v>130000</v>
      </c>
      <c r="L24" s="2">
        <v>45852</v>
      </c>
    </row>
    <row r="25" spans="1:12">
      <c r="A25" t="s">
        <v>76</v>
      </c>
      <c r="B25" t="s">
        <v>77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>
        <v>0.58579999999999999</v>
      </c>
      <c r="K25">
        <v>120000</v>
      </c>
      <c r="L25" s="2">
        <v>45709</v>
      </c>
    </row>
    <row r="26" spans="1:12">
      <c r="A26" t="s">
        <v>78</v>
      </c>
      <c r="B26" t="s">
        <v>79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>
        <v>0.9405</v>
      </c>
      <c r="K26">
        <v>80000</v>
      </c>
      <c r="L26" s="2">
        <v>45771</v>
      </c>
    </row>
    <row r="27" spans="1:12">
      <c r="A27" t="s">
        <v>80</v>
      </c>
      <c r="B27" t="s">
        <v>81</v>
      </c>
      <c r="C27" t="s">
        <v>19</v>
      </c>
      <c r="D27" t="s">
        <v>32</v>
      </c>
      <c r="E27" t="s">
        <v>48</v>
      </c>
      <c r="F27">
        <v>18.41</v>
      </c>
      <c r="G27">
        <v>20</v>
      </c>
      <c r="H27">
        <v>14.71</v>
      </c>
      <c r="I27">
        <v>20</v>
      </c>
      <c r="J27">
        <v>0.81899999999999995</v>
      </c>
      <c r="K27">
        <v>85000</v>
      </c>
      <c r="L27" s="2">
        <v>45855</v>
      </c>
    </row>
    <row r="28" spans="1:12">
      <c r="A28" t="s">
        <v>82</v>
      </c>
      <c r="B28" t="s">
        <v>83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>
        <v>0.76739999999999997</v>
      </c>
      <c r="K28">
        <v>60000</v>
      </c>
      <c r="L28" s="2">
        <v>45762</v>
      </c>
    </row>
    <row r="29" spans="1:12">
      <c r="A29" t="s">
        <v>84</v>
      </c>
      <c r="B29" t="s">
        <v>85</v>
      </c>
      <c r="C29" t="s">
        <v>19</v>
      </c>
      <c r="D29" t="s">
        <v>53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>
        <v>0.81159999999999999</v>
      </c>
      <c r="K29">
        <v>50000</v>
      </c>
      <c r="L29" s="2">
        <v>45811</v>
      </c>
    </row>
    <row r="30" spans="1:12">
      <c r="A30" t="s">
        <v>86</v>
      </c>
      <c r="B30" t="s">
        <v>59</v>
      </c>
      <c r="C30" t="s">
        <v>19</v>
      </c>
      <c r="D30" t="s">
        <v>15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>
        <v>0.97089999999999999</v>
      </c>
      <c r="K30">
        <v>110000</v>
      </c>
      <c r="L30" s="2">
        <v>46071</v>
      </c>
    </row>
    <row r="31" spans="1:12">
      <c r="A31" t="s">
        <v>87</v>
      </c>
      <c r="B31" t="s">
        <v>88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>
        <v>0.55000000000000004</v>
      </c>
      <c r="K31">
        <v>80000</v>
      </c>
      <c r="L31" s="2">
        <v>46103</v>
      </c>
    </row>
    <row r="32" spans="1:12">
      <c r="A32" t="s">
        <v>89</v>
      </c>
      <c r="B32" t="s">
        <v>90</v>
      </c>
      <c r="C32" t="s">
        <v>14</v>
      </c>
      <c r="D32" t="s">
        <v>36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>
        <v>0.98560000000000003</v>
      </c>
      <c r="K32">
        <v>85000</v>
      </c>
      <c r="L32" s="2">
        <v>45540</v>
      </c>
    </row>
    <row r="33" spans="1:12">
      <c r="A33" t="s">
        <v>91</v>
      </c>
      <c r="B33" t="s">
        <v>92</v>
      </c>
      <c r="C33" t="s">
        <v>14</v>
      </c>
      <c r="D33" t="s">
        <v>36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>
        <v>0.93830000000000002</v>
      </c>
      <c r="K33">
        <v>75000</v>
      </c>
      <c r="L33" s="2">
        <v>45800</v>
      </c>
    </row>
    <row r="34" spans="1:12">
      <c r="A34" t="s">
        <v>93</v>
      </c>
      <c r="B34" t="s">
        <v>94</v>
      </c>
      <c r="C34" t="s">
        <v>14</v>
      </c>
      <c r="D34" t="s">
        <v>53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>
        <v>0.79310000000000003</v>
      </c>
      <c r="K34">
        <v>75000</v>
      </c>
      <c r="L34" s="2">
        <v>46128</v>
      </c>
    </row>
    <row r="35" spans="1:12">
      <c r="A35" t="s">
        <v>95</v>
      </c>
      <c r="B35" t="s">
        <v>96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>
        <v>0.85240000000000005</v>
      </c>
      <c r="K35">
        <v>130000</v>
      </c>
      <c r="L35" s="2">
        <v>45907</v>
      </c>
    </row>
    <row r="36" spans="1:12">
      <c r="A36" t="s">
        <v>97</v>
      </c>
      <c r="B36" t="s">
        <v>98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>
        <v>0.75270000000000004</v>
      </c>
      <c r="K36">
        <v>110000</v>
      </c>
      <c r="L36" s="2">
        <v>45679</v>
      </c>
    </row>
    <row r="37" spans="1:12">
      <c r="A37" t="s">
        <v>99</v>
      </c>
      <c r="B37" t="s">
        <v>100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>
        <v>0.7046</v>
      </c>
      <c r="K37">
        <v>100000</v>
      </c>
      <c r="L37" s="2">
        <v>45951</v>
      </c>
    </row>
    <row r="38" spans="1:12">
      <c r="A38" t="s">
        <v>101</v>
      </c>
      <c r="B38" t="s">
        <v>102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>
        <v>0.92279999999999995</v>
      </c>
      <c r="K38">
        <v>80000</v>
      </c>
      <c r="L38" s="2">
        <v>45637</v>
      </c>
    </row>
    <row r="39" spans="1:12">
      <c r="A39" t="s">
        <v>103</v>
      </c>
      <c r="B39" t="s">
        <v>104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>
        <v>0.82920000000000005</v>
      </c>
      <c r="K39">
        <v>100000</v>
      </c>
      <c r="L39" s="2">
        <v>45551</v>
      </c>
    </row>
    <row r="40" spans="1:12">
      <c r="A40" t="s">
        <v>105</v>
      </c>
      <c r="B40" t="s">
        <v>106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>
        <v>0.92720000000000002</v>
      </c>
      <c r="K40">
        <v>75000</v>
      </c>
      <c r="L40" s="2">
        <v>45978</v>
      </c>
    </row>
    <row r="41" spans="1:12">
      <c r="A41" t="s">
        <v>107</v>
      </c>
      <c r="B41" t="s">
        <v>77</v>
      </c>
      <c r="C41" t="s">
        <v>19</v>
      </c>
      <c r="D41" t="s">
        <v>53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>
        <v>0.95599999999999996</v>
      </c>
      <c r="K41">
        <v>85000</v>
      </c>
      <c r="L41" s="2">
        <v>45896</v>
      </c>
    </row>
    <row r="42" spans="1:12">
      <c r="A42" t="s">
        <v>108</v>
      </c>
      <c r="B42" t="s">
        <v>109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>
        <v>0.77600000000000002</v>
      </c>
      <c r="K42">
        <v>60000</v>
      </c>
      <c r="L42" s="2">
        <v>46065</v>
      </c>
    </row>
    <row r="43" spans="1:12">
      <c r="A43" t="s">
        <v>110</v>
      </c>
      <c r="B43" t="s">
        <v>111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>
        <v>0.90200000000000002</v>
      </c>
      <c r="K43">
        <v>100000</v>
      </c>
      <c r="L43" s="2">
        <v>45777</v>
      </c>
    </row>
    <row r="44" spans="1:12">
      <c r="A44" t="s">
        <v>112</v>
      </c>
      <c r="B44" t="s">
        <v>113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>
        <v>0.94040000000000001</v>
      </c>
      <c r="K44">
        <v>50000</v>
      </c>
      <c r="L44" s="2">
        <v>46133</v>
      </c>
    </row>
    <row r="45" spans="1:12">
      <c r="A45" t="s">
        <v>114</v>
      </c>
      <c r="B45" t="s">
        <v>115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>
        <v>0.86899999999999999</v>
      </c>
      <c r="K45">
        <v>100000</v>
      </c>
      <c r="L45" s="2">
        <v>45830</v>
      </c>
    </row>
    <row r="46" spans="1:12">
      <c r="A46" t="s">
        <v>116</v>
      </c>
      <c r="B46" t="s">
        <v>117</v>
      </c>
      <c r="C46" t="s">
        <v>14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>
        <v>0.91449999999999998</v>
      </c>
      <c r="K46">
        <v>90000</v>
      </c>
      <c r="L46" s="2">
        <v>46052</v>
      </c>
    </row>
    <row r="47" spans="1:12">
      <c r="A47" t="s">
        <v>118</v>
      </c>
      <c r="B47" t="s">
        <v>119</v>
      </c>
      <c r="C47" t="s">
        <v>19</v>
      </c>
      <c r="D47" t="s">
        <v>36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>
        <v>0.98260000000000003</v>
      </c>
      <c r="K47">
        <v>50000</v>
      </c>
      <c r="L47" s="2">
        <v>45606</v>
      </c>
    </row>
    <row r="48" spans="1:12">
      <c r="A48" t="s">
        <v>120</v>
      </c>
      <c r="B48" t="s">
        <v>121</v>
      </c>
      <c r="C48" t="s">
        <v>14</v>
      </c>
      <c r="D48" t="s">
        <v>53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>
        <v>0.94130000000000003</v>
      </c>
      <c r="K48">
        <v>85000</v>
      </c>
      <c r="L48" s="2">
        <v>45604</v>
      </c>
    </row>
    <row r="49" spans="1:12">
      <c r="A49" t="s">
        <v>122</v>
      </c>
      <c r="B49" t="s">
        <v>123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>
        <v>0.93630000000000002</v>
      </c>
      <c r="K49">
        <v>70000</v>
      </c>
      <c r="L49" s="2">
        <v>46083</v>
      </c>
    </row>
    <row r="50" spans="1:12">
      <c r="A50" t="s">
        <v>124</v>
      </c>
      <c r="B50" t="s">
        <v>125</v>
      </c>
      <c r="C50" t="s">
        <v>19</v>
      </c>
      <c r="D50" t="s">
        <v>20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>
        <v>0.92930000000000001</v>
      </c>
      <c r="K50">
        <v>85000</v>
      </c>
      <c r="L50" s="2">
        <v>46119</v>
      </c>
    </row>
    <row r="51" spans="1:12">
      <c r="A51" t="s">
        <v>126</v>
      </c>
      <c r="B51" t="s">
        <v>127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>
        <v>0.77490000000000003</v>
      </c>
      <c r="K51">
        <v>50000</v>
      </c>
      <c r="L51" s="2">
        <v>46195</v>
      </c>
    </row>
    <row r="52" spans="1:12">
      <c r="A52" t="s">
        <v>128</v>
      </c>
      <c r="B52" t="s">
        <v>129</v>
      </c>
      <c r="C52" t="s">
        <v>19</v>
      </c>
      <c r="D52" t="s">
        <v>36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>
        <v>0.95179999999999998</v>
      </c>
      <c r="K52">
        <v>100000</v>
      </c>
      <c r="L52" s="2">
        <v>45763</v>
      </c>
    </row>
    <row r="53" spans="1:12">
      <c r="A53" t="s">
        <v>130</v>
      </c>
      <c r="B53" t="s">
        <v>131</v>
      </c>
      <c r="C53" t="s">
        <v>14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>
        <v>0.9385</v>
      </c>
      <c r="K53">
        <v>85000</v>
      </c>
      <c r="L53" s="2">
        <v>45551</v>
      </c>
    </row>
    <row r="54" spans="1:12">
      <c r="A54" t="s">
        <v>132</v>
      </c>
      <c r="B54" t="s">
        <v>133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>
        <v>0.92410000000000003</v>
      </c>
      <c r="K54">
        <v>75000</v>
      </c>
      <c r="L54" s="2">
        <v>46221</v>
      </c>
    </row>
    <row r="55" spans="1:12">
      <c r="A55" t="s">
        <v>134</v>
      </c>
      <c r="B55" t="s">
        <v>135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>
        <v>0.79700000000000004</v>
      </c>
      <c r="K55">
        <v>120000</v>
      </c>
      <c r="L55" s="2">
        <v>45956</v>
      </c>
    </row>
    <row r="56" spans="1:12">
      <c r="A56" t="s">
        <v>136</v>
      </c>
      <c r="B56" t="s">
        <v>137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>
        <v>0.80020000000000002</v>
      </c>
      <c r="K56">
        <v>100000</v>
      </c>
      <c r="L56" s="2">
        <v>45708</v>
      </c>
    </row>
    <row r="57" spans="1:12">
      <c r="A57" t="s">
        <v>138</v>
      </c>
      <c r="B57" t="s">
        <v>139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>
        <v>0.89</v>
      </c>
      <c r="K57">
        <v>90000</v>
      </c>
      <c r="L57" s="2">
        <v>46070</v>
      </c>
    </row>
    <row r="58" spans="1:12">
      <c r="A58" t="s">
        <v>140</v>
      </c>
      <c r="B58" t="s">
        <v>141</v>
      </c>
      <c r="C58" t="s">
        <v>19</v>
      </c>
      <c r="D58" t="s">
        <v>36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>
        <v>0.74680000000000002</v>
      </c>
      <c r="K58">
        <v>60000</v>
      </c>
      <c r="L58" s="2">
        <v>46168</v>
      </c>
    </row>
    <row r="59" spans="1:12">
      <c r="A59" t="s">
        <v>142</v>
      </c>
      <c r="B59" t="s">
        <v>109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>
        <v>0.6895</v>
      </c>
      <c r="K59">
        <v>85000</v>
      </c>
      <c r="L59" s="2">
        <v>45735</v>
      </c>
    </row>
    <row r="60" spans="1:12">
      <c r="A60" t="s">
        <v>143</v>
      </c>
      <c r="B60" t="s">
        <v>144</v>
      </c>
      <c r="C60" t="s">
        <v>19</v>
      </c>
      <c r="D60" t="s">
        <v>32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>
        <v>0.9617</v>
      </c>
      <c r="K60">
        <v>100000</v>
      </c>
      <c r="L60" s="2">
        <v>46074</v>
      </c>
    </row>
    <row r="61" spans="1:12">
      <c r="A61" t="s">
        <v>145</v>
      </c>
      <c r="B61" t="s">
        <v>146</v>
      </c>
      <c r="C61" t="s">
        <v>19</v>
      </c>
      <c r="D61" t="s">
        <v>36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>
        <v>0.91279999999999994</v>
      </c>
      <c r="K61">
        <v>130000</v>
      </c>
      <c r="L61" s="2">
        <v>46087</v>
      </c>
    </row>
    <row r="62" spans="1:12">
      <c r="A62" t="s">
        <v>147</v>
      </c>
      <c r="B62" t="s">
        <v>148</v>
      </c>
      <c r="C62" t="s">
        <v>19</v>
      </c>
      <c r="D62" t="s">
        <v>20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>
        <v>0.55000000000000004</v>
      </c>
      <c r="K62">
        <v>90000</v>
      </c>
      <c r="L62" s="2">
        <v>45887</v>
      </c>
    </row>
    <row r="63" spans="1:12">
      <c r="A63" t="s">
        <v>149</v>
      </c>
      <c r="B63" t="s">
        <v>150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>
        <v>0.95489999999999997</v>
      </c>
      <c r="K63">
        <v>60000</v>
      </c>
      <c r="L63" s="2">
        <v>45978</v>
      </c>
    </row>
    <row r="64" spans="1:12">
      <c r="A64" t="s">
        <v>151</v>
      </c>
      <c r="B64" t="s">
        <v>152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>
        <v>0.84250000000000003</v>
      </c>
      <c r="K64">
        <v>100000</v>
      </c>
      <c r="L64" s="2">
        <v>45724</v>
      </c>
    </row>
    <row r="65" spans="1:12">
      <c r="A65" t="s">
        <v>153</v>
      </c>
      <c r="B65" t="s">
        <v>52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>
        <v>0.9204</v>
      </c>
      <c r="K65">
        <v>50000</v>
      </c>
      <c r="L65" s="2">
        <v>46186</v>
      </c>
    </row>
    <row r="66" spans="1:12">
      <c r="A66" t="s">
        <v>154</v>
      </c>
      <c r="B66" t="s">
        <v>155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>
        <v>0.80159999999999998</v>
      </c>
      <c r="K66">
        <v>75000</v>
      </c>
      <c r="L66" s="2">
        <v>46224</v>
      </c>
    </row>
    <row r="67" spans="1:12">
      <c r="A67" t="s">
        <v>156</v>
      </c>
      <c r="B67" t="s">
        <v>157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>
        <v>0.87060000000000004</v>
      </c>
      <c r="K67">
        <v>130000</v>
      </c>
      <c r="L67" s="2">
        <v>46222</v>
      </c>
    </row>
    <row r="68" spans="1:12">
      <c r="A68" t="s">
        <v>158</v>
      </c>
      <c r="B68" t="s">
        <v>159</v>
      </c>
      <c r="C68" t="s">
        <v>19</v>
      </c>
      <c r="D68" t="s">
        <v>32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>
        <v>0.84919999999999995</v>
      </c>
      <c r="K68">
        <v>110000</v>
      </c>
      <c r="L68" s="2">
        <v>46051</v>
      </c>
    </row>
    <row r="69" spans="1:12">
      <c r="A69" t="s">
        <v>160</v>
      </c>
      <c r="B69" t="s">
        <v>161</v>
      </c>
      <c r="C69" t="s">
        <v>14</v>
      </c>
      <c r="D69" t="s">
        <v>36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>
        <v>0.80720000000000003</v>
      </c>
      <c r="K69">
        <v>120000</v>
      </c>
      <c r="L69" s="2">
        <v>45565</v>
      </c>
    </row>
    <row r="70" spans="1:12">
      <c r="A70" t="s">
        <v>162</v>
      </c>
      <c r="B70" t="s">
        <v>115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>
        <v>0.86950000000000005</v>
      </c>
      <c r="K70">
        <v>75000</v>
      </c>
      <c r="L70" s="2">
        <v>45792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>
        <v>0.72430000000000005</v>
      </c>
      <c r="K71">
        <v>100000</v>
      </c>
      <c r="L71" s="2">
        <v>45847</v>
      </c>
    </row>
    <row r="72" spans="1:12">
      <c r="A72" t="s">
        <v>165</v>
      </c>
      <c r="B72" t="s">
        <v>166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>
        <v>0.7157</v>
      </c>
      <c r="K72">
        <v>100000</v>
      </c>
      <c r="L72" s="2">
        <v>46207</v>
      </c>
    </row>
    <row r="73" spans="1:12">
      <c r="A73" t="s">
        <v>167</v>
      </c>
      <c r="B73" t="s">
        <v>168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>
        <v>0.88990000000000002</v>
      </c>
      <c r="K73">
        <v>70000</v>
      </c>
      <c r="L73" s="2">
        <v>45918</v>
      </c>
    </row>
    <row r="74" spans="1:12">
      <c r="A74" t="s">
        <v>169</v>
      </c>
      <c r="B74" t="s">
        <v>170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>
        <v>0.76880000000000004</v>
      </c>
      <c r="K74">
        <v>130000</v>
      </c>
      <c r="L74" s="2">
        <v>45911</v>
      </c>
    </row>
    <row r="75" spans="1:12">
      <c r="A75" t="s">
        <v>171</v>
      </c>
      <c r="B75" t="s">
        <v>133</v>
      </c>
      <c r="C75" t="s">
        <v>14</v>
      </c>
      <c r="D75" t="s">
        <v>36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>
        <v>0.90290000000000004</v>
      </c>
      <c r="K75">
        <v>130000</v>
      </c>
      <c r="L75" s="2">
        <v>45638</v>
      </c>
    </row>
    <row r="76" spans="1:12">
      <c r="A76" t="s">
        <v>172</v>
      </c>
      <c r="B76" t="s">
        <v>173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>
        <v>0.96130000000000004</v>
      </c>
      <c r="K76">
        <v>60000</v>
      </c>
      <c r="L76" s="2">
        <v>46091</v>
      </c>
    </row>
    <row r="77" spans="1:12">
      <c r="A77" t="s">
        <v>174</v>
      </c>
      <c r="B77" t="s">
        <v>175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>
        <v>0.65480000000000005</v>
      </c>
      <c r="K77">
        <v>110000</v>
      </c>
      <c r="L77" s="2">
        <v>45771</v>
      </c>
    </row>
    <row r="78" spans="1:12">
      <c r="A78" t="s">
        <v>176</v>
      </c>
      <c r="B78" t="s">
        <v>109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>
        <v>0.92200000000000004</v>
      </c>
      <c r="K78">
        <v>80000</v>
      </c>
      <c r="L78" s="2">
        <v>45600</v>
      </c>
    </row>
    <row r="79" spans="1:12">
      <c r="A79" t="s">
        <v>177</v>
      </c>
      <c r="B79" t="s">
        <v>178</v>
      </c>
      <c r="C79" t="s">
        <v>14</v>
      </c>
      <c r="D79" t="s">
        <v>36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>
        <v>0.83409999999999995</v>
      </c>
      <c r="K79">
        <v>100000</v>
      </c>
      <c r="L79" s="2">
        <v>46227</v>
      </c>
    </row>
    <row r="80" spans="1:12">
      <c r="A80" t="s">
        <v>179</v>
      </c>
      <c r="B80" t="s">
        <v>180</v>
      </c>
      <c r="C80" t="s">
        <v>19</v>
      </c>
      <c r="D80" t="s">
        <v>15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>
        <v>0.87749999999999995</v>
      </c>
      <c r="K80">
        <v>90000</v>
      </c>
      <c r="L80" s="2">
        <v>45669</v>
      </c>
    </row>
    <row r="81" spans="1:12">
      <c r="A81" t="s">
        <v>181</v>
      </c>
      <c r="B81" t="s">
        <v>182</v>
      </c>
      <c r="C81" t="s">
        <v>19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>
        <v>0.95140000000000002</v>
      </c>
      <c r="K81">
        <v>70000</v>
      </c>
      <c r="L81" s="2">
        <v>45547</v>
      </c>
    </row>
    <row r="82" spans="1:12">
      <c r="A82" t="s">
        <v>183</v>
      </c>
      <c r="B82" t="s">
        <v>184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>
        <v>0.84179999999999999</v>
      </c>
      <c r="K82">
        <v>60000</v>
      </c>
      <c r="L82" s="2">
        <v>45590</v>
      </c>
    </row>
    <row r="83" spans="1:12">
      <c r="A83" t="s">
        <v>185</v>
      </c>
      <c r="B83" t="s">
        <v>186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>
        <v>0.93310000000000004</v>
      </c>
      <c r="K83">
        <v>85000</v>
      </c>
      <c r="L83" s="2">
        <v>45852</v>
      </c>
    </row>
    <row r="84" spans="1:12">
      <c r="A84" t="s">
        <v>187</v>
      </c>
      <c r="B84" t="s">
        <v>188</v>
      </c>
      <c r="C84" t="s">
        <v>14</v>
      </c>
      <c r="D84" t="s">
        <v>53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>
        <v>0.93730000000000002</v>
      </c>
      <c r="K84">
        <v>120000</v>
      </c>
      <c r="L84" s="2">
        <v>45608</v>
      </c>
    </row>
    <row r="85" spans="1:12">
      <c r="A85" t="s">
        <v>189</v>
      </c>
      <c r="B85" t="s">
        <v>59</v>
      </c>
      <c r="C85" t="s">
        <v>19</v>
      </c>
      <c r="D85" t="s">
        <v>20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>
        <v>0.83599999999999997</v>
      </c>
      <c r="K85">
        <v>120000</v>
      </c>
      <c r="L85" s="2">
        <v>46125</v>
      </c>
    </row>
    <row r="86" spans="1:12">
      <c r="A86" t="s">
        <v>190</v>
      </c>
      <c r="B86" t="s">
        <v>191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>
        <v>0.84530000000000005</v>
      </c>
      <c r="K86">
        <v>75000</v>
      </c>
      <c r="L86" s="2">
        <v>45894</v>
      </c>
    </row>
    <row r="87" spans="1:12">
      <c r="A87" t="s">
        <v>192</v>
      </c>
      <c r="B87" t="s">
        <v>79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>
        <v>0.74470000000000003</v>
      </c>
      <c r="K87">
        <v>120000</v>
      </c>
      <c r="L87" s="2">
        <v>45762</v>
      </c>
    </row>
    <row r="88" spans="1:12">
      <c r="A88" t="s">
        <v>193</v>
      </c>
      <c r="B88" t="s">
        <v>194</v>
      </c>
      <c r="C88" t="s">
        <v>14</v>
      </c>
      <c r="D88" t="s">
        <v>36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>
        <v>0.67400000000000004</v>
      </c>
      <c r="K88">
        <v>75000</v>
      </c>
      <c r="L88" s="2">
        <v>45538</v>
      </c>
    </row>
    <row r="89" spans="1:12">
      <c r="A89" t="s">
        <v>195</v>
      </c>
      <c r="B89" t="s">
        <v>196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>
        <v>0.76039999999999996</v>
      </c>
      <c r="K89">
        <v>90000</v>
      </c>
      <c r="L89" s="2">
        <v>45871</v>
      </c>
    </row>
    <row r="90" spans="1:12">
      <c r="A90" t="s">
        <v>197</v>
      </c>
      <c r="B90" t="s">
        <v>198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>
        <v>0.84550000000000003</v>
      </c>
      <c r="K90">
        <v>75000</v>
      </c>
      <c r="L90" s="2">
        <v>45641</v>
      </c>
    </row>
    <row r="91" spans="1:12">
      <c r="A91" t="s">
        <v>199</v>
      </c>
      <c r="B91" t="s">
        <v>200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>
        <v>0.67589999999999995</v>
      </c>
      <c r="K91">
        <v>85000</v>
      </c>
      <c r="L91" s="2">
        <v>46220</v>
      </c>
    </row>
    <row r="92" spans="1:12">
      <c r="A92" t="s">
        <v>201</v>
      </c>
      <c r="B92" t="s">
        <v>202</v>
      </c>
      <c r="C92" t="s">
        <v>14</v>
      </c>
      <c r="D92" t="s">
        <v>32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>
        <v>0.89300000000000002</v>
      </c>
      <c r="K92">
        <v>85000</v>
      </c>
      <c r="L92" s="2">
        <v>45739</v>
      </c>
    </row>
    <row r="93" spans="1:12">
      <c r="A93" t="s">
        <v>203</v>
      </c>
      <c r="B93" t="s">
        <v>204</v>
      </c>
      <c r="C93" t="s">
        <v>19</v>
      </c>
      <c r="D93" t="s">
        <v>53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>
        <v>0.94669999999999999</v>
      </c>
      <c r="K93">
        <v>100000</v>
      </c>
      <c r="L93" s="2">
        <v>45868</v>
      </c>
    </row>
    <row r="94" spans="1:12">
      <c r="A94" t="s">
        <v>205</v>
      </c>
      <c r="B94" t="s">
        <v>79</v>
      </c>
      <c r="C94" t="s">
        <v>19</v>
      </c>
      <c r="D94" t="s">
        <v>36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>
        <v>0.82809999999999995</v>
      </c>
      <c r="K94">
        <v>85000</v>
      </c>
      <c r="L94" s="2">
        <v>45549</v>
      </c>
    </row>
    <row r="95" spans="1:12">
      <c r="A95" t="s">
        <v>206</v>
      </c>
      <c r="B95" t="s">
        <v>207</v>
      </c>
      <c r="C95" t="s">
        <v>14</v>
      </c>
      <c r="D95" t="s">
        <v>32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>
        <v>0.73799999999999999</v>
      </c>
      <c r="K95">
        <v>85000</v>
      </c>
      <c r="L95" s="2">
        <v>45627</v>
      </c>
    </row>
    <row r="96" spans="1:12">
      <c r="A96" t="s">
        <v>208</v>
      </c>
      <c r="B96" t="s">
        <v>96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>
        <v>0.88939999999999997</v>
      </c>
      <c r="K96">
        <v>100000</v>
      </c>
      <c r="L96" s="2">
        <v>45681</v>
      </c>
    </row>
    <row r="97" spans="1:12">
      <c r="A97" t="s">
        <v>209</v>
      </c>
      <c r="B97" t="s">
        <v>210</v>
      </c>
      <c r="C97" t="s">
        <v>14</v>
      </c>
      <c r="D97" t="s">
        <v>32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>
        <v>0.83150000000000002</v>
      </c>
      <c r="K97">
        <v>80000</v>
      </c>
      <c r="L97" s="2">
        <v>45572</v>
      </c>
    </row>
    <row r="98" spans="1:12">
      <c r="A98" t="s">
        <v>211</v>
      </c>
      <c r="B98" t="s">
        <v>13</v>
      </c>
      <c r="C98" t="s">
        <v>14</v>
      </c>
      <c r="D98" t="s">
        <v>32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>
        <v>0.92949999999999999</v>
      </c>
      <c r="K98">
        <v>85000</v>
      </c>
      <c r="L98" s="2">
        <v>46044</v>
      </c>
    </row>
    <row r="99" spans="1:12">
      <c r="A99" t="s">
        <v>212</v>
      </c>
      <c r="B99" t="s">
        <v>213</v>
      </c>
      <c r="C99" t="s">
        <v>19</v>
      </c>
      <c r="D99" t="s">
        <v>28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>
        <v>0.94189999999999996</v>
      </c>
      <c r="K99">
        <v>50000</v>
      </c>
      <c r="L99" s="2">
        <v>46197</v>
      </c>
    </row>
    <row r="100" spans="1:12">
      <c r="A100" t="s">
        <v>214</v>
      </c>
      <c r="B100" t="s">
        <v>104</v>
      </c>
      <c r="C100" t="s">
        <v>19</v>
      </c>
      <c r="D100" t="s">
        <v>20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>
        <v>0.92549999999999999</v>
      </c>
      <c r="K100">
        <v>120000</v>
      </c>
      <c r="L100" s="2">
        <v>46225</v>
      </c>
    </row>
    <row r="101" spans="1:12">
      <c r="A101" t="s">
        <v>215</v>
      </c>
      <c r="B101" t="s">
        <v>216</v>
      </c>
      <c r="C101" t="s">
        <v>14</v>
      </c>
      <c r="D101" t="s">
        <v>15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>
        <v>0.78510000000000002</v>
      </c>
      <c r="K101">
        <v>60000</v>
      </c>
      <c r="L101" s="2">
        <v>45722</v>
      </c>
    </row>
    <row r="102" spans="1:12">
      <c r="A102" t="s">
        <v>217</v>
      </c>
      <c r="B102" t="s">
        <v>218</v>
      </c>
      <c r="C102" t="s">
        <v>19</v>
      </c>
      <c r="D102" t="s">
        <v>53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>
        <v>0.80259999999999998</v>
      </c>
      <c r="K102">
        <v>120000</v>
      </c>
      <c r="L102" s="2">
        <v>46088</v>
      </c>
    </row>
    <row r="103" spans="1:12">
      <c r="A103" t="s">
        <v>219</v>
      </c>
      <c r="B103" t="s">
        <v>220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>
        <v>0.79849999999999999</v>
      </c>
      <c r="K103">
        <v>110000</v>
      </c>
      <c r="L103" s="2">
        <v>45888</v>
      </c>
    </row>
    <row r="104" spans="1:12">
      <c r="A104" t="s">
        <v>221</v>
      </c>
      <c r="B104" t="s">
        <v>31</v>
      </c>
      <c r="C104" t="s">
        <v>19</v>
      </c>
      <c r="D104" t="s">
        <v>53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>
        <v>0.62409999999999999</v>
      </c>
      <c r="K104">
        <v>130000</v>
      </c>
      <c r="L104" s="2">
        <v>45568</v>
      </c>
    </row>
    <row r="105" spans="1:12">
      <c r="A105" t="s">
        <v>222</v>
      </c>
      <c r="B105" t="s">
        <v>178</v>
      </c>
      <c r="C105" t="s">
        <v>14</v>
      </c>
      <c r="D105" t="s">
        <v>36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>
        <v>0.90580000000000005</v>
      </c>
      <c r="K105">
        <v>50000</v>
      </c>
      <c r="L105" s="2">
        <v>45599</v>
      </c>
    </row>
    <row r="106" spans="1:12">
      <c r="A106" t="s">
        <v>223</v>
      </c>
      <c r="B106" t="s">
        <v>224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>
        <v>0.6411</v>
      </c>
      <c r="K106">
        <v>70000</v>
      </c>
      <c r="L106" s="2">
        <v>45919</v>
      </c>
    </row>
    <row r="107" spans="1:12">
      <c r="A107" t="s">
        <v>225</v>
      </c>
      <c r="B107" t="s">
        <v>226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>
        <v>0.89759999999999995</v>
      </c>
      <c r="K107">
        <v>50000</v>
      </c>
      <c r="L107" s="2">
        <v>45832</v>
      </c>
    </row>
    <row r="108" spans="1:12">
      <c r="A108" t="s">
        <v>227</v>
      </c>
      <c r="B108" t="s">
        <v>191</v>
      </c>
      <c r="C108" t="s">
        <v>19</v>
      </c>
      <c r="D108" t="s">
        <v>53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>
        <v>0.85189999999999999</v>
      </c>
      <c r="K108">
        <v>80000</v>
      </c>
      <c r="L108" s="2">
        <v>45541</v>
      </c>
    </row>
    <row r="109" spans="1:12">
      <c r="A109" t="s">
        <v>228</v>
      </c>
      <c r="B109" t="s">
        <v>229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>
        <v>0.79859999999999998</v>
      </c>
      <c r="K109">
        <v>120000</v>
      </c>
      <c r="L109" s="2">
        <v>46187</v>
      </c>
    </row>
    <row r="110" spans="1:12">
      <c r="A110" t="s">
        <v>230</v>
      </c>
      <c r="B110" t="s">
        <v>231</v>
      </c>
      <c r="C110" t="s">
        <v>14</v>
      </c>
      <c r="D110" t="s">
        <v>36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>
        <v>0.98750000000000004</v>
      </c>
      <c r="K110">
        <v>110000</v>
      </c>
      <c r="L110" s="2">
        <v>46047</v>
      </c>
    </row>
    <row r="111" spans="1:12">
      <c r="A111" t="s">
        <v>232</v>
      </c>
      <c r="B111" t="s">
        <v>233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>
        <v>0.8972</v>
      </c>
      <c r="K111">
        <v>100000</v>
      </c>
      <c r="L111" s="2">
        <v>45887</v>
      </c>
    </row>
    <row r="112" spans="1:12">
      <c r="A112" t="s">
        <v>234</v>
      </c>
      <c r="B112" t="s">
        <v>235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>
        <v>0.88100000000000001</v>
      </c>
      <c r="K112">
        <v>120000</v>
      </c>
      <c r="L112" s="2">
        <v>46226</v>
      </c>
    </row>
    <row r="113" spans="1:12">
      <c r="A113" t="s">
        <v>236</v>
      </c>
      <c r="B113" t="s">
        <v>237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>
        <v>0.89270000000000005</v>
      </c>
      <c r="K113">
        <v>50000</v>
      </c>
      <c r="L113" s="2">
        <v>46215</v>
      </c>
    </row>
    <row r="114" spans="1:12">
      <c r="A114" t="s">
        <v>238</v>
      </c>
      <c r="B114" t="s">
        <v>239</v>
      </c>
      <c r="C114" t="s">
        <v>19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>
        <v>0.84499999999999997</v>
      </c>
      <c r="K114">
        <v>110000</v>
      </c>
      <c r="L114" s="2">
        <v>46217</v>
      </c>
    </row>
    <row r="115" spans="1:12">
      <c r="A115" t="s">
        <v>240</v>
      </c>
      <c r="B115" t="s">
        <v>241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>
        <v>0.80830000000000002</v>
      </c>
      <c r="K115">
        <v>75000</v>
      </c>
      <c r="L115" s="2">
        <v>45717</v>
      </c>
    </row>
    <row r="116" spans="1:12">
      <c r="A116" t="s">
        <v>242</v>
      </c>
      <c r="B116" t="s">
        <v>243</v>
      </c>
      <c r="C116" t="s">
        <v>19</v>
      </c>
      <c r="D116" t="s">
        <v>53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>
        <v>0.55089999999999995</v>
      </c>
      <c r="K116">
        <v>100000</v>
      </c>
      <c r="L116" s="2">
        <v>46152</v>
      </c>
    </row>
    <row r="117" spans="1:12">
      <c r="A117" t="s">
        <v>244</v>
      </c>
      <c r="B117" t="s">
        <v>173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>
        <v>0.91290000000000004</v>
      </c>
      <c r="K117">
        <v>110000</v>
      </c>
      <c r="L117" s="2">
        <v>45889</v>
      </c>
    </row>
    <row r="118" spans="1:12">
      <c r="A118" t="s">
        <v>245</v>
      </c>
      <c r="B118" t="s">
        <v>246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>
        <v>0.66739999999999999</v>
      </c>
      <c r="K118">
        <v>100000</v>
      </c>
      <c r="L118" s="2">
        <v>46044</v>
      </c>
    </row>
    <row r="119" spans="1:12">
      <c r="A119" t="s">
        <v>247</v>
      </c>
      <c r="B119" t="s">
        <v>248</v>
      </c>
      <c r="C119" t="s">
        <v>14</v>
      </c>
      <c r="D119" t="s">
        <v>53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>
        <v>0.94169999999999998</v>
      </c>
      <c r="K119">
        <v>80000</v>
      </c>
      <c r="L119" s="2">
        <v>46137</v>
      </c>
    </row>
    <row r="120" spans="1:12">
      <c r="A120" t="s">
        <v>249</v>
      </c>
      <c r="B120" t="s">
        <v>100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>
        <v>0.82340000000000002</v>
      </c>
      <c r="K120">
        <v>90000</v>
      </c>
      <c r="L120" s="2">
        <v>45650</v>
      </c>
    </row>
    <row r="121" spans="1:12">
      <c r="A121" t="s">
        <v>250</v>
      </c>
      <c r="B121" t="s">
        <v>251</v>
      </c>
      <c r="C121" t="s">
        <v>14</v>
      </c>
      <c r="D121" t="s">
        <v>36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>
        <v>0.77759999999999996</v>
      </c>
      <c r="K121">
        <v>85000</v>
      </c>
      <c r="L121" s="2">
        <v>45849</v>
      </c>
    </row>
    <row r="122" spans="1:12">
      <c r="A122" t="s">
        <v>252</v>
      </c>
      <c r="B122" t="s">
        <v>253</v>
      </c>
      <c r="C122" t="s">
        <v>14</v>
      </c>
      <c r="D122" t="s">
        <v>53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>
        <v>0.87290000000000001</v>
      </c>
      <c r="K122">
        <v>90000</v>
      </c>
      <c r="L122" s="2">
        <v>45626</v>
      </c>
    </row>
    <row r="123" spans="1:12">
      <c r="A123" t="s">
        <v>254</v>
      </c>
      <c r="B123" t="s">
        <v>71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>
        <v>0.83599999999999997</v>
      </c>
      <c r="K123">
        <v>85000</v>
      </c>
      <c r="L123" s="2">
        <v>45731</v>
      </c>
    </row>
    <row r="124" spans="1:12">
      <c r="A124" t="s">
        <v>255</v>
      </c>
      <c r="B124" t="s">
        <v>256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>
        <v>0.8034</v>
      </c>
      <c r="K124">
        <v>80000</v>
      </c>
      <c r="L124" s="2">
        <v>45825</v>
      </c>
    </row>
    <row r="125" spans="1:12">
      <c r="A125" t="s">
        <v>257</v>
      </c>
      <c r="B125" t="s">
        <v>258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>
        <v>0.70330000000000004</v>
      </c>
      <c r="K125">
        <v>70000</v>
      </c>
      <c r="L125" s="2">
        <v>46134</v>
      </c>
    </row>
    <row r="126" spans="1:12">
      <c r="A126" t="s">
        <v>259</v>
      </c>
      <c r="B126" t="s">
        <v>260</v>
      </c>
      <c r="C126" t="s">
        <v>19</v>
      </c>
      <c r="D126" t="s">
        <v>53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>
        <v>0.77380000000000004</v>
      </c>
      <c r="K126">
        <v>80000</v>
      </c>
      <c r="L126" s="2">
        <v>46139</v>
      </c>
    </row>
    <row r="127" spans="1:12">
      <c r="A127" t="s">
        <v>261</v>
      </c>
      <c r="B127" t="s">
        <v>262</v>
      </c>
      <c r="C127" t="s">
        <v>19</v>
      </c>
      <c r="D127" t="s">
        <v>36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>
        <v>0.82779999999999998</v>
      </c>
      <c r="K127">
        <v>100000</v>
      </c>
      <c r="L127" s="2">
        <v>45808</v>
      </c>
    </row>
    <row r="128" spans="1:12">
      <c r="A128" t="s">
        <v>263</v>
      </c>
      <c r="B128" t="s">
        <v>264</v>
      </c>
      <c r="C128" t="s">
        <v>14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>
        <v>0.83150000000000002</v>
      </c>
      <c r="K128">
        <v>120000</v>
      </c>
      <c r="L128" s="2">
        <v>45766</v>
      </c>
    </row>
    <row r="129" spans="1:12">
      <c r="A129" t="s">
        <v>265</v>
      </c>
      <c r="B129" t="s">
        <v>123</v>
      </c>
      <c r="C129" t="s">
        <v>19</v>
      </c>
      <c r="D129" t="s">
        <v>36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>
        <v>0.89610000000000001</v>
      </c>
      <c r="K129">
        <v>60000</v>
      </c>
      <c r="L129" s="2">
        <v>45907</v>
      </c>
    </row>
    <row r="130" spans="1:12">
      <c r="A130" t="s">
        <v>266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>
        <v>0.75839999999999996</v>
      </c>
      <c r="K130">
        <v>70000</v>
      </c>
      <c r="L130" s="2">
        <v>46174</v>
      </c>
    </row>
    <row r="131" spans="1:12">
      <c r="A131" t="s">
        <v>267</v>
      </c>
      <c r="B131" t="s">
        <v>268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>
        <v>0.76829999999999998</v>
      </c>
      <c r="K131">
        <v>85000</v>
      </c>
      <c r="L131" s="2">
        <v>46219</v>
      </c>
    </row>
    <row r="132" spans="1:12">
      <c r="A132" t="s">
        <v>269</v>
      </c>
      <c r="B132" t="s">
        <v>270</v>
      </c>
      <c r="C132" t="s">
        <v>19</v>
      </c>
      <c r="D132" t="s">
        <v>53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>
        <v>0.56440000000000001</v>
      </c>
      <c r="K132">
        <v>100000</v>
      </c>
      <c r="L132" s="2">
        <v>45694</v>
      </c>
    </row>
    <row r="133" spans="1:12">
      <c r="A133" t="s">
        <v>271</v>
      </c>
      <c r="B133" t="s">
        <v>272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>
        <v>0.71589999999999998</v>
      </c>
      <c r="K133">
        <v>60000</v>
      </c>
      <c r="L133" s="2">
        <v>45666</v>
      </c>
    </row>
    <row r="134" spans="1:12">
      <c r="A134" t="s">
        <v>273</v>
      </c>
      <c r="B134" t="s">
        <v>274</v>
      </c>
      <c r="C134" t="s">
        <v>14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>
        <v>0.58899999999999997</v>
      </c>
      <c r="K134">
        <v>75000</v>
      </c>
      <c r="L134" s="2">
        <v>46030</v>
      </c>
    </row>
    <row r="135" spans="1:12">
      <c r="A135" t="s">
        <v>275</v>
      </c>
      <c r="B135" t="s">
        <v>18</v>
      </c>
      <c r="C135" t="s">
        <v>19</v>
      </c>
      <c r="D135" t="s">
        <v>28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>
        <v>0.81699999999999995</v>
      </c>
      <c r="K135">
        <v>50000</v>
      </c>
      <c r="L135" s="2">
        <v>45746</v>
      </c>
    </row>
    <row r="136" spans="1:12">
      <c r="A136" t="s">
        <v>276</v>
      </c>
      <c r="B136" t="s">
        <v>125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>
        <v>0.95309999999999995</v>
      </c>
      <c r="K136">
        <v>50000</v>
      </c>
      <c r="L136" s="2">
        <v>45675</v>
      </c>
    </row>
    <row r="137" spans="1:12">
      <c r="A137" t="s">
        <v>277</v>
      </c>
      <c r="B137" t="s">
        <v>278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>
        <v>0.94479999999999997</v>
      </c>
      <c r="K137">
        <v>60000</v>
      </c>
      <c r="L137" s="2">
        <v>45557</v>
      </c>
    </row>
    <row r="138" spans="1:12">
      <c r="A138" t="s">
        <v>279</v>
      </c>
      <c r="B138" t="s">
        <v>280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>
        <v>0.93310000000000004</v>
      </c>
      <c r="K138">
        <v>110000</v>
      </c>
      <c r="L138" s="2">
        <v>45818</v>
      </c>
    </row>
    <row r="139" spans="1:12">
      <c r="A139" t="s">
        <v>281</v>
      </c>
      <c r="B139" t="s">
        <v>115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>
        <v>0.79290000000000005</v>
      </c>
      <c r="K139">
        <v>120000</v>
      </c>
      <c r="L139" s="2">
        <v>45810</v>
      </c>
    </row>
    <row r="140" spans="1:12">
      <c r="A140" t="s">
        <v>282</v>
      </c>
      <c r="B140" t="s">
        <v>283</v>
      </c>
      <c r="C140" t="s">
        <v>14</v>
      </c>
      <c r="D140" t="s">
        <v>32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>
        <v>0.83130000000000004</v>
      </c>
      <c r="K140">
        <v>85000</v>
      </c>
      <c r="L140" s="2">
        <v>45930</v>
      </c>
    </row>
    <row r="141" spans="1:12">
      <c r="A141" t="s">
        <v>284</v>
      </c>
      <c r="B141" t="s">
        <v>285</v>
      </c>
      <c r="C141" t="s">
        <v>14</v>
      </c>
      <c r="D141" t="s">
        <v>53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>
        <v>0.95430000000000004</v>
      </c>
      <c r="K141">
        <v>60000</v>
      </c>
      <c r="L141" s="2">
        <v>45676</v>
      </c>
    </row>
    <row r="142" spans="1:12">
      <c r="A142" t="s">
        <v>286</v>
      </c>
      <c r="B142" t="s">
        <v>260</v>
      </c>
      <c r="C142" t="s">
        <v>19</v>
      </c>
      <c r="D142" t="s">
        <v>32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>
        <v>0.80449999999999999</v>
      </c>
      <c r="K142">
        <v>130000</v>
      </c>
      <c r="L142" s="2">
        <v>46036</v>
      </c>
    </row>
    <row r="143" spans="1:12">
      <c r="A143" t="s">
        <v>287</v>
      </c>
      <c r="B143" t="s">
        <v>288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>
        <v>0.85609999999999997</v>
      </c>
      <c r="K143">
        <v>75000</v>
      </c>
      <c r="L143" s="2">
        <v>46012</v>
      </c>
    </row>
    <row r="144" spans="1:12">
      <c r="A144" t="s">
        <v>289</v>
      </c>
      <c r="B144" t="s">
        <v>196</v>
      </c>
      <c r="C144" t="s">
        <v>14</v>
      </c>
      <c r="D144" t="s">
        <v>32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>
        <v>0.76539999999999997</v>
      </c>
      <c r="K144">
        <v>60000</v>
      </c>
      <c r="L144" s="2">
        <v>45859</v>
      </c>
    </row>
    <row r="145" spans="1:12">
      <c r="A145" t="s">
        <v>290</v>
      </c>
      <c r="B145" t="s">
        <v>291</v>
      </c>
      <c r="C145" t="s">
        <v>14</v>
      </c>
      <c r="D145" t="s">
        <v>20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>
        <v>0.8982</v>
      </c>
      <c r="K145">
        <v>60000</v>
      </c>
      <c r="L145" s="2">
        <v>45662</v>
      </c>
    </row>
    <row r="146" spans="1:12">
      <c r="A146" t="s">
        <v>292</v>
      </c>
      <c r="B146" t="s">
        <v>63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>
        <v>0.72319999999999995</v>
      </c>
      <c r="K146">
        <v>75000</v>
      </c>
      <c r="L146" s="2">
        <v>45890</v>
      </c>
    </row>
    <row r="147" spans="1:12">
      <c r="A147" t="s">
        <v>293</v>
      </c>
      <c r="B147" t="s">
        <v>144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>
        <v>0.91400000000000003</v>
      </c>
      <c r="K147">
        <v>110000</v>
      </c>
      <c r="L147" s="2">
        <v>46008</v>
      </c>
    </row>
    <row r="148" spans="1:12">
      <c r="A148" t="s">
        <v>294</v>
      </c>
      <c r="B148" t="s">
        <v>295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>
        <v>0.81269999999999998</v>
      </c>
      <c r="K148">
        <v>80000</v>
      </c>
      <c r="L148" s="2">
        <v>45796</v>
      </c>
    </row>
    <row r="149" spans="1:12">
      <c r="A149" t="s">
        <v>296</v>
      </c>
      <c r="B149" t="s">
        <v>297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>
        <v>0.94320000000000004</v>
      </c>
      <c r="K149">
        <v>80000</v>
      </c>
      <c r="L149" s="2">
        <v>45720</v>
      </c>
    </row>
    <row r="150" spans="1:12">
      <c r="A150" t="s">
        <v>298</v>
      </c>
      <c r="B150" t="s">
        <v>272</v>
      </c>
      <c r="C150" t="s">
        <v>19</v>
      </c>
      <c r="D150" t="s">
        <v>36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>
        <v>0.70140000000000002</v>
      </c>
      <c r="K150">
        <v>75000</v>
      </c>
      <c r="L150" s="2">
        <v>45890</v>
      </c>
    </row>
    <row r="151" spans="1:12">
      <c r="A151" t="s">
        <v>299</v>
      </c>
      <c r="B151" t="s">
        <v>35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>
        <v>0.68049999999999999</v>
      </c>
      <c r="K151">
        <v>130000</v>
      </c>
      <c r="L151" s="2">
        <v>45784</v>
      </c>
    </row>
    <row r="152" spans="1:12">
      <c r="A152" t="s">
        <v>300</v>
      </c>
      <c r="B152" t="s">
        <v>301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>
        <v>0.81130000000000002</v>
      </c>
      <c r="K152">
        <v>100000</v>
      </c>
      <c r="L152" s="2">
        <v>45816</v>
      </c>
    </row>
    <row r="153" spans="1:12">
      <c r="A153" t="s">
        <v>302</v>
      </c>
      <c r="B153" t="s">
        <v>47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>
        <v>0.90129999999999999</v>
      </c>
      <c r="K153">
        <v>100000</v>
      </c>
      <c r="L153" s="2">
        <v>45780</v>
      </c>
    </row>
    <row r="154" spans="1:12">
      <c r="A154" t="s">
        <v>303</v>
      </c>
      <c r="B154" t="s">
        <v>180</v>
      </c>
      <c r="C154" t="s">
        <v>19</v>
      </c>
      <c r="D154" t="s">
        <v>20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>
        <v>0.74870000000000003</v>
      </c>
      <c r="K154">
        <v>80000</v>
      </c>
      <c r="L154" s="2">
        <v>45748</v>
      </c>
    </row>
    <row r="155" spans="1:12">
      <c r="A155" t="s">
        <v>304</v>
      </c>
      <c r="B155" t="s">
        <v>231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>
        <v>0.84219999999999995</v>
      </c>
      <c r="K155">
        <v>85000</v>
      </c>
      <c r="L155" s="2">
        <v>46037</v>
      </c>
    </row>
    <row r="156" spans="1:12">
      <c r="A156" t="s">
        <v>305</v>
      </c>
      <c r="B156" t="s">
        <v>288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>
        <v>0.71230000000000004</v>
      </c>
      <c r="K156">
        <v>120000</v>
      </c>
      <c r="L156" s="2">
        <v>45858</v>
      </c>
    </row>
    <row r="157" spans="1:12">
      <c r="A157" t="s">
        <v>306</v>
      </c>
      <c r="B157" t="s">
        <v>307</v>
      </c>
      <c r="C157" t="s">
        <v>19</v>
      </c>
      <c r="D157" t="s">
        <v>36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>
        <v>0.89759999999999995</v>
      </c>
      <c r="K157">
        <v>100000</v>
      </c>
      <c r="L157" s="2">
        <v>45862</v>
      </c>
    </row>
    <row r="158" spans="1:12">
      <c r="A158" t="s">
        <v>308</v>
      </c>
      <c r="B158" t="s">
        <v>152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>
        <v>0.92930000000000001</v>
      </c>
      <c r="K158">
        <v>110000</v>
      </c>
      <c r="L158" s="2">
        <v>45993</v>
      </c>
    </row>
    <row r="159" spans="1:12">
      <c r="A159" t="s">
        <v>309</v>
      </c>
      <c r="B159" t="s">
        <v>310</v>
      </c>
      <c r="C159" t="s">
        <v>19</v>
      </c>
      <c r="D159" t="s">
        <v>36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>
        <v>0.82089999999999996</v>
      </c>
      <c r="K159">
        <v>50000</v>
      </c>
      <c r="L159" s="2">
        <v>45788</v>
      </c>
    </row>
    <row r="160" spans="1:12">
      <c r="A160" t="s">
        <v>311</v>
      </c>
      <c r="B160" t="s">
        <v>224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>
        <v>0.6431</v>
      </c>
      <c r="K160">
        <v>120000</v>
      </c>
      <c r="L160" s="2">
        <v>45606</v>
      </c>
    </row>
    <row r="161" spans="1:12">
      <c r="A161" t="s">
        <v>312</v>
      </c>
      <c r="B161" t="s">
        <v>313</v>
      </c>
      <c r="C161" t="s">
        <v>19</v>
      </c>
      <c r="D161" t="s">
        <v>36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>
        <v>0.83650000000000002</v>
      </c>
      <c r="K161">
        <v>130000</v>
      </c>
      <c r="L161" s="2">
        <v>46132</v>
      </c>
    </row>
    <row r="162" spans="1:12">
      <c r="A162" t="s">
        <v>314</v>
      </c>
      <c r="B162" t="s">
        <v>315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>
        <v>0.91639999999999999</v>
      </c>
      <c r="K162">
        <v>100000</v>
      </c>
      <c r="L162" s="2">
        <v>45574</v>
      </c>
    </row>
    <row r="163" spans="1:12">
      <c r="A163" t="s">
        <v>316</v>
      </c>
      <c r="B163" t="s">
        <v>317</v>
      </c>
      <c r="C163" t="s">
        <v>19</v>
      </c>
      <c r="D163" t="s">
        <v>36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>
        <v>0.74680000000000002</v>
      </c>
      <c r="K163">
        <v>130000</v>
      </c>
      <c r="L163" s="2">
        <v>45936</v>
      </c>
    </row>
    <row r="164" spans="1:12">
      <c r="A164" t="s">
        <v>318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>
        <v>0.91080000000000005</v>
      </c>
      <c r="K164">
        <v>90000</v>
      </c>
      <c r="L164" s="2">
        <v>45722</v>
      </c>
    </row>
    <row r="165" spans="1:12">
      <c r="A165" t="s">
        <v>319</v>
      </c>
      <c r="B165" t="s">
        <v>320</v>
      </c>
      <c r="C165" t="s">
        <v>14</v>
      </c>
      <c r="D165" t="s">
        <v>36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>
        <v>0.9526</v>
      </c>
      <c r="K165">
        <v>75000</v>
      </c>
      <c r="L165" s="2">
        <v>45685</v>
      </c>
    </row>
    <row r="166" spans="1:12">
      <c r="A166" t="s">
        <v>321</v>
      </c>
      <c r="B166" t="s">
        <v>285</v>
      </c>
      <c r="C166" t="s">
        <v>14</v>
      </c>
      <c r="D166" t="s">
        <v>53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>
        <v>0.55000000000000004</v>
      </c>
      <c r="K166">
        <v>90000</v>
      </c>
      <c r="L166" s="2">
        <v>45565</v>
      </c>
    </row>
    <row r="167" spans="1:12">
      <c r="A167" t="s">
        <v>322</v>
      </c>
      <c r="B167" t="s">
        <v>323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>
        <v>0.86670000000000003</v>
      </c>
      <c r="K167">
        <v>90000</v>
      </c>
      <c r="L167" s="2">
        <v>46166</v>
      </c>
    </row>
    <row r="168" spans="1:12">
      <c r="A168" t="s">
        <v>324</v>
      </c>
      <c r="B168" t="s">
        <v>325</v>
      </c>
      <c r="C168" t="s">
        <v>14</v>
      </c>
      <c r="D168" t="s">
        <v>36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>
        <v>0.76029999999999998</v>
      </c>
      <c r="K168">
        <v>60000</v>
      </c>
      <c r="L168" s="2">
        <v>45836</v>
      </c>
    </row>
    <row r="169" spans="1:12">
      <c r="A169" t="s">
        <v>326</v>
      </c>
      <c r="B169" t="s">
        <v>88</v>
      </c>
      <c r="C169" t="s">
        <v>14</v>
      </c>
      <c r="D169" t="s">
        <v>53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>
        <v>0.93049999999999999</v>
      </c>
      <c r="K169">
        <v>70000</v>
      </c>
      <c r="L169" s="2">
        <v>45775</v>
      </c>
    </row>
    <row r="170" spans="1:12">
      <c r="A170" t="s">
        <v>327</v>
      </c>
      <c r="B170" t="s">
        <v>231</v>
      </c>
      <c r="C170" t="s">
        <v>14</v>
      </c>
      <c r="D170" t="s">
        <v>32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>
        <v>0.85829999999999995</v>
      </c>
      <c r="K170">
        <v>75000</v>
      </c>
      <c r="L170" s="2">
        <v>46054</v>
      </c>
    </row>
    <row r="171" spans="1:12">
      <c r="A171" t="s">
        <v>328</v>
      </c>
      <c r="B171" t="s">
        <v>329</v>
      </c>
      <c r="C171" t="s">
        <v>14</v>
      </c>
      <c r="D171" t="s">
        <v>53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>
        <v>0.8236</v>
      </c>
      <c r="K171">
        <v>90000</v>
      </c>
      <c r="L171" s="2">
        <v>45563</v>
      </c>
    </row>
    <row r="172" spans="1:12">
      <c r="A172" t="s">
        <v>330</v>
      </c>
      <c r="B172" t="s">
        <v>331</v>
      </c>
      <c r="C172" t="s">
        <v>14</v>
      </c>
      <c r="D172" t="s">
        <v>32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>
        <v>0.90839999999999999</v>
      </c>
      <c r="K172">
        <v>60000</v>
      </c>
      <c r="L172" s="2">
        <v>45931</v>
      </c>
    </row>
    <row r="173" spans="1:12">
      <c r="A173" t="s">
        <v>332</v>
      </c>
      <c r="B173" t="s">
        <v>161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>
        <v>0.91259999999999997</v>
      </c>
      <c r="K173">
        <v>110000</v>
      </c>
      <c r="L173" s="2">
        <v>45882</v>
      </c>
    </row>
    <row r="174" spans="1:12">
      <c r="A174" t="s">
        <v>333</v>
      </c>
      <c r="B174" t="s">
        <v>313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>
        <v>0.94269999999999998</v>
      </c>
      <c r="K174">
        <v>60000</v>
      </c>
      <c r="L174" s="2">
        <v>45923</v>
      </c>
    </row>
    <row r="175" spans="1:12">
      <c r="A175" t="s">
        <v>334</v>
      </c>
      <c r="B175" t="s">
        <v>119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>
        <v>0.85809999999999997</v>
      </c>
      <c r="K175">
        <v>130000</v>
      </c>
      <c r="L175" s="2">
        <v>45622</v>
      </c>
    </row>
    <row r="176" spans="1:12">
      <c r="A176" t="s">
        <v>335</v>
      </c>
      <c r="B176" t="s">
        <v>104</v>
      </c>
      <c r="C176" t="s">
        <v>19</v>
      </c>
      <c r="D176" t="s">
        <v>53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>
        <v>0.71509999999999996</v>
      </c>
      <c r="K176">
        <v>100000</v>
      </c>
      <c r="L176" s="2">
        <v>46202</v>
      </c>
    </row>
    <row r="177" spans="1:12">
      <c r="A177" t="s">
        <v>336</v>
      </c>
      <c r="B177" t="s">
        <v>337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>
        <v>0.93520000000000003</v>
      </c>
      <c r="K177">
        <v>75000</v>
      </c>
      <c r="L177" s="2">
        <v>45702</v>
      </c>
    </row>
    <row r="178" spans="1:12">
      <c r="A178" t="s">
        <v>338</v>
      </c>
      <c r="B178" t="s">
        <v>146</v>
      </c>
      <c r="C178" t="s">
        <v>19</v>
      </c>
      <c r="D178" t="s">
        <v>36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>
        <v>0.83160000000000001</v>
      </c>
      <c r="K178">
        <v>80000</v>
      </c>
      <c r="L178" s="2">
        <v>46010</v>
      </c>
    </row>
    <row r="179" spans="1:12">
      <c r="A179" t="s">
        <v>339</v>
      </c>
      <c r="B179" t="s">
        <v>340</v>
      </c>
      <c r="C179" t="s">
        <v>14</v>
      </c>
      <c r="D179" t="s">
        <v>36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>
        <v>0.91769999999999996</v>
      </c>
      <c r="K179">
        <v>100000</v>
      </c>
      <c r="L179" s="2">
        <v>46058</v>
      </c>
    </row>
    <row r="180" spans="1:12">
      <c r="A180" t="s">
        <v>341</v>
      </c>
      <c r="B180" t="s">
        <v>342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>
        <v>0.77470000000000006</v>
      </c>
      <c r="K180">
        <v>50000</v>
      </c>
      <c r="L180" s="2">
        <v>45776</v>
      </c>
    </row>
    <row r="181" spans="1:12">
      <c r="A181" t="s">
        <v>343</v>
      </c>
      <c r="B181" t="s">
        <v>344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>
        <v>0.74880000000000002</v>
      </c>
      <c r="K181">
        <v>100000</v>
      </c>
      <c r="L181" s="2">
        <v>45627</v>
      </c>
    </row>
    <row r="182" spans="1:12">
      <c r="A182" t="s">
        <v>345</v>
      </c>
      <c r="B182" t="s">
        <v>346</v>
      </c>
      <c r="C182" t="s">
        <v>19</v>
      </c>
      <c r="D182" t="s">
        <v>53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>
        <v>0.74060000000000004</v>
      </c>
      <c r="K182">
        <v>90000</v>
      </c>
      <c r="L182" s="2">
        <v>45743</v>
      </c>
    </row>
    <row r="183" spans="1:12">
      <c r="A183" t="s">
        <v>347</v>
      </c>
      <c r="B183" t="s">
        <v>231</v>
      </c>
      <c r="C183" t="s">
        <v>14</v>
      </c>
      <c r="D183" t="s">
        <v>36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>
        <v>0.88170000000000004</v>
      </c>
      <c r="K183">
        <v>70000</v>
      </c>
      <c r="L183" s="2">
        <v>46100</v>
      </c>
    </row>
    <row r="184" spans="1:12">
      <c r="A184" t="s">
        <v>348</v>
      </c>
      <c r="B184" t="s">
        <v>235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>
        <v>0.83099999999999996</v>
      </c>
      <c r="K184">
        <v>120000</v>
      </c>
      <c r="L184" s="2">
        <v>46170</v>
      </c>
    </row>
    <row r="185" spans="1:12">
      <c r="A185" t="s">
        <v>349</v>
      </c>
      <c r="B185" t="s">
        <v>270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>
        <v>0.90920000000000001</v>
      </c>
      <c r="K185">
        <v>90000</v>
      </c>
      <c r="L185" s="2">
        <v>46191</v>
      </c>
    </row>
    <row r="186" spans="1:12">
      <c r="A186" t="s">
        <v>350</v>
      </c>
      <c r="B186" t="s">
        <v>351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>
        <v>0.89990000000000003</v>
      </c>
      <c r="K186">
        <v>60000</v>
      </c>
      <c r="L186" s="2">
        <v>45694</v>
      </c>
    </row>
    <row r="187" spans="1:12">
      <c r="A187" t="s">
        <v>352</v>
      </c>
      <c r="B187" t="s">
        <v>115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>
        <v>0.77890000000000004</v>
      </c>
      <c r="K187">
        <v>100000</v>
      </c>
      <c r="L187" s="2">
        <v>45960</v>
      </c>
    </row>
    <row r="188" spans="1:12">
      <c r="A188" t="s">
        <v>353</v>
      </c>
      <c r="B188" t="s">
        <v>354</v>
      </c>
      <c r="C188" t="s">
        <v>14</v>
      </c>
      <c r="D188" t="s">
        <v>53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>
        <v>0.77200000000000002</v>
      </c>
      <c r="K188">
        <v>80000</v>
      </c>
      <c r="L188" s="2">
        <v>45641</v>
      </c>
    </row>
    <row r="189" spans="1:12">
      <c r="A189" t="s">
        <v>355</v>
      </c>
      <c r="B189" t="s">
        <v>47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>
        <v>0.83209999999999995</v>
      </c>
      <c r="K189">
        <v>110000</v>
      </c>
      <c r="L189" s="2">
        <v>46033</v>
      </c>
    </row>
    <row r="190" spans="1:12">
      <c r="A190" t="s">
        <v>356</v>
      </c>
      <c r="B190" t="s">
        <v>357</v>
      </c>
      <c r="C190" t="s">
        <v>14</v>
      </c>
      <c r="D190" t="s">
        <v>28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>
        <v>0.90059999999999996</v>
      </c>
      <c r="K190">
        <v>85000</v>
      </c>
      <c r="L190" s="2">
        <v>45827</v>
      </c>
    </row>
    <row r="191" spans="1:12">
      <c r="A191" t="s">
        <v>358</v>
      </c>
      <c r="B191" t="s">
        <v>359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>
        <v>0.96360000000000001</v>
      </c>
      <c r="K191">
        <v>130000</v>
      </c>
      <c r="L191" s="2">
        <v>46035</v>
      </c>
    </row>
    <row r="192" spans="1:12">
      <c r="A192" t="s">
        <v>360</v>
      </c>
      <c r="B192" t="s">
        <v>270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>
        <v>0.6754</v>
      </c>
      <c r="K192">
        <v>130000</v>
      </c>
      <c r="L192" s="2">
        <v>46015</v>
      </c>
    </row>
    <row r="193" spans="1:12">
      <c r="A193" t="s">
        <v>361</v>
      </c>
      <c r="B193" t="s">
        <v>362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>
        <v>0.97640000000000005</v>
      </c>
      <c r="K193">
        <v>50000</v>
      </c>
      <c r="L193" s="2">
        <v>46230</v>
      </c>
    </row>
    <row r="194" spans="1:12">
      <c r="A194" t="s">
        <v>363</v>
      </c>
      <c r="B194" t="s">
        <v>127</v>
      </c>
      <c r="C194" t="s">
        <v>19</v>
      </c>
      <c r="D194" t="s">
        <v>15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>
        <v>0.91849999999999998</v>
      </c>
      <c r="K194">
        <v>80000</v>
      </c>
      <c r="L194" s="2">
        <v>45878</v>
      </c>
    </row>
    <row r="195" spans="1:12">
      <c r="A195" t="s">
        <v>364</v>
      </c>
      <c r="B195" t="s">
        <v>100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>
        <v>0.72919999999999996</v>
      </c>
      <c r="K195">
        <v>70000</v>
      </c>
      <c r="L195" s="2">
        <v>45775</v>
      </c>
    </row>
    <row r="196" spans="1:12">
      <c r="A196" t="s">
        <v>365</v>
      </c>
      <c r="B196" t="s">
        <v>366</v>
      </c>
      <c r="C196" t="s">
        <v>19</v>
      </c>
      <c r="D196" t="s">
        <v>53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>
        <v>0.76680000000000004</v>
      </c>
      <c r="K196">
        <v>80000</v>
      </c>
      <c r="L196" s="2">
        <v>45904</v>
      </c>
    </row>
    <row r="197" spans="1:12">
      <c r="A197" t="s">
        <v>367</v>
      </c>
      <c r="B197" t="s">
        <v>331</v>
      </c>
      <c r="C197" t="s">
        <v>14</v>
      </c>
      <c r="D197" t="s">
        <v>36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>
        <v>0.74980000000000002</v>
      </c>
      <c r="K197">
        <v>60000</v>
      </c>
      <c r="L197" s="2">
        <v>45649</v>
      </c>
    </row>
    <row r="198" spans="1:12">
      <c r="A198" t="s">
        <v>368</v>
      </c>
      <c r="B198" t="s">
        <v>283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>
        <v>0.8337</v>
      </c>
      <c r="K198">
        <v>85000</v>
      </c>
      <c r="L198" s="2">
        <v>45614</v>
      </c>
    </row>
    <row r="199" spans="1:12">
      <c r="A199" t="s">
        <v>369</v>
      </c>
      <c r="B199" t="s">
        <v>370</v>
      </c>
      <c r="C199" t="s">
        <v>14</v>
      </c>
      <c r="D199" t="s">
        <v>32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>
        <v>0.94599999999999995</v>
      </c>
      <c r="K199">
        <v>60000</v>
      </c>
      <c r="L199" s="2">
        <v>45899</v>
      </c>
    </row>
    <row r="200" spans="1:12">
      <c r="A200" t="s">
        <v>371</v>
      </c>
      <c r="B200" t="s">
        <v>372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>
        <v>0.93899999999999995</v>
      </c>
      <c r="K200">
        <v>90000</v>
      </c>
      <c r="L200" s="2">
        <v>46113</v>
      </c>
    </row>
    <row r="201" spans="1:12">
      <c r="A201" t="s">
        <v>373</v>
      </c>
      <c r="B201" t="s">
        <v>272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>
        <v>0.61180000000000001</v>
      </c>
      <c r="K201">
        <v>80000</v>
      </c>
      <c r="L201" s="2">
        <v>45909</v>
      </c>
    </row>
    <row r="202" spans="1:12">
      <c r="A202" t="s">
        <v>374</v>
      </c>
      <c r="B202" t="s">
        <v>194</v>
      </c>
      <c r="C202" t="s">
        <v>14</v>
      </c>
      <c r="D202" t="s">
        <v>15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>
        <v>0.67989999999999995</v>
      </c>
      <c r="K202">
        <v>130000</v>
      </c>
      <c r="L202" s="2">
        <v>46083</v>
      </c>
    </row>
    <row r="203" spans="1:12">
      <c r="A203" t="s">
        <v>375</v>
      </c>
      <c r="B203" t="s">
        <v>376</v>
      </c>
      <c r="C203" t="s">
        <v>19</v>
      </c>
      <c r="D203" t="s">
        <v>20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>
        <v>0.74199999999999999</v>
      </c>
      <c r="K203">
        <v>120000</v>
      </c>
      <c r="L203" s="2">
        <v>45660</v>
      </c>
    </row>
    <row r="204" spans="1:12">
      <c r="A204" t="s">
        <v>377</v>
      </c>
      <c r="B204" t="s">
        <v>378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>
        <v>0.77929999999999999</v>
      </c>
      <c r="K204">
        <v>90000</v>
      </c>
      <c r="L204" s="2">
        <v>45850</v>
      </c>
    </row>
    <row r="205" spans="1:12">
      <c r="A205" t="s">
        <v>379</v>
      </c>
      <c r="B205" t="s">
        <v>380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>
        <v>0.89129999999999998</v>
      </c>
      <c r="K205">
        <v>80000</v>
      </c>
      <c r="L205" s="2">
        <v>45965</v>
      </c>
    </row>
    <row r="206" spans="1:12">
      <c r="A206" t="s">
        <v>381</v>
      </c>
      <c r="B206" t="s">
        <v>382</v>
      </c>
      <c r="C206" t="s">
        <v>14</v>
      </c>
      <c r="D206" t="s">
        <v>53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>
        <v>0.57250000000000001</v>
      </c>
      <c r="K206">
        <v>100000</v>
      </c>
      <c r="L206" s="2">
        <v>45779</v>
      </c>
    </row>
    <row r="207" spans="1:12">
      <c r="A207" t="s">
        <v>383</v>
      </c>
      <c r="B207" t="s">
        <v>378</v>
      </c>
      <c r="C207" t="s">
        <v>14</v>
      </c>
      <c r="D207" t="s">
        <v>15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>
        <v>0.86299999999999999</v>
      </c>
      <c r="K207">
        <v>100000</v>
      </c>
      <c r="L207" s="2">
        <v>45545</v>
      </c>
    </row>
    <row r="208" spans="1:12">
      <c r="A208" t="s">
        <v>384</v>
      </c>
      <c r="B208" t="s">
        <v>129</v>
      </c>
      <c r="C208" t="s">
        <v>19</v>
      </c>
      <c r="D208" t="s">
        <v>15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>
        <v>0.97829999999999995</v>
      </c>
      <c r="K208">
        <v>60000</v>
      </c>
      <c r="L208" s="2">
        <v>45587</v>
      </c>
    </row>
    <row r="209" spans="1:12">
      <c r="A209" t="s">
        <v>385</v>
      </c>
      <c r="B209" t="s">
        <v>386</v>
      </c>
      <c r="C209" t="s">
        <v>19</v>
      </c>
      <c r="D209" t="s">
        <v>28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>
        <v>0.98960000000000004</v>
      </c>
      <c r="K209">
        <v>80000</v>
      </c>
      <c r="L209" s="2">
        <v>46185</v>
      </c>
    </row>
    <row r="210" spans="1:12">
      <c r="A210" t="s">
        <v>387</v>
      </c>
      <c r="B210" t="s">
        <v>388</v>
      </c>
      <c r="C210" t="s">
        <v>14</v>
      </c>
      <c r="D210" t="s">
        <v>53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>
        <v>0.90839999999999999</v>
      </c>
      <c r="K210">
        <v>130000</v>
      </c>
      <c r="L210" s="2">
        <v>45959</v>
      </c>
    </row>
    <row r="211" spans="1:12">
      <c r="A211" t="s">
        <v>389</v>
      </c>
      <c r="B211" t="s">
        <v>31</v>
      </c>
      <c r="C211" t="s">
        <v>19</v>
      </c>
      <c r="D211" t="s">
        <v>53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>
        <v>0.64800000000000002</v>
      </c>
      <c r="K211">
        <v>75000</v>
      </c>
      <c r="L211" s="2">
        <v>45721</v>
      </c>
    </row>
    <row r="212" spans="1:12">
      <c r="A212" t="s">
        <v>390</v>
      </c>
      <c r="B212" t="s">
        <v>161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>
        <v>0.79520000000000002</v>
      </c>
      <c r="K212">
        <v>50000</v>
      </c>
      <c r="L212" s="2">
        <v>45717</v>
      </c>
    </row>
    <row r="213" spans="1:12">
      <c r="A213" t="s">
        <v>391</v>
      </c>
      <c r="B213" t="s">
        <v>392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>
        <v>0.76449999999999996</v>
      </c>
      <c r="K213">
        <v>120000</v>
      </c>
      <c r="L213" s="2">
        <v>45563</v>
      </c>
    </row>
    <row r="214" spans="1:12">
      <c r="A214" t="s">
        <v>393</v>
      </c>
      <c r="B214" t="s">
        <v>113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>
        <v>0.84589999999999999</v>
      </c>
      <c r="K214">
        <v>130000</v>
      </c>
      <c r="L214" s="2">
        <v>46197</v>
      </c>
    </row>
    <row r="215" spans="1:12">
      <c r="A215" t="s">
        <v>394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>
        <v>0.97270000000000001</v>
      </c>
      <c r="K215">
        <v>100000</v>
      </c>
      <c r="L215" s="2">
        <v>45611</v>
      </c>
    </row>
    <row r="216" spans="1:12">
      <c r="A216" t="s">
        <v>395</v>
      </c>
      <c r="B216" t="s">
        <v>81</v>
      </c>
      <c r="C216" t="s">
        <v>19</v>
      </c>
      <c r="D216" t="s">
        <v>36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>
        <v>0.89070000000000005</v>
      </c>
      <c r="K216">
        <v>90000</v>
      </c>
      <c r="L216" s="2">
        <v>46067</v>
      </c>
    </row>
    <row r="217" spans="1:12">
      <c r="A217" t="s">
        <v>396</v>
      </c>
      <c r="B217" t="s">
        <v>92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>
        <v>0.79590000000000005</v>
      </c>
      <c r="K217">
        <v>75000</v>
      </c>
      <c r="L217" s="2">
        <v>45704</v>
      </c>
    </row>
    <row r="218" spans="1:12">
      <c r="A218" t="s">
        <v>397</v>
      </c>
      <c r="B218" t="s">
        <v>133</v>
      </c>
      <c r="C218" t="s">
        <v>14</v>
      </c>
      <c r="D218" t="s">
        <v>28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>
        <v>0.55000000000000004</v>
      </c>
      <c r="K218">
        <v>75000</v>
      </c>
      <c r="L218" s="2">
        <v>45770</v>
      </c>
    </row>
    <row r="219" spans="1:12">
      <c r="A219" t="s">
        <v>398</v>
      </c>
      <c r="B219" t="s">
        <v>274</v>
      </c>
      <c r="C219" t="s">
        <v>14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>
        <v>0.92500000000000004</v>
      </c>
      <c r="K219">
        <v>130000</v>
      </c>
      <c r="L219" s="2">
        <v>45727</v>
      </c>
    </row>
    <row r="220" spans="1:12">
      <c r="A220" t="s">
        <v>399</v>
      </c>
      <c r="B220" t="s">
        <v>372</v>
      </c>
      <c r="C220" t="s">
        <v>14</v>
      </c>
      <c r="D220" t="s">
        <v>36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>
        <v>0.86780000000000002</v>
      </c>
      <c r="K220">
        <v>120000</v>
      </c>
      <c r="L220" s="2">
        <v>46113</v>
      </c>
    </row>
    <row r="221" spans="1:12">
      <c r="A221" t="s">
        <v>400</v>
      </c>
      <c r="B221" t="s">
        <v>173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>
        <v>0.7833</v>
      </c>
      <c r="K221">
        <v>85000</v>
      </c>
      <c r="L221" s="2">
        <v>45558</v>
      </c>
    </row>
    <row r="222" spans="1:12">
      <c r="A222" t="s">
        <v>401</v>
      </c>
      <c r="B222" t="s">
        <v>331</v>
      </c>
      <c r="C222" t="s">
        <v>14</v>
      </c>
      <c r="D222" t="s">
        <v>20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>
        <v>0.71450000000000002</v>
      </c>
      <c r="K222">
        <v>75000</v>
      </c>
      <c r="L222" s="2">
        <v>45782</v>
      </c>
    </row>
    <row r="223" spans="1:12">
      <c r="A223" t="s">
        <v>402</v>
      </c>
      <c r="B223" t="s">
        <v>202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>
        <v>0.59699999999999998</v>
      </c>
      <c r="K223">
        <v>70000</v>
      </c>
      <c r="L223" s="2">
        <v>45731</v>
      </c>
    </row>
    <row r="224" spans="1:12">
      <c r="A224" t="s">
        <v>403</v>
      </c>
      <c r="B224" t="s">
        <v>404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>
        <v>0.76500000000000001</v>
      </c>
      <c r="K224">
        <v>50000</v>
      </c>
      <c r="L224" s="2">
        <v>45727</v>
      </c>
    </row>
    <row r="225" spans="1:12">
      <c r="A225" t="s">
        <v>405</v>
      </c>
      <c r="B225" t="s">
        <v>406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>
        <v>0.86499999999999999</v>
      </c>
      <c r="K225">
        <v>85000</v>
      </c>
      <c r="L225" s="2">
        <v>45671</v>
      </c>
    </row>
    <row r="226" spans="1:12">
      <c r="A226" t="s">
        <v>407</v>
      </c>
      <c r="B226" t="s">
        <v>408</v>
      </c>
      <c r="C226" t="s">
        <v>19</v>
      </c>
      <c r="D226" t="s">
        <v>53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>
        <v>0.94030000000000002</v>
      </c>
      <c r="K226">
        <v>90000</v>
      </c>
      <c r="L226" s="2">
        <v>46174</v>
      </c>
    </row>
    <row r="227" spans="1:12">
      <c r="A227" t="s">
        <v>409</v>
      </c>
      <c r="B227" t="s">
        <v>410</v>
      </c>
      <c r="C227" t="s">
        <v>14</v>
      </c>
      <c r="D227" t="s">
        <v>32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>
        <v>0.67549999999999999</v>
      </c>
      <c r="K227">
        <v>100000</v>
      </c>
      <c r="L227" s="2">
        <v>45801</v>
      </c>
    </row>
    <row r="228" spans="1:12">
      <c r="A228" t="s">
        <v>411</v>
      </c>
      <c r="B228" t="s">
        <v>412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>
        <v>0.9395</v>
      </c>
      <c r="K228">
        <v>110000</v>
      </c>
      <c r="L228" s="2">
        <v>45828</v>
      </c>
    </row>
    <row r="229" spans="1:12">
      <c r="A229" t="s">
        <v>413</v>
      </c>
      <c r="B229" t="s">
        <v>229</v>
      </c>
      <c r="C229" t="s">
        <v>19</v>
      </c>
      <c r="D229" t="s">
        <v>32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>
        <v>0.79869999999999997</v>
      </c>
      <c r="K229">
        <v>80000</v>
      </c>
      <c r="L229" s="2">
        <v>45805</v>
      </c>
    </row>
    <row r="230" spans="1:12">
      <c r="A230" t="s">
        <v>414</v>
      </c>
      <c r="B230" t="s">
        <v>415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>
        <v>0.64900000000000002</v>
      </c>
      <c r="K230">
        <v>60000</v>
      </c>
      <c r="L230" s="2">
        <v>46222</v>
      </c>
    </row>
    <row r="231" spans="1:12">
      <c r="A231" t="s">
        <v>416</v>
      </c>
      <c r="B231" t="s">
        <v>417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>
        <v>0.79449999999999998</v>
      </c>
      <c r="K231">
        <v>120000</v>
      </c>
      <c r="L231" s="2">
        <v>45773</v>
      </c>
    </row>
    <row r="232" spans="1:12">
      <c r="A232" t="s">
        <v>418</v>
      </c>
      <c r="B232" t="s">
        <v>35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>
        <v>0.94510000000000005</v>
      </c>
      <c r="K232">
        <v>110000</v>
      </c>
      <c r="L232" s="2">
        <v>45775</v>
      </c>
    </row>
    <row r="233" spans="1:12">
      <c r="A233" t="s">
        <v>419</v>
      </c>
      <c r="B233" t="s">
        <v>420</v>
      </c>
      <c r="C233" t="s">
        <v>19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>
        <v>0.75680000000000003</v>
      </c>
      <c r="K233">
        <v>85000</v>
      </c>
      <c r="L233" s="2">
        <v>45765</v>
      </c>
    </row>
    <row r="234" spans="1:12">
      <c r="A234" t="s">
        <v>421</v>
      </c>
      <c r="B234" t="s">
        <v>135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>
        <v>0.55000000000000004</v>
      </c>
      <c r="K234">
        <v>50000</v>
      </c>
      <c r="L234" s="2">
        <v>45764</v>
      </c>
    </row>
    <row r="235" spans="1:12">
      <c r="A235" t="s">
        <v>422</v>
      </c>
      <c r="B235" t="s">
        <v>423</v>
      </c>
      <c r="C235" t="s">
        <v>19</v>
      </c>
      <c r="D235" t="s">
        <v>20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>
        <v>0.90759999999999996</v>
      </c>
      <c r="K235">
        <v>85000</v>
      </c>
      <c r="L235" s="2">
        <v>45598</v>
      </c>
    </row>
    <row r="236" spans="1:12">
      <c r="A236" t="s">
        <v>424</v>
      </c>
      <c r="B236" t="s">
        <v>425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>
        <v>0.59889999999999999</v>
      </c>
      <c r="K236">
        <v>90000</v>
      </c>
      <c r="L236" s="2">
        <v>45958</v>
      </c>
    </row>
    <row r="237" spans="1:12">
      <c r="A237" t="s">
        <v>426</v>
      </c>
      <c r="B237" t="s">
        <v>301</v>
      </c>
      <c r="C237" t="s">
        <v>19</v>
      </c>
      <c r="D237" t="s">
        <v>36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>
        <v>0.69740000000000002</v>
      </c>
      <c r="K237">
        <v>120000</v>
      </c>
      <c r="L237" s="2">
        <v>45553</v>
      </c>
    </row>
    <row r="238" spans="1:12">
      <c r="A238" t="s">
        <v>427</v>
      </c>
      <c r="B238" t="s">
        <v>428</v>
      </c>
      <c r="C238" t="s">
        <v>19</v>
      </c>
      <c r="D238" t="s">
        <v>53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>
        <v>0.77359999999999995</v>
      </c>
      <c r="K238">
        <v>85000</v>
      </c>
      <c r="L238" s="2">
        <v>45694</v>
      </c>
    </row>
    <row r="239" spans="1:12">
      <c r="A239" t="s">
        <v>429</v>
      </c>
      <c r="B239" t="s">
        <v>354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>
        <v>0.91810000000000003</v>
      </c>
      <c r="K239">
        <v>85000</v>
      </c>
      <c r="L239" s="2">
        <v>45677</v>
      </c>
    </row>
    <row r="240" spans="1:12">
      <c r="A240" t="s">
        <v>430</v>
      </c>
      <c r="B240" t="s">
        <v>431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>
        <v>0.8478</v>
      </c>
      <c r="K240">
        <v>80000</v>
      </c>
      <c r="L240" s="2">
        <v>45740</v>
      </c>
    </row>
    <row r="241" spans="1:12">
      <c r="A241" t="s">
        <v>432</v>
      </c>
      <c r="B241" t="s">
        <v>433</v>
      </c>
      <c r="C241" t="s">
        <v>19</v>
      </c>
      <c r="D241" t="s">
        <v>36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>
        <v>0.93389999999999995</v>
      </c>
      <c r="K241">
        <v>80000</v>
      </c>
      <c r="L241" s="2">
        <v>46065</v>
      </c>
    </row>
    <row r="242" spans="1:12">
      <c r="A242" t="s">
        <v>434</v>
      </c>
      <c r="B242" t="s">
        <v>285</v>
      </c>
      <c r="C242" t="s">
        <v>14</v>
      </c>
      <c r="D242" t="s">
        <v>28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>
        <v>0.80379999999999996</v>
      </c>
      <c r="K242">
        <v>50000</v>
      </c>
      <c r="L242" s="2">
        <v>45955</v>
      </c>
    </row>
    <row r="243" spans="1:12">
      <c r="A243" t="s">
        <v>435</v>
      </c>
      <c r="B243" t="s">
        <v>436</v>
      </c>
      <c r="C243" t="s">
        <v>19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>
        <v>0.72509999999999997</v>
      </c>
      <c r="K243">
        <v>60000</v>
      </c>
      <c r="L243" s="2">
        <v>46229</v>
      </c>
    </row>
    <row r="244" spans="1:12">
      <c r="A244" t="s">
        <v>437</v>
      </c>
      <c r="B244" t="s">
        <v>139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>
        <v>0.87749999999999995</v>
      </c>
      <c r="K244">
        <v>110000</v>
      </c>
      <c r="L244" s="2">
        <v>45781</v>
      </c>
    </row>
    <row r="245" spans="1:12">
      <c r="A245" t="s">
        <v>438</v>
      </c>
      <c r="B245" t="s">
        <v>317</v>
      </c>
      <c r="C245" t="s">
        <v>19</v>
      </c>
      <c r="D245" t="s">
        <v>53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>
        <v>0.79690000000000005</v>
      </c>
      <c r="K245">
        <v>75000</v>
      </c>
      <c r="L245" s="2">
        <v>46185</v>
      </c>
    </row>
    <row r="246" spans="1:12">
      <c r="A246" t="s">
        <v>439</v>
      </c>
      <c r="B246" t="s">
        <v>111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>
        <v>0.76190000000000002</v>
      </c>
      <c r="K246">
        <v>120000</v>
      </c>
      <c r="L246" s="2">
        <v>45567</v>
      </c>
    </row>
    <row r="247" spans="1:12">
      <c r="A247" t="s">
        <v>440</v>
      </c>
      <c r="B247" t="s">
        <v>139</v>
      </c>
      <c r="C247" t="s">
        <v>14</v>
      </c>
      <c r="D247" t="s">
        <v>20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>
        <v>0.95069999999999999</v>
      </c>
      <c r="K247">
        <v>80000</v>
      </c>
      <c r="L247" s="2">
        <v>45888</v>
      </c>
    </row>
    <row r="248" spans="1:12">
      <c r="A248" t="s">
        <v>441</v>
      </c>
      <c r="B248" t="s">
        <v>442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>
        <v>0.84540000000000004</v>
      </c>
      <c r="K248">
        <v>130000</v>
      </c>
      <c r="L248" s="2">
        <v>46095</v>
      </c>
    </row>
    <row r="249" spans="1:12">
      <c r="A249" t="s">
        <v>443</v>
      </c>
      <c r="B249" t="s">
        <v>444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>
        <v>0.92369999999999997</v>
      </c>
      <c r="K249">
        <v>60000</v>
      </c>
      <c r="L249" s="2">
        <v>45908</v>
      </c>
    </row>
    <row r="250" spans="1:12">
      <c r="A250" t="s">
        <v>445</v>
      </c>
      <c r="B250" t="s">
        <v>301</v>
      </c>
      <c r="C250" t="s">
        <v>19</v>
      </c>
      <c r="D250" t="s">
        <v>28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>
        <v>0.87739999999999996</v>
      </c>
      <c r="K250">
        <v>70000</v>
      </c>
      <c r="L250" s="2">
        <v>46189</v>
      </c>
    </row>
    <row r="251" spans="1:12">
      <c r="A251" t="s">
        <v>446</v>
      </c>
      <c r="B251" t="s">
        <v>231</v>
      </c>
      <c r="C251" t="s">
        <v>14</v>
      </c>
      <c r="D251" t="s">
        <v>36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>
        <v>0.94869999999999999</v>
      </c>
      <c r="K251">
        <v>90000</v>
      </c>
      <c r="L251" s="2">
        <v>45756</v>
      </c>
    </row>
    <row r="252" spans="1:12">
      <c r="A252" t="s">
        <v>447</v>
      </c>
      <c r="B252" t="s">
        <v>431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>
        <v>0.83479999999999999</v>
      </c>
      <c r="K252">
        <v>110000</v>
      </c>
      <c r="L252" s="2">
        <v>45559</v>
      </c>
    </row>
    <row r="253" spans="1:12">
      <c r="A253" t="s">
        <v>448</v>
      </c>
      <c r="B253" t="s">
        <v>449</v>
      </c>
      <c r="C253" t="s">
        <v>14</v>
      </c>
      <c r="D253" t="s">
        <v>53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>
        <v>0.91059999999999997</v>
      </c>
      <c r="K253">
        <v>60000</v>
      </c>
      <c r="L253" s="2">
        <v>46077</v>
      </c>
    </row>
    <row r="254" spans="1:12">
      <c r="A254" t="s">
        <v>450</v>
      </c>
      <c r="B254" t="s">
        <v>451</v>
      </c>
      <c r="C254" t="s">
        <v>14</v>
      </c>
      <c r="D254" t="s">
        <v>53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>
        <v>0.94679999999999997</v>
      </c>
      <c r="K254">
        <v>85000</v>
      </c>
      <c r="L254" s="2">
        <v>45583</v>
      </c>
    </row>
    <row r="255" spans="1:12">
      <c r="A255" t="s">
        <v>452</v>
      </c>
      <c r="B255" t="s">
        <v>453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>
        <v>0.68320000000000003</v>
      </c>
      <c r="K255">
        <v>70000</v>
      </c>
      <c r="L255" s="2">
        <v>46071</v>
      </c>
    </row>
    <row r="256" spans="1:12">
      <c r="A256" t="s">
        <v>454</v>
      </c>
      <c r="B256" t="s">
        <v>455</v>
      </c>
      <c r="C256" t="s">
        <v>19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>
        <v>0.96360000000000001</v>
      </c>
      <c r="K256">
        <v>110000</v>
      </c>
      <c r="L256" s="2">
        <v>46049</v>
      </c>
    </row>
    <row r="257" spans="1:12">
      <c r="A257" t="s">
        <v>456</v>
      </c>
      <c r="B257" t="s">
        <v>451</v>
      </c>
      <c r="C257" t="s">
        <v>14</v>
      </c>
      <c r="D257" t="s">
        <v>15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>
        <v>0.63129999999999997</v>
      </c>
      <c r="K257">
        <v>90000</v>
      </c>
      <c r="L257" s="2">
        <v>46126</v>
      </c>
    </row>
    <row r="258" spans="1:12">
      <c r="A258" t="s">
        <v>457</v>
      </c>
      <c r="B258" t="s">
        <v>458</v>
      </c>
      <c r="C258" t="s">
        <v>19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>
        <v>0.92749999999999999</v>
      </c>
      <c r="K258">
        <v>100000</v>
      </c>
      <c r="L258" s="2">
        <v>45871</v>
      </c>
    </row>
    <row r="259" spans="1:12">
      <c r="A259" t="s">
        <v>459</v>
      </c>
      <c r="B259" t="s">
        <v>460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>
        <v>0.79310000000000003</v>
      </c>
      <c r="K259">
        <v>70000</v>
      </c>
      <c r="L259" s="2">
        <v>46162</v>
      </c>
    </row>
    <row r="260" spans="1:12">
      <c r="A260" t="s">
        <v>461</v>
      </c>
      <c r="B260" t="s">
        <v>285</v>
      </c>
      <c r="C260" t="s">
        <v>14</v>
      </c>
      <c r="D260" t="s">
        <v>28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>
        <v>0.97809999999999997</v>
      </c>
      <c r="K260">
        <v>75000</v>
      </c>
      <c r="L260" s="2">
        <v>45654</v>
      </c>
    </row>
    <row r="261" spans="1:12">
      <c r="A261" t="s">
        <v>462</v>
      </c>
      <c r="B261" t="s">
        <v>310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>
        <v>0.82909999999999995</v>
      </c>
      <c r="K261">
        <v>100000</v>
      </c>
      <c r="L261" s="2">
        <v>45840</v>
      </c>
    </row>
    <row r="262" spans="1:12">
      <c r="A262" t="s">
        <v>463</v>
      </c>
      <c r="B262" t="s">
        <v>464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>
        <v>0.83850000000000002</v>
      </c>
      <c r="K262">
        <v>75000</v>
      </c>
      <c r="L262" s="2">
        <v>45621</v>
      </c>
    </row>
    <row r="263" spans="1:12">
      <c r="A263" t="s">
        <v>465</v>
      </c>
      <c r="B263" t="s">
        <v>410</v>
      </c>
      <c r="C263" t="s">
        <v>14</v>
      </c>
      <c r="D263" t="s">
        <v>36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>
        <v>0.92810000000000004</v>
      </c>
      <c r="K263">
        <v>100000</v>
      </c>
      <c r="L263" s="2">
        <v>46072</v>
      </c>
    </row>
    <row r="264" spans="1:12">
      <c r="A264" t="s">
        <v>466</v>
      </c>
      <c r="B264" t="s">
        <v>467</v>
      </c>
      <c r="C264" t="s">
        <v>14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>
        <v>0.82140000000000002</v>
      </c>
      <c r="K264">
        <v>60000</v>
      </c>
      <c r="L264" s="2">
        <v>46035</v>
      </c>
    </row>
    <row r="265" spans="1:12">
      <c r="A265" t="s">
        <v>468</v>
      </c>
      <c r="B265" t="s">
        <v>469</v>
      </c>
      <c r="C265" t="s">
        <v>19</v>
      </c>
      <c r="D265" t="s">
        <v>53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>
        <v>0.93889999999999996</v>
      </c>
      <c r="K265">
        <v>75000</v>
      </c>
      <c r="L265" s="2">
        <v>46100</v>
      </c>
    </row>
    <row r="266" spans="1:12">
      <c r="A266" t="s">
        <v>470</v>
      </c>
      <c r="B266" t="s">
        <v>471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>
        <v>0.98360000000000003</v>
      </c>
      <c r="K266">
        <v>60000</v>
      </c>
      <c r="L266" s="2">
        <v>46071</v>
      </c>
    </row>
    <row r="267" spans="1:12">
      <c r="A267" t="s">
        <v>472</v>
      </c>
      <c r="B267" t="s">
        <v>98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>
        <v>0.98909999999999998</v>
      </c>
      <c r="K267">
        <v>50000</v>
      </c>
      <c r="L267" s="2">
        <v>45751</v>
      </c>
    </row>
    <row r="268" spans="1:12">
      <c r="A268" t="s">
        <v>473</v>
      </c>
      <c r="B268" t="s">
        <v>474</v>
      </c>
      <c r="C268" t="s">
        <v>14</v>
      </c>
      <c r="D268" t="s">
        <v>15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>
        <v>0.9153</v>
      </c>
      <c r="K268">
        <v>70000</v>
      </c>
      <c r="L268" s="2">
        <v>45583</v>
      </c>
    </row>
    <row r="269" spans="1:12">
      <c r="A269" t="s">
        <v>475</v>
      </c>
      <c r="B269" t="s">
        <v>88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>
        <v>0.67179999999999995</v>
      </c>
      <c r="K269">
        <v>85000</v>
      </c>
      <c r="L269" s="2">
        <v>46186</v>
      </c>
    </row>
    <row r="270" spans="1:12">
      <c r="A270" t="s">
        <v>476</v>
      </c>
      <c r="B270" t="s">
        <v>477</v>
      </c>
      <c r="C270" t="s">
        <v>19</v>
      </c>
      <c r="D270" t="s">
        <v>53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>
        <v>0.81479999999999997</v>
      </c>
      <c r="K270">
        <v>60000</v>
      </c>
      <c r="L270" s="2">
        <v>45880</v>
      </c>
    </row>
    <row r="271" spans="1:12">
      <c r="A271" t="s">
        <v>478</v>
      </c>
      <c r="B271" t="s">
        <v>479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>
        <v>0.55000000000000004</v>
      </c>
      <c r="K271">
        <v>60000</v>
      </c>
      <c r="L271" s="2">
        <v>45602</v>
      </c>
    </row>
    <row r="272" spans="1:12">
      <c r="A272" t="s">
        <v>480</v>
      </c>
      <c r="B272" t="s">
        <v>88</v>
      </c>
      <c r="C272" t="s">
        <v>14</v>
      </c>
      <c r="D272" t="s">
        <v>53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>
        <v>0.83330000000000004</v>
      </c>
      <c r="K272">
        <v>120000</v>
      </c>
      <c r="L272" s="2">
        <v>46184</v>
      </c>
    </row>
    <row r="273" spans="1:12">
      <c r="A273" t="s">
        <v>481</v>
      </c>
      <c r="B273" t="s">
        <v>482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>
        <v>0.84279999999999999</v>
      </c>
      <c r="K273">
        <v>85000</v>
      </c>
      <c r="L273" s="2">
        <v>46231</v>
      </c>
    </row>
    <row r="274" spans="1:12">
      <c r="A274" t="s">
        <v>483</v>
      </c>
      <c r="B274" t="s">
        <v>135</v>
      </c>
      <c r="C274" t="s">
        <v>14</v>
      </c>
      <c r="D274" t="s">
        <v>53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>
        <v>0.55000000000000004</v>
      </c>
      <c r="K274">
        <v>100000</v>
      </c>
      <c r="L274" s="2">
        <v>45847</v>
      </c>
    </row>
    <row r="275" spans="1:12">
      <c r="A275" t="s">
        <v>484</v>
      </c>
      <c r="B275" t="s">
        <v>485</v>
      </c>
      <c r="C275" t="s">
        <v>19</v>
      </c>
      <c r="D275" t="s">
        <v>36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>
        <v>0.62019999999999997</v>
      </c>
      <c r="K275">
        <v>100000</v>
      </c>
      <c r="L275" s="2">
        <v>46075</v>
      </c>
    </row>
    <row r="276" spans="1:12">
      <c r="A276" t="s">
        <v>486</v>
      </c>
      <c r="B276" t="s">
        <v>155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>
        <v>0.88829999999999998</v>
      </c>
      <c r="K276">
        <v>60000</v>
      </c>
      <c r="L276" s="2">
        <v>45561</v>
      </c>
    </row>
    <row r="277" spans="1:12">
      <c r="A277" t="s">
        <v>487</v>
      </c>
      <c r="B277" t="s">
        <v>453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>
        <v>0.60209999999999997</v>
      </c>
      <c r="K277">
        <v>90000</v>
      </c>
      <c r="L277" s="2">
        <v>45601</v>
      </c>
    </row>
    <row r="278" spans="1:12">
      <c r="A278" t="s">
        <v>488</v>
      </c>
      <c r="B278" t="s">
        <v>382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>
        <v>0.83730000000000004</v>
      </c>
      <c r="K278">
        <v>120000</v>
      </c>
      <c r="L278" s="2">
        <v>45729</v>
      </c>
    </row>
    <row r="279" spans="1:12">
      <c r="A279" t="s">
        <v>489</v>
      </c>
      <c r="B279" t="s">
        <v>490</v>
      </c>
      <c r="C279" t="s">
        <v>19</v>
      </c>
      <c r="D279" t="s">
        <v>53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>
        <v>0.85229999999999995</v>
      </c>
      <c r="K279">
        <v>80000</v>
      </c>
      <c r="L279" s="2">
        <v>45995</v>
      </c>
    </row>
    <row r="280" spans="1:12">
      <c r="A280" t="s">
        <v>491</v>
      </c>
      <c r="B280" t="s">
        <v>492</v>
      </c>
      <c r="C280" t="s">
        <v>14</v>
      </c>
      <c r="D280" t="s">
        <v>53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>
        <v>0.82589999999999997</v>
      </c>
      <c r="K280">
        <v>120000</v>
      </c>
      <c r="L280" s="2">
        <v>45629</v>
      </c>
    </row>
    <row r="281" spans="1:12">
      <c r="A281" t="s">
        <v>493</v>
      </c>
      <c r="B281" t="s">
        <v>494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>
        <v>0.88490000000000002</v>
      </c>
      <c r="K281">
        <v>130000</v>
      </c>
      <c r="L281" s="2">
        <v>45559</v>
      </c>
    </row>
    <row r="282" spans="1:12">
      <c r="A282" t="s">
        <v>495</v>
      </c>
      <c r="B282" t="s">
        <v>496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>
        <v>0.95240000000000002</v>
      </c>
      <c r="K282">
        <v>90000</v>
      </c>
      <c r="L282" s="2">
        <v>46004</v>
      </c>
    </row>
    <row r="283" spans="1:12">
      <c r="A283" t="s">
        <v>497</v>
      </c>
      <c r="B283" t="s">
        <v>453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>
        <v>0.74180000000000001</v>
      </c>
      <c r="K283">
        <v>60000</v>
      </c>
      <c r="L283" s="2">
        <v>46075</v>
      </c>
    </row>
    <row r="284" spans="1:12">
      <c r="A284" t="s">
        <v>498</v>
      </c>
      <c r="B284" t="s">
        <v>146</v>
      </c>
      <c r="C284" t="s">
        <v>19</v>
      </c>
      <c r="D284" t="s">
        <v>20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>
        <v>0.95789999999999997</v>
      </c>
      <c r="K284">
        <v>90000</v>
      </c>
      <c r="L284" s="2">
        <v>46053</v>
      </c>
    </row>
    <row r="285" spans="1:12">
      <c r="A285" t="s">
        <v>499</v>
      </c>
      <c r="B285" t="s">
        <v>500</v>
      </c>
      <c r="C285" t="s">
        <v>14</v>
      </c>
      <c r="D285" t="s">
        <v>53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>
        <v>0.71940000000000004</v>
      </c>
      <c r="K285">
        <v>120000</v>
      </c>
      <c r="L285" s="2">
        <v>46095</v>
      </c>
    </row>
    <row r="286" spans="1:12">
      <c r="A286" t="s">
        <v>501</v>
      </c>
      <c r="B286" t="s">
        <v>288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>
        <v>0.91659999999999997</v>
      </c>
      <c r="K286">
        <v>90000</v>
      </c>
      <c r="L286" s="2">
        <v>46097</v>
      </c>
    </row>
    <row r="287" spans="1:12">
      <c r="A287" t="s">
        <v>502</v>
      </c>
      <c r="B287" t="s">
        <v>433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>
        <v>0.83550000000000002</v>
      </c>
      <c r="K287">
        <v>110000</v>
      </c>
      <c r="L287" s="2">
        <v>45957</v>
      </c>
    </row>
    <row r="288" spans="1:12">
      <c r="A288" t="s">
        <v>503</v>
      </c>
      <c r="B288" t="s">
        <v>370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>
        <v>0.67620000000000002</v>
      </c>
      <c r="K288">
        <v>85000</v>
      </c>
      <c r="L288" s="2">
        <v>45899</v>
      </c>
    </row>
    <row r="289" spans="1:12">
      <c r="A289" t="s">
        <v>504</v>
      </c>
      <c r="B289" t="s">
        <v>55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>
        <v>0.59109999999999996</v>
      </c>
      <c r="K289">
        <v>80000</v>
      </c>
      <c r="L289" s="2">
        <v>46135</v>
      </c>
    </row>
    <row r="290" spans="1:12">
      <c r="A290" t="s">
        <v>505</v>
      </c>
      <c r="B290" t="s">
        <v>506</v>
      </c>
      <c r="C290" t="s">
        <v>19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>
        <v>0.91249999999999998</v>
      </c>
      <c r="K290">
        <v>130000</v>
      </c>
      <c r="L290" s="2">
        <v>45779</v>
      </c>
    </row>
    <row r="291" spans="1:12">
      <c r="A291" t="s">
        <v>507</v>
      </c>
      <c r="B291" t="s">
        <v>161</v>
      </c>
      <c r="C291" t="s">
        <v>14</v>
      </c>
      <c r="D291" t="s">
        <v>53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>
        <v>0.84230000000000005</v>
      </c>
      <c r="K291">
        <v>60000</v>
      </c>
      <c r="L291" s="2">
        <v>45604</v>
      </c>
    </row>
    <row r="292" spans="1:12">
      <c r="A292" t="s">
        <v>508</v>
      </c>
      <c r="B292" t="s">
        <v>509</v>
      </c>
      <c r="C292" t="s">
        <v>19</v>
      </c>
      <c r="D292" t="s">
        <v>36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>
        <v>0.83460000000000001</v>
      </c>
      <c r="K292">
        <v>80000</v>
      </c>
      <c r="L292" s="2">
        <v>46062</v>
      </c>
    </row>
    <row r="293" spans="1:12">
      <c r="A293" t="s">
        <v>510</v>
      </c>
      <c r="B293" t="s">
        <v>511</v>
      </c>
      <c r="C293" t="s">
        <v>14</v>
      </c>
      <c r="D293" t="s">
        <v>53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>
        <v>0.88360000000000005</v>
      </c>
      <c r="K293">
        <v>60000</v>
      </c>
      <c r="L293" s="2">
        <v>45729</v>
      </c>
    </row>
    <row r="294" spans="1:12">
      <c r="A294" t="s">
        <v>512</v>
      </c>
      <c r="B294" t="s">
        <v>113</v>
      </c>
      <c r="C294" t="s">
        <v>19</v>
      </c>
      <c r="D294" t="s">
        <v>20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>
        <v>0.89810000000000001</v>
      </c>
      <c r="K294">
        <v>100000</v>
      </c>
      <c r="L294" s="2">
        <v>46221</v>
      </c>
    </row>
    <row r="295" spans="1:12">
      <c r="A295" t="s">
        <v>513</v>
      </c>
      <c r="B295" t="s">
        <v>514</v>
      </c>
      <c r="C295" t="s">
        <v>14</v>
      </c>
      <c r="D295" t="s">
        <v>36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>
        <v>0.92490000000000006</v>
      </c>
      <c r="K295">
        <v>130000</v>
      </c>
      <c r="L295" s="2">
        <v>45825</v>
      </c>
    </row>
    <row r="296" spans="1:12">
      <c r="A296" t="s">
        <v>515</v>
      </c>
      <c r="B296" t="s">
        <v>516</v>
      </c>
      <c r="C296" t="s">
        <v>19</v>
      </c>
      <c r="D296" t="s">
        <v>15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>
        <v>0.87549999999999994</v>
      </c>
      <c r="K296">
        <v>130000</v>
      </c>
      <c r="L296" s="2">
        <v>46132</v>
      </c>
    </row>
    <row r="297" spans="1:12">
      <c r="A297" t="s">
        <v>517</v>
      </c>
      <c r="B297" t="s">
        <v>518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>
        <v>0.94489999999999996</v>
      </c>
      <c r="K297">
        <v>70000</v>
      </c>
      <c r="L297" s="2">
        <v>45565</v>
      </c>
    </row>
    <row r="298" spans="1:12">
      <c r="A298" t="s">
        <v>519</v>
      </c>
      <c r="B298" t="s">
        <v>191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>
        <v>0.71930000000000005</v>
      </c>
      <c r="K298">
        <v>110000</v>
      </c>
      <c r="L298" s="2">
        <v>45997</v>
      </c>
    </row>
    <row r="299" spans="1:12">
      <c r="A299" t="s">
        <v>520</v>
      </c>
      <c r="B299" t="s">
        <v>521</v>
      </c>
      <c r="C299" t="s">
        <v>14</v>
      </c>
      <c r="D299" t="s">
        <v>36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>
        <v>0.78539999999999999</v>
      </c>
      <c r="K299">
        <v>120000</v>
      </c>
      <c r="L299" s="2">
        <v>45849</v>
      </c>
    </row>
    <row r="300" spans="1:12">
      <c r="A300" t="s">
        <v>522</v>
      </c>
      <c r="B300" t="s">
        <v>460</v>
      </c>
      <c r="C300" t="s">
        <v>14</v>
      </c>
      <c r="D300" t="s">
        <v>53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>
        <v>0.75690000000000002</v>
      </c>
      <c r="K300">
        <v>120000</v>
      </c>
      <c r="L300" s="2">
        <v>45859</v>
      </c>
    </row>
    <row r="301" spans="1:12">
      <c r="A301" t="s">
        <v>523</v>
      </c>
      <c r="B301" t="s">
        <v>83</v>
      </c>
      <c r="C301" t="s">
        <v>14</v>
      </c>
      <c r="D301" t="s">
        <v>36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>
        <v>0.69230000000000003</v>
      </c>
      <c r="K301">
        <v>85000</v>
      </c>
      <c r="L301" s="2">
        <v>45721</v>
      </c>
    </row>
    <row r="302" spans="1:12">
      <c r="A302" t="s">
        <v>524</v>
      </c>
      <c r="B302" t="s">
        <v>274</v>
      </c>
      <c r="C302" t="s">
        <v>14</v>
      </c>
      <c r="D302" t="s">
        <v>36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>
        <v>0.97560000000000002</v>
      </c>
      <c r="K302">
        <v>60000</v>
      </c>
      <c r="L302" s="2">
        <v>46215</v>
      </c>
    </row>
    <row r="303" spans="1:12">
      <c r="A303" t="s">
        <v>525</v>
      </c>
      <c r="B303" t="s">
        <v>526</v>
      </c>
      <c r="C303" t="s">
        <v>19</v>
      </c>
      <c r="D303" t="s">
        <v>53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>
        <v>0.81740000000000002</v>
      </c>
      <c r="K303">
        <v>85000</v>
      </c>
      <c r="L303" s="2">
        <v>45810</v>
      </c>
    </row>
    <row r="304" spans="1:12">
      <c r="A304" t="s">
        <v>527</v>
      </c>
      <c r="B304" t="s">
        <v>528</v>
      </c>
      <c r="C304" t="s">
        <v>14</v>
      </c>
      <c r="D304" t="s">
        <v>53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>
        <v>0.7198</v>
      </c>
      <c r="K304">
        <v>110000</v>
      </c>
      <c r="L304" s="2">
        <v>46131</v>
      </c>
    </row>
    <row r="305" spans="1:12">
      <c r="A305" t="s">
        <v>529</v>
      </c>
      <c r="B305" t="s">
        <v>61</v>
      </c>
      <c r="C305" t="s">
        <v>19</v>
      </c>
      <c r="D305" t="s">
        <v>20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>
        <v>0.7026</v>
      </c>
      <c r="K305">
        <v>90000</v>
      </c>
      <c r="L305" s="2">
        <v>45833</v>
      </c>
    </row>
    <row r="306" spans="1:12">
      <c r="A306" t="s">
        <v>530</v>
      </c>
      <c r="B306" t="s">
        <v>125</v>
      </c>
      <c r="C306" t="s">
        <v>19</v>
      </c>
      <c r="D306" t="s">
        <v>53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>
        <v>0.84230000000000005</v>
      </c>
      <c r="K306">
        <v>80000</v>
      </c>
      <c r="L306" s="2">
        <v>45569</v>
      </c>
    </row>
    <row r="307" spans="1:12">
      <c r="A307" t="s">
        <v>531</v>
      </c>
      <c r="B307" t="s">
        <v>532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>
        <v>0.55000000000000004</v>
      </c>
      <c r="K307">
        <v>70000</v>
      </c>
      <c r="L307" s="2">
        <v>46151</v>
      </c>
    </row>
    <row r="308" spans="1:12">
      <c r="A308" t="s">
        <v>533</v>
      </c>
      <c r="B308" t="s">
        <v>431</v>
      </c>
      <c r="C308" t="s">
        <v>14</v>
      </c>
      <c r="D308" t="s">
        <v>53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>
        <v>0.79059999999999997</v>
      </c>
      <c r="K308">
        <v>100000</v>
      </c>
      <c r="L308" s="2">
        <v>45665</v>
      </c>
    </row>
    <row r="309" spans="1:12">
      <c r="A309" t="s">
        <v>534</v>
      </c>
      <c r="B309" t="s">
        <v>535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>
        <v>0.74919999999999998</v>
      </c>
      <c r="K309">
        <v>80000</v>
      </c>
      <c r="L309" s="2">
        <v>45725</v>
      </c>
    </row>
    <row r="310" spans="1:12">
      <c r="A310" t="s">
        <v>536</v>
      </c>
      <c r="B310" t="s">
        <v>444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>
        <v>0.77869999999999995</v>
      </c>
      <c r="K310">
        <v>85000</v>
      </c>
      <c r="L310" s="2">
        <v>46138</v>
      </c>
    </row>
    <row r="311" spans="1:12">
      <c r="A311" t="s">
        <v>537</v>
      </c>
      <c r="B311" t="s">
        <v>372</v>
      </c>
      <c r="C311" t="s">
        <v>14</v>
      </c>
      <c r="D311" t="s">
        <v>53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>
        <v>0.64239999999999997</v>
      </c>
      <c r="K311">
        <v>130000</v>
      </c>
      <c r="L311" s="2">
        <v>46161</v>
      </c>
    </row>
    <row r="312" spans="1:12">
      <c r="A312" t="s">
        <v>538</v>
      </c>
      <c r="B312" t="s">
        <v>539</v>
      </c>
      <c r="C312" t="s">
        <v>19</v>
      </c>
      <c r="D312" t="s">
        <v>53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>
        <v>0.91190000000000004</v>
      </c>
      <c r="K312">
        <v>50000</v>
      </c>
      <c r="L312" s="2">
        <v>46177</v>
      </c>
    </row>
    <row r="313" spans="1:12">
      <c r="A313" t="s">
        <v>540</v>
      </c>
      <c r="B313" t="s">
        <v>541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>
        <v>0.8952</v>
      </c>
      <c r="K313">
        <v>70000</v>
      </c>
      <c r="L313" s="2">
        <v>45834</v>
      </c>
    </row>
    <row r="314" spans="1:12">
      <c r="A314" t="s">
        <v>542</v>
      </c>
      <c r="B314" t="s">
        <v>543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>
        <v>0.88970000000000005</v>
      </c>
      <c r="K314">
        <v>130000</v>
      </c>
      <c r="L314" s="2">
        <v>46065</v>
      </c>
    </row>
    <row r="315" spans="1:12">
      <c r="A315" t="s">
        <v>544</v>
      </c>
      <c r="B315" t="s">
        <v>511</v>
      </c>
      <c r="C315" t="s">
        <v>14</v>
      </c>
      <c r="D315" t="s">
        <v>53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>
        <v>0.78210000000000002</v>
      </c>
      <c r="K315">
        <v>130000</v>
      </c>
      <c r="L315" s="2">
        <v>45765</v>
      </c>
    </row>
    <row r="316" spans="1:12">
      <c r="A316" t="s">
        <v>545</v>
      </c>
      <c r="B316" t="s">
        <v>246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>
        <v>0.78939999999999999</v>
      </c>
      <c r="K316">
        <v>75000</v>
      </c>
      <c r="L316" s="2">
        <v>46054</v>
      </c>
    </row>
    <row r="317" spans="1:12">
      <c r="A317" t="s">
        <v>546</v>
      </c>
      <c r="B317" t="s">
        <v>256</v>
      </c>
      <c r="C317" t="s">
        <v>19</v>
      </c>
      <c r="D317" t="s">
        <v>28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>
        <v>0.60060000000000002</v>
      </c>
      <c r="K317">
        <v>130000</v>
      </c>
      <c r="L317" s="2">
        <v>45887</v>
      </c>
    </row>
    <row r="318" spans="1:12">
      <c r="A318" t="s">
        <v>547</v>
      </c>
      <c r="B318" t="s">
        <v>423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>
        <v>0.86739999999999995</v>
      </c>
      <c r="K318">
        <v>70000</v>
      </c>
      <c r="L318" s="2">
        <v>45572</v>
      </c>
    </row>
    <row r="319" spans="1:12">
      <c r="A319" t="s">
        <v>548</v>
      </c>
      <c r="B319" t="s">
        <v>539</v>
      </c>
      <c r="C319" t="s">
        <v>19</v>
      </c>
      <c r="D319" t="s">
        <v>36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>
        <v>0.98650000000000004</v>
      </c>
      <c r="K319">
        <v>50000</v>
      </c>
      <c r="L319" s="2">
        <v>45828</v>
      </c>
    </row>
    <row r="320" spans="1:12">
      <c r="A320" t="s">
        <v>549</v>
      </c>
      <c r="B320" t="s">
        <v>550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>
        <v>0.87139999999999995</v>
      </c>
      <c r="K320">
        <v>75000</v>
      </c>
      <c r="L320" s="2">
        <v>45863</v>
      </c>
    </row>
    <row r="321" spans="1:12">
      <c r="A321" t="s">
        <v>551</v>
      </c>
      <c r="B321" t="s">
        <v>552</v>
      </c>
      <c r="C321" t="s">
        <v>19</v>
      </c>
      <c r="D321" t="s">
        <v>20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>
        <v>0.96179999999999999</v>
      </c>
      <c r="K321">
        <v>85000</v>
      </c>
      <c r="L321" s="2">
        <v>45716</v>
      </c>
    </row>
    <row r="322" spans="1:12">
      <c r="A322" t="s">
        <v>553</v>
      </c>
      <c r="B322" t="s">
        <v>175</v>
      </c>
      <c r="C322" t="s">
        <v>14</v>
      </c>
      <c r="D322" t="s">
        <v>32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>
        <v>0.55000000000000004</v>
      </c>
      <c r="K322">
        <v>50000</v>
      </c>
      <c r="L322" s="2">
        <v>45798</v>
      </c>
    </row>
    <row r="323" spans="1:12">
      <c r="A323" t="s">
        <v>554</v>
      </c>
      <c r="B323" t="s">
        <v>555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>
        <v>0.67400000000000004</v>
      </c>
      <c r="K323">
        <v>60000</v>
      </c>
      <c r="L323" s="2">
        <v>45887</v>
      </c>
    </row>
    <row r="324" spans="1:12">
      <c r="A324" t="s">
        <v>556</v>
      </c>
      <c r="B324" t="s">
        <v>557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>
        <v>0.8901</v>
      </c>
      <c r="K324">
        <v>110000</v>
      </c>
      <c r="L324" s="2">
        <v>45570</v>
      </c>
    </row>
    <row r="325" spans="1:12">
      <c r="A325" t="s">
        <v>558</v>
      </c>
      <c r="B325" t="s">
        <v>182</v>
      </c>
      <c r="C325" t="s">
        <v>19</v>
      </c>
      <c r="D325" t="s">
        <v>36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>
        <v>0.66690000000000005</v>
      </c>
      <c r="K325">
        <v>90000</v>
      </c>
      <c r="L325" s="2">
        <v>45642</v>
      </c>
    </row>
    <row r="326" spans="1:12">
      <c r="A326" t="s">
        <v>559</v>
      </c>
      <c r="B326" t="s">
        <v>79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>
        <v>0.92649999999999999</v>
      </c>
      <c r="K326">
        <v>90000</v>
      </c>
      <c r="L326" s="2">
        <v>46072</v>
      </c>
    </row>
    <row r="327" spans="1:12">
      <c r="A327" t="s">
        <v>560</v>
      </c>
      <c r="B327" t="s">
        <v>69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>
        <v>0.9254</v>
      </c>
      <c r="K327">
        <v>130000</v>
      </c>
      <c r="L327" s="2">
        <v>45782</v>
      </c>
    </row>
    <row r="328" spans="1:12">
      <c r="A328" t="s">
        <v>561</v>
      </c>
      <c r="B328" t="s">
        <v>562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>
        <v>0.89339999999999997</v>
      </c>
      <c r="K328">
        <v>70000</v>
      </c>
      <c r="L328" s="2">
        <v>45961</v>
      </c>
    </row>
    <row r="329" spans="1:12">
      <c r="A329" t="s">
        <v>563</v>
      </c>
      <c r="B329" t="s">
        <v>564</v>
      </c>
      <c r="C329" t="s">
        <v>14</v>
      </c>
      <c r="D329" t="s">
        <v>53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>
        <v>0.80220000000000002</v>
      </c>
      <c r="K329">
        <v>120000</v>
      </c>
      <c r="L329" s="2">
        <v>45932</v>
      </c>
    </row>
    <row r="330" spans="1:12">
      <c r="A330" t="s">
        <v>565</v>
      </c>
      <c r="B330" t="s">
        <v>382</v>
      </c>
      <c r="C330" t="s">
        <v>14</v>
      </c>
      <c r="D330" t="s">
        <v>53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>
        <v>0.67269999999999996</v>
      </c>
      <c r="K330">
        <v>75000</v>
      </c>
      <c r="L330" s="2">
        <v>45921</v>
      </c>
    </row>
    <row r="331" spans="1:12">
      <c r="A331" t="s">
        <v>566</v>
      </c>
      <c r="B331" t="s">
        <v>552</v>
      </c>
      <c r="C331" t="s">
        <v>19</v>
      </c>
      <c r="D331" t="s">
        <v>36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>
        <v>0.85360000000000003</v>
      </c>
      <c r="K331">
        <v>130000</v>
      </c>
      <c r="L331" s="2">
        <v>45825</v>
      </c>
    </row>
    <row r="332" spans="1:12">
      <c r="A332" t="s">
        <v>567</v>
      </c>
      <c r="B332" t="s">
        <v>270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>
        <v>0.78349999999999997</v>
      </c>
      <c r="K332">
        <v>110000</v>
      </c>
      <c r="L332" s="2">
        <v>45874</v>
      </c>
    </row>
    <row r="333" spans="1:12">
      <c r="A333" t="s">
        <v>568</v>
      </c>
      <c r="B333" t="s">
        <v>453</v>
      </c>
      <c r="C333" t="s">
        <v>14</v>
      </c>
      <c r="D333" t="s">
        <v>15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>
        <v>0.83299999999999996</v>
      </c>
      <c r="K333">
        <v>70000</v>
      </c>
      <c r="L333" s="2">
        <v>46112</v>
      </c>
    </row>
    <row r="334" spans="1:12">
      <c r="A334" t="s">
        <v>569</v>
      </c>
      <c r="B334" t="s">
        <v>220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>
        <v>0.95879999999999999</v>
      </c>
      <c r="K334">
        <v>70000</v>
      </c>
      <c r="L334" s="2">
        <v>46211</v>
      </c>
    </row>
    <row r="335" spans="1:12">
      <c r="A335" t="s">
        <v>570</v>
      </c>
      <c r="B335" t="s">
        <v>111</v>
      </c>
      <c r="C335" t="s">
        <v>19</v>
      </c>
      <c r="D335" t="s">
        <v>53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>
        <v>0.95950000000000002</v>
      </c>
      <c r="K335">
        <v>85000</v>
      </c>
      <c r="L335" s="2">
        <v>45715</v>
      </c>
    </row>
    <row r="336" spans="1:12">
      <c r="A336" t="s">
        <v>571</v>
      </c>
      <c r="B336" t="s">
        <v>320</v>
      </c>
      <c r="C336" t="s">
        <v>14</v>
      </c>
      <c r="D336" t="s">
        <v>53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>
        <v>0.93059999999999998</v>
      </c>
      <c r="K336">
        <v>85000</v>
      </c>
      <c r="L336" s="2">
        <v>46004</v>
      </c>
    </row>
    <row r="337" spans="1:12">
      <c r="A337" t="s">
        <v>572</v>
      </c>
      <c r="B337" t="s">
        <v>477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>
        <v>0.84789999999999999</v>
      </c>
      <c r="K337">
        <v>70000</v>
      </c>
      <c r="L337" s="2">
        <v>46214</v>
      </c>
    </row>
    <row r="338" spans="1:12">
      <c r="A338" t="s">
        <v>573</v>
      </c>
      <c r="B338" t="s">
        <v>485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>
        <v>0.8589</v>
      </c>
      <c r="K338">
        <v>70000</v>
      </c>
      <c r="L338" s="2">
        <v>45541</v>
      </c>
    </row>
    <row r="339" spans="1:12">
      <c r="A339" t="s">
        <v>574</v>
      </c>
      <c r="B339" t="s">
        <v>575</v>
      </c>
      <c r="C339" t="s">
        <v>14</v>
      </c>
      <c r="D339" t="s">
        <v>36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>
        <v>0.73309999999999997</v>
      </c>
      <c r="K339">
        <v>120000</v>
      </c>
      <c r="L339" s="2">
        <v>46085</v>
      </c>
    </row>
    <row r="340" spans="1:12">
      <c r="A340" t="s">
        <v>576</v>
      </c>
      <c r="B340" t="s">
        <v>170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>
        <v>0.80679999999999996</v>
      </c>
      <c r="K340">
        <v>110000</v>
      </c>
      <c r="L340" s="2">
        <v>45883</v>
      </c>
    </row>
    <row r="341" spans="1:12">
      <c r="A341" t="s">
        <v>577</v>
      </c>
      <c r="B341" t="s">
        <v>578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>
        <v>0.95840000000000003</v>
      </c>
      <c r="K341">
        <v>70000</v>
      </c>
      <c r="L341" s="2">
        <v>46213</v>
      </c>
    </row>
    <row r="342" spans="1:12">
      <c r="A342" t="s">
        <v>579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>
        <v>0.93799999999999994</v>
      </c>
      <c r="K342">
        <v>100000</v>
      </c>
      <c r="L342" s="2">
        <v>45940</v>
      </c>
    </row>
    <row r="343" spans="1:12">
      <c r="A343" t="s">
        <v>580</v>
      </c>
      <c r="B343" t="s">
        <v>581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>
        <v>0.81640000000000001</v>
      </c>
      <c r="K343">
        <v>60000</v>
      </c>
      <c r="L343" s="2">
        <v>46122</v>
      </c>
    </row>
    <row r="344" spans="1:12">
      <c r="A344" t="s">
        <v>582</v>
      </c>
      <c r="B344" t="s">
        <v>243</v>
      </c>
      <c r="C344" t="s">
        <v>19</v>
      </c>
      <c r="D344" t="s">
        <v>20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>
        <v>0.67269999999999996</v>
      </c>
      <c r="K344">
        <v>80000</v>
      </c>
      <c r="L344" s="2">
        <v>45652</v>
      </c>
    </row>
    <row r="345" spans="1:12">
      <c r="A345" t="s">
        <v>583</v>
      </c>
      <c r="B345" t="s">
        <v>539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>
        <v>0.82779999999999998</v>
      </c>
      <c r="K345">
        <v>50000</v>
      </c>
      <c r="L345" s="2">
        <v>45635</v>
      </c>
    </row>
    <row r="346" spans="1:12">
      <c r="A346" t="s">
        <v>584</v>
      </c>
      <c r="B346" t="s">
        <v>585</v>
      </c>
      <c r="C346" t="s">
        <v>19</v>
      </c>
      <c r="D346" t="s">
        <v>53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>
        <v>0.79369999999999996</v>
      </c>
      <c r="K346">
        <v>100000</v>
      </c>
      <c r="L346" s="2">
        <v>46184</v>
      </c>
    </row>
    <row r="347" spans="1:12">
      <c r="A347" t="s">
        <v>586</v>
      </c>
      <c r="B347" t="s">
        <v>378</v>
      </c>
      <c r="C347" t="s">
        <v>14</v>
      </c>
      <c r="D347" t="s">
        <v>53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>
        <v>0.85799999999999998</v>
      </c>
      <c r="K347">
        <v>70000</v>
      </c>
      <c r="L347" s="2">
        <v>45904</v>
      </c>
    </row>
    <row r="348" spans="1:12">
      <c r="A348" t="s">
        <v>587</v>
      </c>
      <c r="B348" t="s">
        <v>310</v>
      </c>
      <c r="C348" t="s">
        <v>19</v>
      </c>
      <c r="D348" t="s">
        <v>36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>
        <v>0.86880000000000002</v>
      </c>
      <c r="K348">
        <v>70000</v>
      </c>
      <c r="L348" s="2">
        <v>45926</v>
      </c>
    </row>
    <row r="349" spans="1:12">
      <c r="A349" t="s">
        <v>588</v>
      </c>
      <c r="B349" t="s">
        <v>589</v>
      </c>
      <c r="C349" t="s">
        <v>19</v>
      </c>
      <c r="D349" t="s">
        <v>53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>
        <v>0.80469999999999997</v>
      </c>
      <c r="K349">
        <v>70000</v>
      </c>
      <c r="L349" s="2">
        <v>45654</v>
      </c>
    </row>
    <row r="350" spans="1:12">
      <c r="A350" t="s">
        <v>590</v>
      </c>
      <c r="B350" t="s">
        <v>45</v>
      </c>
      <c r="C350" t="s">
        <v>14</v>
      </c>
      <c r="D350" t="s">
        <v>36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>
        <v>0.9738</v>
      </c>
      <c r="K350">
        <v>70000</v>
      </c>
      <c r="L350" s="2">
        <v>45694</v>
      </c>
    </row>
    <row r="351" spans="1:12">
      <c r="A351" t="s">
        <v>591</v>
      </c>
      <c r="B351" t="s">
        <v>202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>
        <v>0.58009999999999995</v>
      </c>
      <c r="K351">
        <v>50000</v>
      </c>
      <c r="L351" s="2">
        <v>46108</v>
      </c>
    </row>
    <row r="352" spans="1:12">
      <c r="A352" t="s">
        <v>592</v>
      </c>
      <c r="B352" t="s">
        <v>479</v>
      </c>
      <c r="C352" t="s">
        <v>19</v>
      </c>
      <c r="D352" t="s">
        <v>53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>
        <v>0.83930000000000005</v>
      </c>
      <c r="K352">
        <v>90000</v>
      </c>
      <c r="L352" s="2">
        <v>45748</v>
      </c>
    </row>
    <row r="353" spans="1:12">
      <c r="A353" t="s">
        <v>593</v>
      </c>
      <c r="B353" t="s">
        <v>594</v>
      </c>
      <c r="C353" t="s">
        <v>14</v>
      </c>
      <c r="D353" t="s">
        <v>36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>
        <v>0.85319999999999996</v>
      </c>
      <c r="K353">
        <v>120000</v>
      </c>
      <c r="L353" s="2">
        <v>45944</v>
      </c>
    </row>
    <row r="354" spans="1:12">
      <c r="A354" t="s">
        <v>595</v>
      </c>
      <c r="B354" t="s">
        <v>65</v>
      </c>
      <c r="C354" t="s">
        <v>14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>
        <v>0.84409999999999996</v>
      </c>
      <c r="K354">
        <v>75000</v>
      </c>
      <c r="L354" s="2">
        <v>45757</v>
      </c>
    </row>
    <row r="355" spans="1:12">
      <c r="A355" t="s">
        <v>596</v>
      </c>
      <c r="B355" t="s">
        <v>378</v>
      </c>
      <c r="C355" t="s">
        <v>14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>
        <v>0.83609999999999995</v>
      </c>
      <c r="K355">
        <v>110000</v>
      </c>
      <c r="L355" s="2">
        <v>45720</v>
      </c>
    </row>
    <row r="356" spans="1:12">
      <c r="A356" t="s">
        <v>597</v>
      </c>
      <c r="B356" t="s">
        <v>256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>
        <v>0.82279999999999998</v>
      </c>
      <c r="K356">
        <v>85000</v>
      </c>
      <c r="L356" s="2">
        <v>45652</v>
      </c>
    </row>
    <row r="357" spans="1:12">
      <c r="A357" t="s">
        <v>598</v>
      </c>
      <c r="B357" t="s">
        <v>113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>
        <v>0.90110000000000001</v>
      </c>
      <c r="K357">
        <v>70000</v>
      </c>
      <c r="L357" s="2">
        <v>46186</v>
      </c>
    </row>
    <row r="358" spans="1:12">
      <c r="A358" t="s">
        <v>599</v>
      </c>
      <c r="B358" t="s">
        <v>600</v>
      </c>
      <c r="C358" t="s">
        <v>14</v>
      </c>
      <c r="D358" t="s">
        <v>32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>
        <v>0.84319999999999995</v>
      </c>
      <c r="K358">
        <v>50000</v>
      </c>
      <c r="L358" s="2">
        <v>46194</v>
      </c>
    </row>
    <row r="359" spans="1:12">
      <c r="A359" t="s">
        <v>601</v>
      </c>
      <c r="B359" t="s">
        <v>119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>
        <v>0.94010000000000005</v>
      </c>
      <c r="K359">
        <v>110000</v>
      </c>
      <c r="L359" s="2">
        <v>45616</v>
      </c>
    </row>
    <row r="360" spans="1:12">
      <c r="A360" t="s">
        <v>602</v>
      </c>
      <c r="B360" t="s">
        <v>340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>
        <v>0.87829999999999997</v>
      </c>
      <c r="K360">
        <v>50000</v>
      </c>
      <c r="L360" s="2">
        <v>45783</v>
      </c>
    </row>
    <row r="361" spans="1:12">
      <c r="A361" t="s">
        <v>603</v>
      </c>
      <c r="B361" t="s">
        <v>146</v>
      </c>
      <c r="C361" t="s">
        <v>19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>
        <v>0.9587</v>
      </c>
      <c r="K361">
        <v>80000</v>
      </c>
      <c r="L361" s="2">
        <v>45930</v>
      </c>
    </row>
    <row r="362" spans="1:12">
      <c r="A362" t="s">
        <v>604</v>
      </c>
      <c r="B362" t="s">
        <v>233</v>
      </c>
      <c r="C362" t="s">
        <v>19</v>
      </c>
      <c r="D362" t="s">
        <v>32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>
        <v>0.76790000000000003</v>
      </c>
      <c r="K362">
        <v>50000</v>
      </c>
      <c r="L362" s="2">
        <v>45804</v>
      </c>
    </row>
    <row r="363" spans="1:12">
      <c r="A363" t="s">
        <v>605</v>
      </c>
      <c r="B363" t="s">
        <v>81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>
        <v>0.80830000000000002</v>
      </c>
      <c r="K363">
        <v>110000</v>
      </c>
      <c r="L363" s="2">
        <v>46040</v>
      </c>
    </row>
    <row r="364" spans="1:12">
      <c r="A364" t="s">
        <v>606</v>
      </c>
      <c r="B364" t="s">
        <v>607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>
        <v>0.87450000000000006</v>
      </c>
      <c r="K364">
        <v>130000</v>
      </c>
      <c r="L364" s="2">
        <v>45718</v>
      </c>
    </row>
    <row r="365" spans="1:12">
      <c r="A365" t="s">
        <v>608</v>
      </c>
      <c r="B365" t="s">
        <v>464</v>
      </c>
      <c r="C365" t="s">
        <v>19</v>
      </c>
      <c r="D365" t="s">
        <v>20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>
        <v>0.79049999999999998</v>
      </c>
      <c r="K365">
        <v>75000</v>
      </c>
      <c r="L365" s="2">
        <v>45577</v>
      </c>
    </row>
    <row r="366" spans="1:12">
      <c r="A366" t="s">
        <v>609</v>
      </c>
      <c r="B366" t="s">
        <v>357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>
        <v>0.75980000000000003</v>
      </c>
      <c r="K366">
        <v>75000</v>
      </c>
      <c r="L366" s="2">
        <v>45771</v>
      </c>
    </row>
    <row r="367" spans="1:12">
      <c r="A367" t="s">
        <v>610</v>
      </c>
      <c r="B367" t="s">
        <v>611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>
        <v>0.80969999999999998</v>
      </c>
      <c r="K367">
        <v>90000</v>
      </c>
      <c r="L367" s="2">
        <v>45954</v>
      </c>
    </row>
    <row r="368" spans="1:12">
      <c r="A368" t="s">
        <v>612</v>
      </c>
      <c r="B368" t="s">
        <v>600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>
        <v>0.8569</v>
      </c>
      <c r="K368">
        <v>85000</v>
      </c>
      <c r="L368" s="2">
        <v>45662</v>
      </c>
    </row>
    <row r="369" spans="1:12">
      <c r="A369" t="s">
        <v>613</v>
      </c>
      <c r="B369" t="s">
        <v>65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>
        <v>0.93240000000000001</v>
      </c>
      <c r="K369">
        <v>80000</v>
      </c>
      <c r="L369" s="2">
        <v>46107</v>
      </c>
    </row>
    <row r="370" spans="1:12">
      <c r="A370" t="s">
        <v>614</v>
      </c>
      <c r="B370" t="s">
        <v>188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>
        <v>0.72989999999999999</v>
      </c>
      <c r="K370">
        <v>80000</v>
      </c>
      <c r="L370" s="2">
        <v>45544</v>
      </c>
    </row>
    <row r="371" spans="1:12">
      <c r="A371" t="s">
        <v>615</v>
      </c>
      <c r="B371" t="s">
        <v>272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>
        <v>0.98099999999999998</v>
      </c>
      <c r="K371">
        <v>70000</v>
      </c>
      <c r="L371" s="2">
        <v>45583</v>
      </c>
    </row>
    <row r="372" spans="1:12">
      <c r="A372" t="s">
        <v>616</v>
      </c>
      <c r="B372" t="s">
        <v>194</v>
      </c>
      <c r="C372" t="s">
        <v>14</v>
      </c>
      <c r="D372" t="s">
        <v>28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>
        <v>0.66879999999999995</v>
      </c>
      <c r="K372">
        <v>70000</v>
      </c>
      <c r="L372" s="2">
        <v>45892</v>
      </c>
    </row>
    <row r="373" spans="1:12">
      <c r="A373" t="s">
        <v>617</v>
      </c>
      <c r="B373" t="s">
        <v>618</v>
      </c>
      <c r="C373" t="s">
        <v>19</v>
      </c>
      <c r="D373" t="s">
        <v>53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>
        <v>0.88249999999999995</v>
      </c>
      <c r="K373">
        <v>90000</v>
      </c>
      <c r="L373" s="2">
        <v>45894</v>
      </c>
    </row>
    <row r="374" spans="1:12">
      <c r="A374" t="s">
        <v>619</v>
      </c>
      <c r="B374" t="s">
        <v>620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>
        <v>0.69179999999999997</v>
      </c>
      <c r="K374">
        <v>110000</v>
      </c>
      <c r="L374" s="2">
        <v>45742</v>
      </c>
    </row>
    <row r="375" spans="1:12">
      <c r="A375" t="s">
        <v>621</v>
      </c>
      <c r="B375" t="s">
        <v>444</v>
      </c>
      <c r="C375" t="s">
        <v>14</v>
      </c>
      <c r="D375" t="s">
        <v>53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>
        <v>0.89070000000000005</v>
      </c>
      <c r="K375">
        <v>110000</v>
      </c>
      <c r="L375" s="2">
        <v>45716</v>
      </c>
    </row>
    <row r="376" spans="1:12">
      <c r="A376" t="s">
        <v>622</v>
      </c>
      <c r="B376" t="s">
        <v>623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>
        <v>0.64280000000000004</v>
      </c>
      <c r="K376">
        <v>85000</v>
      </c>
      <c r="L376" s="2">
        <v>45584</v>
      </c>
    </row>
    <row r="377" spans="1:12">
      <c r="A377" t="s">
        <v>624</v>
      </c>
      <c r="B377" t="s">
        <v>625</v>
      </c>
      <c r="C377" t="s">
        <v>14</v>
      </c>
      <c r="D377" t="s">
        <v>36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>
        <v>0.95150000000000001</v>
      </c>
      <c r="K377">
        <v>110000</v>
      </c>
      <c r="L377" s="2">
        <v>46000</v>
      </c>
    </row>
    <row r="378" spans="1:12">
      <c r="A378" t="s">
        <v>626</v>
      </c>
      <c r="B378" t="s">
        <v>627</v>
      </c>
      <c r="C378" t="s">
        <v>19</v>
      </c>
      <c r="D378" t="s">
        <v>28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>
        <v>0.90229999999999999</v>
      </c>
      <c r="K378">
        <v>90000</v>
      </c>
      <c r="L378" s="2">
        <v>45801</v>
      </c>
    </row>
    <row r="379" spans="1:12">
      <c r="A379" t="s">
        <v>628</v>
      </c>
      <c r="B379" t="s">
        <v>589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>
        <v>0.84560000000000002</v>
      </c>
      <c r="K379">
        <v>75000</v>
      </c>
      <c r="L379" s="2">
        <v>45619</v>
      </c>
    </row>
    <row r="380" spans="1:12">
      <c r="A380" t="s">
        <v>629</v>
      </c>
      <c r="B380" t="s">
        <v>630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>
        <v>0.96209999999999996</v>
      </c>
      <c r="K380">
        <v>75000</v>
      </c>
      <c r="L380" s="2">
        <v>45815</v>
      </c>
    </row>
    <row r="381" spans="1:12">
      <c r="A381" t="s">
        <v>631</v>
      </c>
      <c r="B381" t="s">
        <v>632</v>
      </c>
      <c r="C381" t="s">
        <v>14</v>
      </c>
      <c r="D381" t="s">
        <v>36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>
        <v>0.67779999999999996</v>
      </c>
      <c r="K381">
        <v>85000</v>
      </c>
      <c r="L381" s="2">
        <v>46191</v>
      </c>
    </row>
    <row r="382" spans="1:12">
      <c r="A382" t="s">
        <v>633</v>
      </c>
      <c r="B382" t="s">
        <v>135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>
        <v>0.9073</v>
      </c>
      <c r="K382">
        <v>75000</v>
      </c>
      <c r="L382" s="2">
        <v>45718</v>
      </c>
    </row>
    <row r="383" spans="1:12">
      <c r="A383" t="s">
        <v>634</v>
      </c>
      <c r="B383" t="s">
        <v>509</v>
      </c>
      <c r="C383" t="s">
        <v>19</v>
      </c>
      <c r="D383" t="s">
        <v>36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>
        <v>0.65949999999999998</v>
      </c>
      <c r="K383">
        <v>110000</v>
      </c>
      <c r="L383" s="2">
        <v>46162</v>
      </c>
    </row>
    <row r="384" spans="1:12">
      <c r="A384" t="s">
        <v>635</v>
      </c>
      <c r="B384" t="s">
        <v>636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>
        <v>0.80689999999999995</v>
      </c>
      <c r="K384">
        <v>70000</v>
      </c>
      <c r="L384" s="2">
        <v>45717</v>
      </c>
    </row>
    <row r="385" spans="1:12">
      <c r="A385" t="s">
        <v>637</v>
      </c>
      <c r="B385" t="s">
        <v>75</v>
      </c>
      <c r="C385" t="s">
        <v>14</v>
      </c>
      <c r="D385" t="s">
        <v>28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>
        <v>0.87890000000000001</v>
      </c>
      <c r="K385">
        <v>50000</v>
      </c>
      <c r="L385" s="2">
        <v>45666</v>
      </c>
    </row>
    <row r="386" spans="1:12">
      <c r="A386" t="s">
        <v>638</v>
      </c>
      <c r="B386" t="s">
        <v>157</v>
      </c>
      <c r="C386" t="s">
        <v>14</v>
      </c>
      <c r="D386" t="s">
        <v>28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>
        <v>0.73029999999999995</v>
      </c>
      <c r="K386">
        <v>85000</v>
      </c>
      <c r="L386" s="2">
        <v>45718</v>
      </c>
    </row>
    <row r="387" spans="1:12">
      <c r="A387" t="s">
        <v>639</v>
      </c>
      <c r="B387" t="s">
        <v>640</v>
      </c>
      <c r="C387" t="s">
        <v>14</v>
      </c>
      <c r="D387" t="s">
        <v>36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>
        <v>0.9486</v>
      </c>
      <c r="K387">
        <v>50000</v>
      </c>
      <c r="L387" s="2">
        <v>45762</v>
      </c>
    </row>
    <row r="388" spans="1:12">
      <c r="A388" t="s">
        <v>641</v>
      </c>
      <c r="B388" t="s">
        <v>248</v>
      </c>
      <c r="C388" t="s">
        <v>14</v>
      </c>
      <c r="D388" t="s">
        <v>36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>
        <v>0.60780000000000001</v>
      </c>
      <c r="K388">
        <v>70000</v>
      </c>
      <c r="L388" s="2">
        <v>45620</v>
      </c>
    </row>
    <row r="389" spans="1:12">
      <c r="A389" t="s">
        <v>642</v>
      </c>
      <c r="B389" t="s">
        <v>552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>
        <v>0.86929999999999996</v>
      </c>
      <c r="K389">
        <v>80000</v>
      </c>
      <c r="L389" s="2">
        <v>45947</v>
      </c>
    </row>
    <row r="390" spans="1:12">
      <c r="A390" t="s">
        <v>643</v>
      </c>
      <c r="B390" t="s">
        <v>262</v>
      </c>
      <c r="C390" t="s">
        <v>19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>
        <v>0.9224</v>
      </c>
      <c r="K390">
        <v>50000</v>
      </c>
      <c r="L390" s="2">
        <v>45769</v>
      </c>
    </row>
    <row r="391" spans="1:12">
      <c r="A391" t="s">
        <v>644</v>
      </c>
      <c r="B391" t="s">
        <v>370</v>
      </c>
      <c r="C391" t="s">
        <v>14</v>
      </c>
      <c r="D391" t="s">
        <v>53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>
        <v>0.78449999999999998</v>
      </c>
      <c r="K391">
        <v>70000</v>
      </c>
      <c r="L391" s="2">
        <v>46038</v>
      </c>
    </row>
    <row r="392" spans="1:12">
      <c r="A392" t="s">
        <v>645</v>
      </c>
      <c r="B392" t="s">
        <v>646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>
        <v>0.92059999999999997</v>
      </c>
      <c r="K392">
        <v>85000</v>
      </c>
      <c r="L392" s="2">
        <v>45879</v>
      </c>
    </row>
    <row r="393" spans="1:12">
      <c r="A393" t="s">
        <v>647</v>
      </c>
      <c r="B393" t="s">
        <v>202</v>
      </c>
      <c r="C393" t="s">
        <v>14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>
        <v>0.82630000000000003</v>
      </c>
      <c r="K393">
        <v>80000</v>
      </c>
      <c r="L393" s="2">
        <v>45845</v>
      </c>
    </row>
    <row r="394" spans="1:12">
      <c r="A394" t="s">
        <v>648</v>
      </c>
      <c r="B394" t="s">
        <v>649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>
        <v>0.94930000000000003</v>
      </c>
      <c r="K394">
        <v>120000</v>
      </c>
      <c r="L394" s="2">
        <v>45865</v>
      </c>
    </row>
    <row r="395" spans="1:12">
      <c r="A395" t="s">
        <v>650</v>
      </c>
      <c r="B395" t="s">
        <v>651</v>
      </c>
      <c r="C395" t="s">
        <v>19</v>
      </c>
      <c r="D395" t="s">
        <v>53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>
        <v>0.55000000000000004</v>
      </c>
      <c r="K395">
        <v>60000</v>
      </c>
      <c r="L395" s="2">
        <v>45645</v>
      </c>
    </row>
    <row r="396" spans="1:12">
      <c r="A396" t="s">
        <v>652</v>
      </c>
      <c r="B396" t="s">
        <v>653</v>
      </c>
      <c r="C396" t="s">
        <v>19</v>
      </c>
      <c r="D396" t="s">
        <v>36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>
        <v>0.89339999999999997</v>
      </c>
      <c r="K396">
        <v>100000</v>
      </c>
      <c r="L396" s="2">
        <v>46035</v>
      </c>
    </row>
    <row r="397" spans="1:12">
      <c r="A397" t="s">
        <v>654</v>
      </c>
      <c r="B397" t="s">
        <v>655</v>
      </c>
      <c r="C397" t="s">
        <v>19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>
        <v>0.95520000000000005</v>
      </c>
      <c r="K397">
        <v>90000</v>
      </c>
      <c r="L397" s="2">
        <v>45608</v>
      </c>
    </row>
    <row r="398" spans="1:12">
      <c r="A398" t="s">
        <v>656</v>
      </c>
      <c r="B398" t="s">
        <v>657</v>
      </c>
      <c r="C398" t="s">
        <v>14</v>
      </c>
      <c r="D398" t="s">
        <v>28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>
        <v>0.81210000000000004</v>
      </c>
      <c r="K398">
        <v>100000</v>
      </c>
      <c r="L398" s="2">
        <v>46041</v>
      </c>
    </row>
    <row r="399" spans="1:12">
      <c r="A399" t="s">
        <v>658</v>
      </c>
      <c r="B399" t="s">
        <v>659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>
        <v>0.86140000000000005</v>
      </c>
      <c r="K399">
        <v>100000</v>
      </c>
      <c r="L399" s="2">
        <v>46235</v>
      </c>
    </row>
    <row r="400" spans="1:12">
      <c r="A400" t="s">
        <v>660</v>
      </c>
      <c r="B400" t="s">
        <v>514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>
        <v>0.76500000000000001</v>
      </c>
      <c r="K400">
        <v>50000</v>
      </c>
      <c r="L400" s="2">
        <v>46070</v>
      </c>
    </row>
    <row r="401" spans="1:12">
      <c r="A401" t="s">
        <v>661</v>
      </c>
      <c r="B401" t="s">
        <v>662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>
        <v>0.94640000000000002</v>
      </c>
      <c r="K401">
        <v>110000</v>
      </c>
      <c r="L401" s="2">
        <v>45854</v>
      </c>
    </row>
    <row r="402" spans="1:12">
      <c r="A402" t="s">
        <v>663</v>
      </c>
      <c r="B402" t="s">
        <v>79</v>
      </c>
      <c r="C402" t="s">
        <v>19</v>
      </c>
      <c r="D402" t="s">
        <v>36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>
        <v>0.96989999999999998</v>
      </c>
      <c r="K402">
        <v>75000</v>
      </c>
      <c r="L402" s="2">
        <v>45756</v>
      </c>
    </row>
    <row r="403" spans="1:12">
      <c r="A403" t="s">
        <v>664</v>
      </c>
      <c r="B403" t="s">
        <v>362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>
        <v>0.84499999999999997</v>
      </c>
      <c r="K403">
        <v>100000</v>
      </c>
      <c r="L403" s="2">
        <v>46146</v>
      </c>
    </row>
    <row r="404" spans="1:12">
      <c r="A404" t="s">
        <v>665</v>
      </c>
      <c r="B404" t="s">
        <v>258</v>
      </c>
      <c r="C404" t="s">
        <v>14</v>
      </c>
      <c r="D404" t="s">
        <v>36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>
        <v>0.91410000000000002</v>
      </c>
      <c r="K404">
        <v>75000</v>
      </c>
      <c r="L404" s="2">
        <v>45716</v>
      </c>
    </row>
    <row r="405" spans="1:12">
      <c r="A405" t="s">
        <v>666</v>
      </c>
      <c r="B405" t="s">
        <v>667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>
        <v>0.66739999999999999</v>
      </c>
      <c r="K405">
        <v>80000</v>
      </c>
      <c r="L405" s="2">
        <v>45873</v>
      </c>
    </row>
    <row r="406" spans="1:12">
      <c r="A406" t="s">
        <v>668</v>
      </c>
      <c r="B406" t="s">
        <v>669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>
        <v>0.80230000000000001</v>
      </c>
      <c r="K406">
        <v>100000</v>
      </c>
      <c r="L406" s="2">
        <v>46075</v>
      </c>
    </row>
    <row r="407" spans="1:12">
      <c r="A407" t="s">
        <v>670</v>
      </c>
      <c r="B407" t="s">
        <v>671</v>
      </c>
      <c r="C407" t="s">
        <v>19</v>
      </c>
      <c r="D407" t="s">
        <v>53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>
        <v>0.92069999999999996</v>
      </c>
      <c r="K407">
        <v>130000</v>
      </c>
      <c r="L407" s="2">
        <v>46181</v>
      </c>
    </row>
    <row r="408" spans="1:12">
      <c r="A408" t="s">
        <v>672</v>
      </c>
      <c r="B408" t="s">
        <v>337</v>
      </c>
      <c r="C408" t="s">
        <v>14</v>
      </c>
      <c r="D408" t="s">
        <v>36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>
        <v>0.87849999999999995</v>
      </c>
      <c r="K408">
        <v>120000</v>
      </c>
      <c r="L408" s="2">
        <v>46180</v>
      </c>
    </row>
    <row r="409" spans="1:12">
      <c r="A409" t="s">
        <v>673</v>
      </c>
      <c r="B409" t="s">
        <v>291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>
        <v>0.66169999999999995</v>
      </c>
      <c r="K409">
        <v>100000</v>
      </c>
      <c r="L409" s="2">
        <v>45597</v>
      </c>
    </row>
    <row r="410" spans="1:12">
      <c r="A410" t="s">
        <v>674</v>
      </c>
      <c r="B410" t="s">
        <v>675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>
        <v>0.86729999999999996</v>
      </c>
      <c r="K410">
        <v>85000</v>
      </c>
      <c r="L410" s="2">
        <v>46164</v>
      </c>
    </row>
    <row r="411" spans="1:12">
      <c r="A411" t="s">
        <v>676</v>
      </c>
      <c r="B411" t="s">
        <v>417</v>
      </c>
      <c r="C411" t="s">
        <v>14</v>
      </c>
      <c r="D411" t="s">
        <v>15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>
        <v>0.80100000000000005</v>
      </c>
      <c r="K411">
        <v>85000</v>
      </c>
      <c r="L411" s="2">
        <v>45615</v>
      </c>
    </row>
    <row r="412" spans="1:12">
      <c r="A412" t="s">
        <v>677</v>
      </c>
      <c r="B412" t="s">
        <v>564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>
        <v>0.77969999999999995</v>
      </c>
      <c r="K412">
        <v>130000</v>
      </c>
      <c r="L412" s="2">
        <v>45945</v>
      </c>
    </row>
    <row r="413" spans="1:12">
      <c r="A413" t="s">
        <v>678</v>
      </c>
      <c r="B413" t="s">
        <v>679</v>
      </c>
      <c r="C413" t="s">
        <v>14</v>
      </c>
      <c r="D413" t="s">
        <v>53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>
        <v>0.6956</v>
      </c>
      <c r="K413">
        <v>70000</v>
      </c>
      <c r="L413" s="2">
        <v>46186</v>
      </c>
    </row>
    <row r="414" spans="1:12">
      <c r="A414" t="s">
        <v>680</v>
      </c>
      <c r="B414" t="s">
        <v>555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>
        <v>0.95930000000000004</v>
      </c>
      <c r="K414">
        <v>130000</v>
      </c>
      <c r="L414" s="2">
        <v>45994</v>
      </c>
    </row>
    <row r="415" spans="1:12">
      <c r="A415" t="s">
        <v>681</v>
      </c>
      <c r="B415" t="s">
        <v>117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>
        <v>0.72550000000000003</v>
      </c>
      <c r="K415">
        <v>100000</v>
      </c>
      <c r="L415" s="2">
        <v>46199</v>
      </c>
    </row>
    <row r="416" spans="1:12">
      <c r="A416" t="s">
        <v>682</v>
      </c>
      <c r="B416" t="s">
        <v>683</v>
      </c>
      <c r="C416" t="s">
        <v>14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>
        <v>0.77539999999999998</v>
      </c>
      <c r="K416">
        <v>90000</v>
      </c>
      <c r="L416" s="2">
        <v>45777</v>
      </c>
    </row>
    <row r="417" spans="1:12">
      <c r="A417" t="s">
        <v>684</v>
      </c>
      <c r="B417" t="s">
        <v>148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>
        <v>0.80400000000000005</v>
      </c>
      <c r="K417">
        <v>90000</v>
      </c>
      <c r="L417" s="2">
        <v>45756</v>
      </c>
    </row>
    <row r="418" spans="1:12">
      <c r="A418" t="s">
        <v>685</v>
      </c>
      <c r="B418" t="s">
        <v>346</v>
      </c>
      <c r="C418" t="s">
        <v>19</v>
      </c>
      <c r="D418" t="s">
        <v>36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>
        <v>0.88229999999999997</v>
      </c>
      <c r="K418">
        <v>110000</v>
      </c>
      <c r="L418" s="2">
        <v>45764</v>
      </c>
    </row>
    <row r="419" spans="1:12">
      <c r="A419" t="s">
        <v>686</v>
      </c>
      <c r="B419" t="s">
        <v>251</v>
      </c>
      <c r="C419" t="s">
        <v>14</v>
      </c>
      <c r="D419" t="s">
        <v>32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>
        <v>0.61419999999999997</v>
      </c>
      <c r="K419">
        <v>100000</v>
      </c>
      <c r="L419" s="2">
        <v>45784</v>
      </c>
    </row>
    <row r="420" spans="1:12">
      <c r="A420" t="s">
        <v>687</v>
      </c>
      <c r="B420" t="s">
        <v>372</v>
      </c>
      <c r="C420" t="s">
        <v>14</v>
      </c>
      <c r="D420" t="s">
        <v>28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>
        <v>0.75819999999999999</v>
      </c>
      <c r="K420">
        <v>60000</v>
      </c>
      <c r="L420" s="2">
        <v>46013</v>
      </c>
    </row>
    <row r="421" spans="1:12">
      <c r="A421" t="s">
        <v>688</v>
      </c>
      <c r="B421" t="s">
        <v>270</v>
      </c>
      <c r="C421" t="s">
        <v>19</v>
      </c>
      <c r="D421" t="s">
        <v>20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>
        <v>0.89410000000000001</v>
      </c>
      <c r="K421">
        <v>110000</v>
      </c>
      <c r="L421" s="2">
        <v>45852</v>
      </c>
    </row>
    <row r="422" spans="1:12">
      <c r="A422" t="s">
        <v>689</v>
      </c>
      <c r="B422" t="s">
        <v>690</v>
      </c>
      <c r="C422" t="s">
        <v>19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>
        <v>0.6915</v>
      </c>
      <c r="K422">
        <v>110000</v>
      </c>
      <c r="L422" s="2">
        <v>46052</v>
      </c>
    </row>
    <row r="423" spans="1:12">
      <c r="A423" t="s">
        <v>691</v>
      </c>
      <c r="B423" t="s">
        <v>477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>
        <v>0.8911</v>
      </c>
      <c r="K423">
        <v>130000</v>
      </c>
      <c r="L423" s="2">
        <v>45827</v>
      </c>
    </row>
    <row r="424" spans="1:12">
      <c r="A424" t="s">
        <v>692</v>
      </c>
      <c r="B424" t="s">
        <v>655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>
        <v>0.83109999999999995</v>
      </c>
      <c r="K424">
        <v>130000</v>
      </c>
      <c r="L424" s="2">
        <v>45751</v>
      </c>
    </row>
    <row r="425" spans="1:12">
      <c r="A425" t="s">
        <v>693</v>
      </c>
      <c r="B425" t="s">
        <v>455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>
        <v>0.75629999999999997</v>
      </c>
      <c r="K425">
        <v>130000</v>
      </c>
      <c r="L425" s="2">
        <v>45669</v>
      </c>
    </row>
    <row r="426" spans="1:12">
      <c r="A426" t="s">
        <v>694</v>
      </c>
      <c r="B426" t="s">
        <v>555</v>
      </c>
      <c r="C426" t="s">
        <v>14</v>
      </c>
      <c r="D426" t="s">
        <v>32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>
        <v>0.61680000000000001</v>
      </c>
      <c r="K426">
        <v>50000</v>
      </c>
      <c r="L426" s="2">
        <v>45921</v>
      </c>
    </row>
    <row r="427" spans="1:12">
      <c r="A427" t="s">
        <v>695</v>
      </c>
      <c r="B427" t="s">
        <v>264</v>
      </c>
      <c r="C427" t="s">
        <v>14</v>
      </c>
      <c r="D427" t="s">
        <v>53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>
        <v>0.90069999999999995</v>
      </c>
      <c r="K427">
        <v>90000</v>
      </c>
      <c r="L427" s="2">
        <v>46164</v>
      </c>
    </row>
    <row r="428" spans="1:12">
      <c r="A428" t="s">
        <v>696</v>
      </c>
      <c r="B428" t="s">
        <v>697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>
        <v>0.89200000000000002</v>
      </c>
      <c r="K428">
        <v>130000</v>
      </c>
      <c r="L428" s="2">
        <v>46137</v>
      </c>
    </row>
    <row r="429" spans="1:12">
      <c r="A429" t="s">
        <v>698</v>
      </c>
      <c r="B429" t="s">
        <v>699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>
        <v>0.89590000000000003</v>
      </c>
      <c r="K429">
        <v>130000</v>
      </c>
      <c r="L429" s="2">
        <v>45713</v>
      </c>
    </row>
    <row r="430" spans="1:12">
      <c r="A430" t="s">
        <v>700</v>
      </c>
      <c r="B430" t="s">
        <v>258</v>
      </c>
      <c r="C430" t="s">
        <v>14</v>
      </c>
      <c r="D430" t="s">
        <v>36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>
        <v>0.74160000000000004</v>
      </c>
      <c r="K430">
        <v>90000</v>
      </c>
      <c r="L430" s="2">
        <v>45870</v>
      </c>
    </row>
    <row r="431" spans="1:12">
      <c r="A431" t="s">
        <v>701</v>
      </c>
      <c r="B431" t="s">
        <v>380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>
        <v>0.626</v>
      </c>
      <c r="K431">
        <v>130000</v>
      </c>
      <c r="L431" s="2">
        <v>46029</v>
      </c>
    </row>
    <row r="432" spans="1:12">
      <c r="A432" t="s">
        <v>702</v>
      </c>
      <c r="B432" t="s">
        <v>467</v>
      </c>
      <c r="C432" t="s">
        <v>14</v>
      </c>
      <c r="D432" t="s">
        <v>15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>
        <v>0.67689999999999995</v>
      </c>
      <c r="K432">
        <v>120000</v>
      </c>
      <c r="L432" s="2">
        <v>45964</v>
      </c>
    </row>
    <row r="433" spans="1:12">
      <c r="A433" t="s">
        <v>703</v>
      </c>
      <c r="B433" t="s">
        <v>412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>
        <v>0.76980000000000004</v>
      </c>
      <c r="K433">
        <v>50000</v>
      </c>
      <c r="L433" s="2">
        <v>45583</v>
      </c>
    </row>
    <row r="434" spans="1:12">
      <c r="A434" t="s">
        <v>704</v>
      </c>
      <c r="B434" t="s">
        <v>412</v>
      </c>
      <c r="C434" t="s">
        <v>19</v>
      </c>
      <c r="D434" t="s">
        <v>32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>
        <v>0.55000000000000004</v>
      </c>
      <c r="K434">
        <v>120000</v>
      </c>
      <c r="L434" s="2">
        <v>45949</v>
      </c>
    </row>
    <row r="435" spans="1:12">
      <c r="A435" t="s">
        <v>705</v>
      </c>
      <c r="B435" t="s">
        <v>683</v>
      </c>
      <c r="C435" t="s">
        <v>14</v>
      </c>
      <c r="D435" t="s">
        <v>28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>
        <v>0.877</v>
      </c>
      <c r="K435">
        <v>100000</v>
      </c>
      <c r="L435" s="2">
        <v>45563</v>
      </c>
    </row>
    <row r="436" spans="1:12">
      <c r="A436" t="s">
        <v>706</v>
      </c>
      <c r="B436" t="s">
        <v>157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>
        <v>0.77610000000000001</v>
      </c>
      <c r="K436">
        <v>90000</v>
      </c>
      <c r="L436" s="2">
        <v>45617</v>
      </c>
    </row>
    <row r="437" spans="1:12">
      <c r="A437" t="s">
        <v>707</v>
      </c>
      <c r="B437" t="s">
        <v>92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>
        <v>0.7661</v>
      </c>
      <c r="K437">
        <v>60000</v>
      </c>
      <c r="L437" s="2">
        <v>45993</v>
      </c>
    </row>
    <row r="438" spans="1:12">
      <c r="A438" t="s">
        <v>708</v>
      </c>
      <c r="B438" t="s">
        <v>408</v>
      </c>
      <c r="C438" t="s">
        <v>19</v>
      </c>
      <c r="D438" t="s">
        <v>32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>
        <v>0.55000000000000004</v>
      </c>
      <c r="K438">
        <v>130000</v>
      </c>
      <c r="L438" s="2">
        <v>45607</v>
      </c>
    </row>
    <row r="439" spans="1:12">
      <c r="A439" t="s">
        <v>709</v>
      </c>
      <c r="B439" t="s">
        <v>710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>
        <v>0.71079999999999999</v>
      </c>
      <c r="K439">
        <v>75000</v>
      </c>
      <c r="L439" s="2">
        <v>45773</v>
      </c>
    </row>
    <row r="440" spans="1:12">
      <c r="A440" t="s">
        <v>711</v>
      </c>
      <c r="B440" t="s">
        <v>712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>
        <v>0.89910000000000001</v>
      </c>
      <c r="K440">
        <v>80000</v>
      </c>
      <c r="L440" s="2">
        <v>45947</v>
      </c>
    </row>
    <row r="441" spans="1:12">
      <c r="A441" t="s">
        <v>713</v>
      </c>
      <c r="B441" t="s">
        <v>378</v>
      </c>
      <c r="C441" t="s">
        <v>14</v>
      </c>
      <c r="D441" t="s">
        <v>53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>
        <v>0.98099999999999998</v>
      </c>
      <c r="K441">
        <v>75000</v>
      </c>
      <c r="L441" s="2">
        <v>45994</v>
      </c>
    </row>
    <row r="442" spans="1:12">
      <c r="A442" t="s">
        <v>714</v>
      </c>
      <c r="B442" t="s">
        <v>52</v>
      </c>
      <c r="C442" t="s">
        <v>19</v>
      </c>
      <c r="D442" t="s">
        <v>53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>
        <v>0.55000000000000004</v>
      </c>
      <c r="K442">
        <v>130000</v>
      </c>
      <c r="L442" s="2">
        <v>45848</v>
      </c>
    </row>
    <row r="443" spans="1:12">
      <c r="A443" t="s">
        <v>715</v>
      </c>
      <c r="B443" t="s">
        <v>632</v>
      </c>
      <c r="C443" t="s">
        <v>14</v>
      </c>
      <c r="D443" t="s">
        <v>28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>
        <v>0.84509999999999996</v>
      </c>
      <c r="K443">
        <v>85000</v>
      </c>
      <c r="L443" s="2">
        <v>45601</v>
      </c>
    </row>
    <row r="444" spans="1:12">
      <c r="A444" t="s">
        <v>716</v>
      </c>
      <c r="B444" t="s">
        <v>135</v>
      </c>
      <c r="C444" t="s">
        <v>14</v>
      </c>
      <c r="D444" t="s">
        <v>15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>
        <v>0.69399999999999995</v>
      </c>
      <c r="K444">
        <v>60000</v>
      </c>
      <c r="L444" s="2">
        <v>46095</v>
      </c>
    </row>
    <row r="445" spans="1:12">
      <c r="A445" t="s">
        <v>717</v>
      </c>
      <c r="B445" t="s">
        <v>718</v>
      </c>
      <c r="C445" t="s">
        <v>14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>
        <v>0.89570000000000005</v>
      </c>
      <c r="K445">
        <v>50000</v>
      </c>
      <c r="L445" s="2">
        <v>46200</v>
      </c>
    </row>
    <row r="446" spans="1:12">
      <c r="A446" t="s">
        <v>719</v>
      </c>
      <c r="B446" t="s">
        <v>720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>
        <v>0.87239999999999995</v>
      </c>
      <c r="K446">
        <v>130000</v>
      </c>
      <c r="L446" s="2">
        <v>46158</v>
      </c>
    </row>
    <row r="447" spans="1:12">
      <c r="A447" t="s">
        <v>721</v>
      </c>
      <c r="B447" t="s">
        <v>98</v>
      </c>
      <c r="C447" t="s">
        <v>19</v>
      </c>
      <c r="D447" t="s">
        <v>53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>
        <v>0.71199999999999997</v>
      </c>
      <c r="K447">
        <v>70000</v>
      </c>
      <c r="L447" s="2">
        <v>46059</v>
      </c>
    </row>
    <row r="448" spans="1:12">
      <c r="A448" t="s">
        <v>722</v>
      </c>
      <c r="B448" t="s">
        <v>410</v>
      </c>
      <c r="C448" t="s">
        <v>14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>
        <v>0.72119999999999995</v>
      </c>
      <c r="K448">
        <v>110000</v>
      </c>
      <c r="L448" s="2">
        <v>45817</v>
      </c>
    </row>
    <row r="449" spans="1:12">
      <c r="A449" t="s">
        <v>723</v>
      </c>
      <c r="B449" t="s">
        <v>724</v>
      </c>
      <c r="C449" t="s">
        <v>19</v>
      </c>
      <c r="D449" t="s">
        <v>53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>
        <v>0.82889999999999997</v>
      </c>
      <c r="K449">
        <v>50000</v>
      </c>
      <c r="L449" s="2">
        <v>46149</v>
      </c>
    </row>
    <row r="450" spans="1:12">
      <c r="A450" t="s">
        <v>725</v>
      </c>
      <c r="B450" t="s">
        <v>380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>
        <v>0.6764</v>
      </c>
      <c r="K450">
        <v>120000</v>
      </c>
      <c r="L450" s="2">
        <v>45877</v>
      </c>
    </row>
    <row r="451" spans="1:12">
      <c r="A451" t="s">
        <v>726</v>
      </c>
      <c r="B451" t="s">
        <v>581</v>
      </c>
      <c r="C451" t="s">
        <v>14</v>
      </c>
      <c r="D451" t="s">
        <v>36</v>
      </c>
      <c r="E451" t="s">
        <v>29</v>
      </c>
      <c r="F451">
        <v>20</v>
      </c>
      <c r="G451">
        <v>20</v>
      </c>
      <c r="H451">
        <v>20</v>
      </c>
      <c r="I451">
        <v>20</v>
      </c>
      <c r="J451">
        <v>0.55000000000000004</v>
      </c>
      <c r="K451">
        <v>100000</v>
      </c>
      <c r="L451" s="2">
        <v>45631</v>
      </c>
    </row>
    <row r="452" spans="1:12">
      <c r="A452" t="s">
        <v>727</v>
      </c>
      <c r="B452" t="s">
        <v>50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>
        <v>0.91100000000000003</v>
      </c>
      <c r="K452">
        <v>70000</v>
      </c>
      <c r="L452" s="2">
        <v>46131</v>
      </c>
    </row>
    <row r="453" spans="1:12">
      <c r="A453" t="s">
        <v>728</v>
      </c>
      <c r="B453" t="s">
        <v>729</v>
      </c>
      <c r="C453" t="s">
        <v>19</v>
      </c>
      <c r="D453" t="s">
        <v>32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>
        <v>0.9627</v>
      </c>
      <c r="K453">
        <v>120000</v>
      </c>
      <c r="L453" s="2">
        <v>45760</v>
      </c>
    </row>
    <row r="454" spans="1:12">
      <c r="A454" t="s">
        <v>730</v>
      </c>
      <c r="B454" t="s">
        <v>731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>
        <v>0.68140000000000001</v>
      </c>
      <c r="K454">
        <v>75000</v>
      </c>
      <c r="L454" s="2">
        <v>46193</v>
      </c>
    </row>
    <row r="455" spans="1:12">
      <c r="A455" t="s">
        <v>732</v>
      </c>
      <c r="B455" t="s">
        <v>640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>
        <v>0.86570000000000003</v>
      </c>
      <c r="K455">
        <v>130000</v>
      </c>
      <c r="L455" s="2">
        <v>45793</v>
      </c>
    </row>
    <row r="456" spans="1:12">
      <c r="A456" t="s">
        <v>733</v>
      </c>
      <c r="B456" t="s">
        <v>734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>
        <v>0.93779999999999997</v>
      </c>
      <c r="K456">
        <v>90000</v>
      </c>
      <c r="L456" s="2">
        <v>46144</v>
      </c>
    </row>
    <row r="457" spans="1:12">
      <c r="A457" t="s">
        <v>735</v>
      </c>
      <c r="B457" t="s">
        <v>104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>
        <v>0.68189999999999995</v>
      </c>
      <c r="K457">
        <v>80000</v>
      </c>
      <c r="L457" s="2">
        <v>45912</v>
      </c>
    </row>
    <row r="458" spans="1:12">
      <c r="A458" t="s">
        <v>736</v>
      </c>
      <c r="B458" t="s">
        <v>737</v>
      </c>
      <c r="C458" t="s">
        <v>14</v>
      </c>
      <c r="D458" t="s">
        <v>28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>
        <v>0.67410000000000003</v>
      </c>
      <c r="K458">
        <v>50000</v>
      </c>
      <c r="L458" s="2">
        <v>45863</v>
      </c>
    </row>
    <row r="459" spans="1:12">
      <c r="A459" t="s">
        <v>738</v>
      </c>
      <c r="B459" t="s">
        <v>218</v>
      </c>
      <c r="C459" t="s">
        <v>19</v>
      </c>
      <c r="D459" t="s">
        <v>36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>
        <v>0.86150000000000004</v>
      </c>
      <c r="K459">
        <v>70000</v>
      </c>
      <c r="L459" s="2">
        <v>45743</v>
      </c>
    </row>
    <row r="460" spans="1:12">
      <c r="A460" t="s">
        <v>739</v>
      </c>
      <c r="B460" t="s">
        <v>471</v>
      </c>
      <c r="C460" t="s">
        <v>19</v>
      </c>
      <c r="D460" t="s">
        <v>36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>
        <v>0.55000000000000004</v>
      </c>
      <c r="K460">
        <v>50000</v>
      </c>
      <c r="L460" s="2">
        <v>46120</v>
      </c>
    </row>
    <row r="461" spans="1:12">
      <c r="A461" t="s">
        <v>740</v>
      </c>
      <c r="B461" t="s">
        <v>285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>
        <v>0.99160000000000004</v>
      </c>
      <c r="K461">
        <v>120000</v>
      </c>
      <c r="L461" s="2">
        <v>45578</v>
      </c>
    </row>
    <row r="462" spans="1:12">
      <c r="A462" t="s">
        <v>741</v>
      </c>
      <c r="B462" t="s">
        <v>148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>
        <v>0.55000000000000004</v>
      </c>
      <c r="K462">
        <v>60000</v>
      </c>
      <c r="L462" s="2">
        <v>45864</v>
      </c>
    </row>
    <row r="463" spans="1:12">
      <c r="A463" t="s">
        <v>742</v>
      </c>
      <c r="B463" t="s">
        <v>600</v>
      </c>
      <c r="C463" t="s">
        <v>14</v>
      </c>
      <c r="D463" t="s">
        <v>36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>
        <v>0.83799999999999997</v>
      </c>
      <c r="K463">
        <v>60000</v>
      </c>
      <c r="L463" s="2">
        <v>45794</v>
      </c>
    </row>
    <row r="464" spans="1:12">
      <c r="A464" t="s">
        <v>743</v>
      </c>
      <c r="B464" t="s">
        <v>744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>
        <v>0.98150000000000004</v>
      </c>
      <c r="K464">
        <v>60000</v>
      </c>
      <c r="L464" s="2">
        <v>45916</v>
      </c>
    </row>
    <row r="465" spans="1:12">
      <c r="A465" t="s">
        <v>745</v>
      </c>
      <c r="B465" t="s">
        <v>137</v>
      </c>
      <c r="C465" t="s">
        <v>14</v>
      </c>
      <c r="D465" t="s">
        <v>32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>
        <v>0.89729999999999999</v>
      </c>
      <c r="K465">
        <v>130000</v>
      </c>
      <c r="L465" s="2">
        <v>45714</v>
      </c>
    </row>
    <row r="466" spans="1:12">
      <c r="A466" t="s">
        <v>746</v>
      </c>
      <c r="B466" t="s">
        <v>13</v>
      </c>
      <c r="C466" t="s">
        <v>14</v>
      </c>
      <c r="D466" t="s">
        <v>53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>
        <v>0.82530000000000003</v>
      </c>
      <c r="K466">
        <v>130000</v>
      </c>
      <c r="L466" s="2">
        <v>46001</v>
      </c>
    </row>
    <row r="467" spans="1:12">
      <c r="A467" t="s">
        <v>747</v>
      </c>
      <c r="B467" t="s">
        <v>748</v>
      </c>
      <c r="C467" t="s">
        <v>19</v>
      </c>
      <c r="D467" t="s">
        <v>53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>
        <v>0.78610000000000002</v>
      </c>
      <c r="K467">
        <v>100000</v>
      </c>
      <c r="L467" s="2">
        <v>45806</v>
      </c>
    </row>
    <row r="468" spans="1:12">
      <c r="A468" t="s">
        <v>749</v>
      </c>
      <c r="B468" t="s">
        <v>532</v>
      </c>
      <c r="C468" t="s">
        <v>14</v>
      </c>
      <c r="D468" t="s">
        <v>36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>
        <v>0.74929999999999997</v>
      </c>
      <c r="K468">
        <v>50000</v>
      </c>
      <c r="L468" s="2">
        <v>45667</v>
      </c>
    </row>
    <row r="469" spans="1:12">
      <c r="A469" t="s">
        <v>750</v>
      </c>
      <c r="B469" t="s">
        <v>751</v>
      </c>
      <c r="C469" t="s">
        <v>19</v>
      </c>
      <c r="D469" t="s">
        <v>28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>
        <v>0.94889999999999997</v>
      </c>
      <c r="K469">
        <v>85000</v>
      </c>
      <c r="L469" s="2">
        <v>45673</v>
      </c>
    </row>
    <row r="470" spans="1:12">
      <c r="A470" t="s">
        <v>752</v>
      </c>
      <c r="B470" t="s">
        <v>155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>
        <v>0.93579999999999997</v>
      </c>
      <c r="K470">
        <v>130000</v>
      </c>
      <c r="L470" s="2">
        <v>46023</v>
      </c>
    </row>
    <row r="471" spans="1:12">
      <c r="A471" t="s">
        <v>753</v>
      </c>
      <c r="B471" t="s">
        <v>744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>
        <v>0.97750000000000004</v>
      </c>
      <c r="K471">
        <v>60000</v>
      </c>
      <c r="L471" s="2">
        <v>45719</v>
      </c>
    </row>
    <row r="472" spans="1:12">
      <c r="A472" t="s">
        <v>754</v>
      </c>
      <c r="B472" t="s">
        <v>310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>
        <v>0.72319999999999995</v>
      </c>
      <c r="K472">
        <v>110000</v>
      </c>
      <c r="L472" s="2">
        <v>45751</v>
      </c>
    </row>
    <row r="473" spans="1:12">
      <c r="A473" t="s">
        <v>755</v>
      </c>
      <c r="B473" t="s">
        <v>125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>
        <v>0.86040000000000005</v>
      </c>
      <c r="K473">
        <v>50000</v>
      </c>
      <c r="L473" s="2">
        <v>45974</v>
      </c>
    </row>
    <row r="474" spans="1:12">
      <c r="A474" t="s">
        <v>756</v>
      </c>
      <c r="B474" t="s">
        <v>757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>
        <v>0.93049999999999999</v>
      </c>
      <c r="K474">
        <v>110000</v>
      </c>
      <c r="L474" s="2">
        <v>45766</v>
      </c>
    </row>
    <row r="475" spans="1:12">
      <c r="A475" t="s">
        <v>758</v>
      </c>
      <c r="B475" t="s">
        <v>759</v>
      </c>
      <c r="C475" t="s">
        <v>14</v>
      </c>
      <c r="D475" t="s">
        <v>36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>
        <v>0.85699999999999998</v>
      </c>
      <c r="K475">
        <v>85000</v>
      </c>
      <c r="L475" s="2">
        <v>45807</v>
      </c>
    </row>
    <row r="476" spans="1:12">
      <c r="A476" t="s">
        <v>760</v>
      </c>
      <c r="B476" t="s">
        <v>761</v>
      </c>
      <c r="C476" t="s">
        <v>19</v>
      </c>
      <c r="D476" t="s">
        <v>32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>
        <v>0.70750000000000002</v>
      </c>
      <c r="K476">
        <v>120000</v>
      </c>
      <c r="L476" s="2">
        <v>45707</v>
      </c>
    </row>
    <row r="477" spans="1:12">
      <c r="A477" t="s">
        <v>762</v>
      </c>
      <c r="B477" t="s">
        <v>618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>
        <v>0.9546</v>
      </c>
      <c r="K477">
        <v>80000</v>
      </c>
      <c r="L477" s="2">
        <v>45777</v>
      </c>
    </row>
    <row r="478" spans="1:12">
      <c r="A478" t="s">
        <v>763</v>
      </c>
      <c r="B478" t="s">
        <v>173</v>
      </c>
      <c r="C478" t="s">
        <v>19</v>
      </c>
      <c r="D478" t="s">
        <v>53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>
        <v>0.74709999999999999</v>
      </c>
      <c r="K478">
        <v>110000</v>
      </c>
      <c r="L478" s="2">
        <v>46020</v>
      </c>
    </row>
    <row r="479" spans="1:12">
      <c r="A479" t="s">
        <v>764</v>
      </c>
      <c r="B479" t="s">
        <v>607</v>
      </c>
      <c r="C479" t="s">
        <v>14</v>
      </c>
      <c r="D479" t="s">
        <v>36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>
        <v>0.75880000000000003</v>
      </c>
      <c r="K479">
        <v>120000</v>
      </c>
      <c r="L479" s="2">
        <v>45909</v>
      </c>
    </row>
    <row r="480" spans="1:12">
      <c r="A480" t="s">
        <v>765</v>
      </c>
      <c r="B480" t="s">
        <v>50</v>
      </c>
      <c r="C480" t="s">
        <v>19</v>
      </c>
      <c r="D480" t="s">
        <v>28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>
        <v>0.8881</v>
      </c>
      <c r="K480">
        <v>75000</v>
      </c>
      <c r="L480" s="2">
        <v>46234</v>
      </c>
    </row>
    <row r="481" spans="1:12">
      <c r="A481" t="s">
        <v>766</v>
      </c>
      <c r="B481" t="s">
        <v>220</v>
      </c>
      <c r="C481" t="s">
        <v>14</v>
      </c>
      <c r="D481" t="s">
        <v>28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>
        <v>0.87219999999999998</v>
      </c>
      <c r="K481">
        <v>100000</v>
      </c>
      <c r="L481" s="2">
        <v>46076</v>
      </c>
    </row>
    <row r="482" spans="1:12">
      <c r="A482" t="s">
        <v>767</v>
      </c>
      <c r="B482" t="s">
        <v>178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>
        <v>0.89580000000000004</v>
      </c>
      <c r="K482">
        <v>85000</v>
      </c>
      <c r="L482" s="2">
        <v>45547</v>
      </c>
    </row>
    <row r="483" spans="1:12">
      <c r="A483" t="s">
        <v>768</v>
      </c>
      <c r="B483" t="s">
        <v>611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>
        <v>0.83789999999999998</v>
      </c>
      <c r="K483">
        <v>80000</v>
      </c>
      <c r="L483" s="2">
        <v>45801</v>
      </c>
    </row>
    <row r="484" spans="1:12">
      <c r="A484" t="s">
        <v>769</v>
      </c>
      <c r="B484" t="s">
        <v>770</v>
      </c>
      <c r="C484" t="s">
        <v>14</v>
      </c>
      <c r="D484" t="s">
        <v>36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>
        <v>0.61839999999999995</v>
      </c>
      <c r="K484">
        <v>110000</v>
      </c>
      <c r="L484" s="2">
        <v>45738</v>
      </c>
    </row>
    <row r="485" spans="1:12">
      <c r="A485" t="s">
        <v>771</v>
      </c>
      <c r="B485" t="s">
        <v>243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>
        <v>0.68830000000000002</v>
      </c>
      <c r="K485">
        <v>70000</v>
      </c>
      <c r="L485" s="2">
        <v>45947</v>
      </c>
    </row>
    <row r="486" spans="1:12">
      <c r="A486" t="s">
        <v>772</v>
      </c>
      <c r="B486" t="s">
        <v>106</v>
      </c>
      <c r="C486" t="s">
        <v>14</v>
      </c>
      <c r="D486" t="s">
        <v>20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>
        <v>0.73089999999999999</v>
      </c>
      <c r="K486">
        <v>60000</v>
      </c>
      <c r="L486" s="2">
        <v>45721</v>
      </c>
    </row>
    <row r="487" spans="1:12">
      <c r="A487" t="s">
        <v>773</v>
      </c>
      <c r="B487" t="s">
        <v>372</v>
      </c>
      <c r="C487" t="s">
        <v>14</v>
      </c>
      <c r="D487" t="s">
        <v>53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>
        <v>0.97099999999999997</v>
      </c>
      <c r="K487">
        <v>85000</v>
      </c>
      <c r="L487" s="2">
        <v>46212</v>
      </c>
    </row>
    <row r="488" spans="1:12">
      <c r="A488" t="s">
        <v>774</v>
      </c>
      <c r="B488" t="s">
        <v>340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>
        <v>0.55000000000000004</v>
      </c>
      <c r="K488">
        <v>120000</v>
      </c>
      <c r="L488" s="2">
        <v>45745</v>
      </c>
    </row>
    <row r="489" spans="1:12">
      <c r="A489" t="s">
        <v>775</v>
      </c>
      <c r="B489" t="s">
        <v>71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>
        <v>0.87280000000000002</v>
      </c>
      <c r="K489">
        <v>60000</v>
      </c>
      <c r="L489" s="2">
        <v>45901</v>
      </c>
    </row>
    <row r="490" spans="1:12">
      <c r="A490" t="s">
        <v>776</v>
      </c>
      <c r="B490" t="s">
        <v>777</v>
      </c>
      <c r="C490" t="s">
        <v>19</v>
      </c>
      <c r="D490" t="s">
        <v>53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>
        <v>0.55000000000000004</v>
      </c>
      <c r="K490">
        <v>75000</v>
      </c>
      <c r="L490" s="2">
        <v>45622</v>
      </c>
    </row>
    <row r="491" spans="1:12">
      <c r="A491" t="s">
        <v>778</v>
      </c>
      <c r="B491" t="s">
        <v>43</v>
      </c>
      <c r="C491" t="s">
        <v>19</v>
      </c>
      <c r="D491" t="s">
        <v>53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>
        <v>0.75860000000000005</v>
      </c>
      <c r="K491">
        <v>100000</v>
      </c>
      <c r="L491" s="2">
        <v>46172</v>
      </c>
    </row>
    <row r="492" spans="1:12">
      <c r="A492" t="s">
        <v>779</v>
      </c>
      <c r="B492" t="s">
        <v>653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>
        <v>0.59540000000000004</v>
      </c>
      <c r="K492">
        <v>85000</v>
      </c>
      <c r="L492" s="2">
        <v>46174</v>
      </c>
    </row>
    <row r="493" spans="1:12">
      <c r="A493" t="s">
        <v>780</v>
      </c>
      <c r="B493" t="s">
        <v>781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>
        <v>0.89380000000000004</v>
      </c>
      <c r="K493">
        <v>90000</v>
      </c>
      <c r="L493" s="2">
        <v>46091</v>
      </c>
    </row>
    <row r="494" spans="1:12">
      <c r="A494" t="s">
        <v>782</v>
      </c>
      <c r="B494" t="s">
        <v>729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>
        <v>0.81130000000000002</v>
      </c>
      <c r="K494">
        <v>85000</v>
      </c>
      <c r="L494" s="2">
        <v>45782</v>
      </c>
    </row>
    <row r="495" spans="1:12">
      <c r="A495" t="s">
        <v>783</v>
      </c>
      <c r="B495" t="s">
        <v>224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>
        <v>0.92859999999999998</v>
      </c>
      <c r="K495">
        <v>110000</v>
      </c>
      <c r="L495" s="2">
        <v>45577</v>
      </c>
    </row>
    <row r="496" spans="1:12">
      <c r="A496" t="s">
        <v>784</v>
      </c>
      <c r="B496" t="s">
        <v>106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>
        <v>0.81899999999999995</v>
      </c>
      <c r="K496">
        <v>120000</v>
      </c>
      <c r="L496" s="2">
        <v>46033</v>
      </c>
    </row>
    <row r="497" spans="1:12">
      <c r="A497" t="s">
        <v>785</v>
      </c>
      <c r="B497" t="s">
        <v>251</v>
      </c>
      <c r="C497" t="s">
        <v>14</v>
      </c>
      <c r="D497" t="s">
        <v>53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>
        <v>0.80289999999999995</v>
      </c>
      <c r="K497">
        <v>80000</v>
      </c>
      <c r="L497" s="2">
        <v>45836</v>
      </c>
    </row>
    <row r="498" spans="1:12">
      <c r="A498" t="s">
        <v>786</v>
      </c>
      <c r="B498" t="s">
        <v>683</v>
      </c>
      <c r="C498" t="s">
        <v>14</v>
      </c>
      <c r="D498" t="s">
        <v>53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>
        <v>0.80859999999999999</v>
      </c>
      <c r="K498">
        <v>80000</v>
      </c>
      <c r="L498" s="2">
        <v>46229</v>
      </c>
    </row>
    <row r="499" spans="1:12">
      <c r="A499" t="s">
        <v>787</v>
      </c>
      <c r="B499" t="s">
        <v>100</v>
      </c>
      <c r="C499" t="s">
        <v>14</v>
      </c>
      <c r="D499" t="s">
        <v>53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>
        <v>0.95950000000000002</v>
      </c>
      <c r="K499">
        <v>75000</v>
      </c>
      <c r="L499" s="2">
        <v>46024</v>
      </c>
    </row>
    <row r="500" spans="1:12">
      <c r="A500" t="s">
        <v>788</v>
      </c>
      <c r="B500" t="s">
        <v>270</v>
      </c>
      <c r="C500" t="s">
        <v>19</v>
      </c>
      <c r="D500" t="s">
        <v>53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>
        <v>0.90559999999999996</v>
      </c>
      <c r="K500">
        <v>80000</v>
      </c>
      <c r="L500" s="2">
        <v>45913</v>
      </c>
    </row>
    <row r="501" spans="1:12">
      <c r="A501" t="s">
        <v>789</v>
      </c>
      <c r="B501" t="s">
        <v>372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>
        <v>0.86729999999999996</v>
      </c>
      <c r="K501">
        <v>120000</v>
      </c>
      <c r="L501" s="2">
        <v>46226</v>
      </c>
    </row>
    <row r="502" spans="1:12">
      <c r="A502" t="s">
        <v>790</v>
      </c>
      <c r="B502" t="s">
        <v>295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>
        <v>0.85519999999999996</v>
      </c>
      <c r="K502">
        <v>85000</v>
      </c>
      <c r="L502" s="2">
        <v>46096</v>
      </c>
    </row>
    <row r="503" spans="1:12">
      <c r="A503" t="s">
        <v>791</v>
      </c>
      <c r="B503" t="s">
        <v>237</v>
      </c>
      <c r="C503" t="s">
        <v>19</v>
      </c>
      <c r="D503" t="s">
        <v>53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>
        <v>0.75849999999999995</v>
      </c>
      <c r="K503">
        <v>100000</v>
      </c>
      <c r="L503" s="2">
        <v>45856</v>
      </c>
    </row>
    <row r="504" spans="1:12">
      <c r="A504" t="s">
        <v>792</v>
      </c>
      <c r="B504" t="s">
        <v>793</v>
      </c>
      <c r="C504" t="s">
        <v>19</v>
      </c>
      <c r="D504" t="s">
        <v>53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>
        <v>0.71250000000000002</v>
      </c>
      <c r="K504">
        <v>80000</v>
      </c>
      <c r="L504" s="2">
        <v>45549</v>
      </c>
    </row>
    <row r="505" spans="1:12">
      <c r="A505" t="s">
        <v>794</v>
      </c>
      <c r="B505" t="s">
        <v>63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>
        <v>0.55000000000000004</v>
      </c>
      <c r="K505">
        <v>100000</v>
      </c>
      <c r="L505" s="2">
        <v>45600</v>
      </c>
    </row>
    <row r="506" spans="1:12">
      <c r="A506" t="s">
        <v>795</v>
      </c>
      <c r="B506" t="s">
        <v>248</v>
      </c>
      <c r="C506" t="s">
        <v>14</v>
      </c>
      <c r="D506" t="s">
        <v>36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>
        <v>0.73099999999999998</v>
      </c>
      <c r="K506">
        <v>100000</v>
      </c>
      <c r="L506" s="2">
        <v>45846</v>
      </c>
    </row>
    <row r="507" spans="1:12">
      <c r="A507" t="s">
        <v>796</v>
      </c>
      <c r="B507" t="s">
        <v>770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>
        <v>0.55000000000000004</v>
      </c>
      <c r="K507">
        <v>85000</v>
      </c>
      <c r="L507" s="2">
        <v>45929</v>
      </c>
    </row>
    <row r="508" spans="1:12">
      <c r="A508" t="s">
        <v>797</v>
      </c>
      <c r="B508" t="s">
        <v>404</v>
      </c>
      <c r="C508" t="s">
        <v>19</v>
      </c>
      <c r="D508" t="s">
        <v>53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>
        <v>0.79430000000000001</v>
      </c>
      <c r="K508">
        <v>130000</v>
      </c>
      <c r="L508" s="2">
        <v>45557</v>
      </c>
    </row>
    <row r="509" spans="1:12">
      <c r="A509" t="s">
        <v>798</v>
      </c>
      <c r="B509" t="s">
        <v>620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>
        <v>0.87590000000000001</v>
      </c>
      <c r="K509">
        <v>120000</v>
      </c>
      <c r="L509" s="2">
        <v>45624</v>
      </c>
    </row>
    <row r="510" spans="1:12">
      <c r="A510" t="s">
        <v>799</v>
      </c>
      <c r="B510" t="s">
        <v>194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>
        <v>0.89390000000000003</v>
      </c>
      <c r="K510">
        <v>60000</v>
      </c>
      <c r="L510" s="2">
        <v>46029</v>
      </c>
    </row>
    <row r="511" spans="1:12">
      <c r="A511" t="s">
        <v>800</v>
      </c>
      <c r="B511" t="s">
        <v>532</v>
      </c>
      <c r="C511" t="s">
        <v>14</v>
      </c>
      <c r="D511" t="s">
        <v>32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>
        <v>0.90200000000000002</v>
      </c>
      <c r="K511">
        <v>70000</v>
      </c>
      <c r="L511" s="2">
        <v>46062</v>
      </c>
    </row>
    <row r="512" spans="1:12">
      <c r="A512" t="s">
        <v>801</v>
      </c>
      <c r="B512" t="s">
        <v>541</v>
      </c>
      <c r="C512" t="s">
        <v>19</v>
      </c>
      <c r="D512" t="s">
        <v>36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>
        <v>0.84670000000000001</v>
      </c>
      <c r="K512">
        <v>130000</v>
      </c>
      <c r="L512" s="2">
        <v>45556</v>
      </c>
    </row>
    <row r="513" spans="1:12">
      <c r="A513" t="s">
        <v>802</v>
      </c>
      <c r="B513" t="s">
        <v>803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>
        <v>0.95030000000000003</v>
      </c>
      <c r="K513">
        <v>80000</v>
      </c>
      <c r="L513" s="2">
        <v>45891</v>
      </c>
    </row>
    <row r="514" spans="1:12">
      <c r="A514" t="s">
        <v>804</v>
      </c>
      <c r="B514" t="s">
        <v>805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>
        <v>0.64149999999999996</v>
      </c>
      <c r="K514">
        <v>75000</v>
      </c>
      <c r="L514" s="2">
        <v>45592</v>
      </c>
    </row>
    <row r="515" spans="1:12">
      <c r="A515" t="s">
        <v>806</v>
      </c>
      <c r="B515" t="s">
        <v>96</v>
      </c>
      <c r="C515" t="s">
        <v>19</v>
      </c>
      <c r="D515" t="s">
        <v>36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>
        <v>0.79949999999999999</v>
      </c>
      <c r="K515">
        <v>110000</v>
      </c>
      <c r="L515" s="2">
        <v>46042</v>
      </c>
    </row>
    <row r="516" spans="1:12">
      <c r="A516" t="s">
        <v>807</v>
      </c>
      <c r="B516" t="s">
        <v>342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>
        <v>0.90680000000000005</v>
      </c>
      <c r="K516">
        <v>90000</v>
      </c>
      <c r="L516" s="2">
        <v>46119</v>
      </c>
    </row>
    <row r="517" spans="1:12">
      <c r="A517" t="s">
        <v>808</v>
      </c>
      <c r="B517" t="s">
        <v>737</v>
      </c>
      <c r="C517" t="s">
        <v>14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>
        <v>0.81320000000000003</v>
      </c>
      <c r="K517">
        <v>60000</v>
      </c>
      <c r="L517" s="2">
        <v>46144</v>
      </c>
    </row>
    <row r="518" spans="1:12">
      <c r="A518" t="s">
        <v>809</v>
      </c>
      <c r="B518" t="s">
        <v>204</v>
      </c>
      <c r="C518" t="s">
        <v>19</v>
      </c>
      <c r="D518" t="s">
        <v>36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>
        <v>0.86909999999999998</v>
      </c>
      <c r="K518">
        <v>60000</v>
      </c>
      <c r="L518" s="2">
        <v>45954</v>
      </c>
    </row>
    <row r="519" spans="1:12">
      <c r="A519" t="s">
        <v>810</v>
      </c>
      <c r="B519" t="s">
        <v>492</v>
      </c>
      <c r="C519" t="s">
        <v>14</v>
      </c>
      <c r="D519" t="s">
        <v>36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>
        <v>0.94379999999999997</v>
      </c>
      <c r="K519">
        <v>110000</v>
      </c>
      <c r="L519" s="2">
        <v>45976</v>
      </c>
    </row>
    <row r="520" spans="1:12">
      <c r="A520" t="s">
        <v>811</v>
      </c>
      <c r="B520" t="s">
        <v>467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>
        <v>0.71540000000000004</v>
      </c>
      <c r="K520">
        <v>110000</v>
      </c>
      <c r="L520" s="2">
        <v>46184</v>
      </c>
    </row>
    <row r="521" spans="1:12">
      <c r="A521" t="s">
        <v>812</v>
      </c>
      <c r="B521" t="s">
        <v>270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>
        <v>0.58179999999999998</v>
      </c>
      <c r="K521">
        <v>75000</v>
      </c>
      <c r="L521" s="2">
        <v>45964</v>
      </c>
    </row>
    <row r="522" spans="1:12">
      <c r="A522" t="s">
        <v>813</v>
      </c>
      <c r="B522" t="s">
        <v>291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>
        <v>0.92800000000000005</v>
      </c>
      <c r="K522">
        <v>120000</v>
      </c>
      <c r="L522" s="2">
        <v>45848</v>
      </c>
    </row>
    <row r="523" spans="1:12">
      <c r="A523" t="s">
        <v>814</v>
      </c>
      <c r="B523" t="s">
        <v>274</v>
      </c>
      <c r="C523" t="s">
        <v>14</v>
      </c>
      <c r="D523" t="s">
        <v>28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>
        <v>0.94699999999999995</v>
      </c>
      <c r="K523">
        <v>60000</v>
      </c>
      <c r="L523" s="2">
        <v>46064</v>
      </c>
    </row>
    <row r="524" spans="1:12">
      <c r="A524" t="s">
        <v>815</v>
      </c>
      <c r="B524" t="s">
        <v>581</v>
      </c>
      <c r="C524" t="s">
        <v>14</v>
      </c>
      <c r="D524" t="s">
        <v>20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>
        <v>0.82799999999999996</v>
      </c>
      <c r="K524">
        <v>120000</v>
      </c>
      <c r="L524" s="2">
        <v>45949</v>
      </c>
    </row>
    <row r="525" spans="1:12">
      <c r="A525" t="s">
        <v>816</v>
      </c>
      <c r="B525" t="s">
        <v>200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>
        <v>0.91100000000000003</v>
      </c>
      <c r="K525">
        <v>50000</v>
      </c>
      <c r="L525" s="2">
        <v>46125</v>
      </c>
    </row>
    <row r="526" spans="1:12">
      <c r="A526" t="s">
        <v>817</v>
      </c>
      <c r="B526" t="s">
        <v>562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>
        <v>0.75600000000000001</v>
      </c>
      <c r="K526">
        <v>90000</v>
      </c>
      <c r="L526" s="2">
        <v>45903</v>
      </c>
    </row>
    <row r="527" spans="1:12">
      <c r="A527" t="s">
        <v>818</v>
      </c>
      <c r="B527" t="s">
        <v>137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>
        <v>0.92679999999999996</v>
      </c>
      <c r="K527">
        <v>120000</v>
      </c>
      <c r="L527" s="2">
        <v>46144</v>
      </c>
    </row>
    <row r="528" spans="1:12">
      <c r="A528" t="s">
        <v>819</v>
      </c>
      <c r="B528" t="s">
        <v>820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>
        <v>0.89890000000000003</v>
      </c>
      <c r="K528">
        <v>90000</v>
      </c>
      <c r="L528" s="2">
        <v>45567</v>
      </c>
    </row>
    <row r="529" spans="1:12">
      <c r="A529" t="s">
        <v>821</v>
      </c>
      <c r="B529" t="s">
        <v>822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>
        <v>0.84360000000000002</v>
      </c>
      <c r="K529">
        <v>110000</v>
      </c>
      <c r="L529" s="2">
        <v>45561</v>
      </c>
    </row>
    <row r="530" spans="1:12">
      <c r="A530" t="s">
        <v>823</v>
      </c>
      <c r="B530" t="s">
        <v>344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>
        <v>0.68110000000000004</v>
      </c>
      <c r="K530">
        <v>75000</v>
      </c>
      <c r="L530" s="2">
        <v>45605</v>
      </c>
    </row>
    <row r="531" spans="1:12">
      <c r="A531" t="s">
        <v>824</v>
      </c>
      <c r="B531" t="s">
        <v>825</v>
      </c>
      <c r="C531" t="s">
        <v>19</v>
      </c>
      <c r="D531" t="s">
        <v>15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>
        <v>0.81059999999999999</v>
      </c>
      <c r="K531">
        <v>75000</v>
      </c>
      <c r="L531" s="2">
        <v>45925</v>
      </c>
    </row>
    <row r="532" spans="1:12">
      <c r="A532" t="s">
        <v>826</v>
      </c>
      <c r="B532" t="s">
        <v>729</v>
      </c>
      <c r="C532" t="s">
        <v>19</v>
      </c>
      <c r="D532" t="s">
        <v>15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>
        <v>0.61350000000000005</v>
      </c>
      <c r="K532">
        <v>70000</v>
      </c>
      <c r="L532" s="2">
        <v>46032</v>
      </c>
    </row>
    <row r="533" spans="1:12">
      <c r="A533" t="s">
        <v>827</v>
      </c>
      <c r="B533" t="s">
        <v>564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>
        <v>0.89029999999999998</v>
      </c>
      <c r="K533">
        <v>60000</v>
      </c>
      <c r="L533" s="2">
        <v>45687</v>
      </c>
    </row>
    <row r="534" spans="1:12">
      <c r="A534" t="s">
        <v>828</v>
      </c>
      <c r="B534" t="s">
        <v>329</v>
      </c>
      <c r="C534" t="s">
        <v>14</v>
      </c>
      <c r="D534" t="s">
        <v>53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>
        <v>0.9899</v>
      </c>
      <c r="K534">
        <v>75000</v>
      </c>
      <c r="L534" s="2">
        <v>45645</v>
      </c>
    </row>
    <row r="535" spans="1:12">
      <c r="A535" t="s">
        <v>829</v>
      </c>
      <c r="B535" t="s">
        <v>175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>
        <v>0.64270000000000005</v>
      </c>
      <c r="K535">
        <v>70000</v>
      </c>
      <c r="L535" s="2">
        <v>46138</v>
      </c>
    </row>
    <row r="536" spans="1:12">
      <c r="A536" t="s">
        <v>830</v>
      </c>
      <c r="B536" t="s">
        <v>262</v>
      </c>
      <c r="C536" t="s">
        <v>19</v>
      </c>
      <c r="D536" t="s">
        <v>36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>
        <v>0.55000000000000004</v>
      </c>
      <c r="K536">
        <v>110000</v>
      </c>
      <c r="L536" s="2">
        <v>46061</v>
      </c>
    </row>
    <row r="537" spans="1:12">
      <c r="A537" t="s">
        <v>831</v>
      </c>
      <c r="B537" t="s">
        <v>492</v>
      </c>
      <c r="C537" t="s">
        <v>14</v>
      </c>
      <c r="D537" t="s">
        <v>53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>
        <v>0.97529999999999994</v>
      </c>
      <c r="K537">
        <v>70000</v>
      </c>
      <c r="L537" s="2">
        <v>45989</v>
      </c>
    </row>
    <row r="538" spans="1:12">
      <c r="A538" t="s">
        <v>832</v>
      </c>
      <c r="B538" t="s">
        <v>833</v>
      </c>
      <c r="C538" t="s">
        <v>14</v>
      </c>
      <c r="D538" t="s">
        <v>28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>
        <v>0.55000000000000004</v>
      </c>
      <c r="K538">
        <v>60000</v>
      </c>
      <c r="L538" s="2">
        <v>45877</v>
      </c>
    </row>
    <row r="539" spans="1:12">
      <c r="A539" t="s">
        <v>834</v>
      </c>
      <c r="B539" t="s">
        <v>354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>
        <v>0.86860000000000004</v>
      </c>
      <c r="K539">
        <v>110000</v>
      </c>
      <c r="L539" s="2">
        <v>45830</v>
      </c>
    </row>
    <row r="540" spans="1:12">
      <c r="A540" t="s">
        <v>835</v>
      </c>
      <c r="B540" t="s">
        <v>380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>
        <v>0.97550000000000003</v>
      </c>
      <c r="K540">
        <v>85000</v>
      </c>
      <c r="L540" s="2">
        <v>45550</v>
      </c>
    </row>
    <row r="541" spans="1:12">
      <c r="A541" t="s">
        <v>836</v>
      </c>
      <c r="B541" t="s">
        <v>382</v>
      </c>
      <c r="C541" t="s">
        <v>14</v>
      </c>
      <c r="D541" t="s">
        <v>53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>
        <v>0.92479999999999996</v>
      </c>
      <c r="K541">
        <v>70000</v>
      </c>
      <c r="L541" s="2">
        <v>45667</v>
      </c>
    </row>
    <row r="542" spans="1:12">
      <c r="A542" t="s">
        <v>837</v>
      </c>
      <c r="B542" t="s">
        <v>218</v>
      </c>
      <c r="C542" t="s">
        <v>19</v>
      </c>
      <c r="D542" t="s">
        <v>53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>
        <v>0.88629999999999998</v>
      </c>
      <c r="K542">
        <v>100000</v>
      </c>
      <c r="L542" s="2">
        <v>46163</v>
      </c>
    </row>
    <row r="543" spans="1:12">
      <c r="A543" t="s">
        <v>838</v>
      </c>
      <c r="B543" t="s">
        <v>241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>
        <v>0.88</v>
      </c>
      <c r="K543">
        <v>70000</v>
      </c>
      <c r="L543" s="2">
        <v>45773</v>
      </c>
    </row>
    <row r="544" spans="1:12">
      <c r="A544" t="s">
        <v>839</v>
      </c>
      <c r="B544" t="s">
        <v>451</v>
      </c>
      <c r="C544" t="s">
        <v>14</v>
      </c>
      <c r="D544" t="s">
        <v>53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>
        <v>0.91969999999999996</v>
      </c>
      <c r="K544">
        <v>110000</v>
      </c>
      <c r="L544" s="2">
        <v>46029</v>
      </c>
    </row>
    <row r="545" spans="1:12">
      <c r="A545" t="s">
        <v>840</v>
      </c>
      <c r="B545" t="s">
        <v>133</v>
      </c>
      <c r="C545" t="s">
        <v>14</v>
      </c>
      <c r="D545" t="s">
        <v>53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>
        <v>0.96040000000000003</v>
      </c>
      <c r="K545">
        <v>50000</v>
      </c>
      <c r="L545" s="2">
        <v>46028</v>
      </c>
    </row>
    <row r="546" spans="1:12">
      <c r="A546" t="s">
        <v>841</v>
      </c>
      <c r="B546" t="s">
        <v>191</v>
      </c>
      <c r="C546" t="s">
        <v>19</v>
      </c>
      <c r="D546" t="s">
        <v>53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>
        <v>0.65920000000000001</v>
      </c>
      <c r="K546">
        <v>90000</v>
      </c>
      <c r="L546" s="2">
        <v>45752</v>
      </c>
    </row>
    <row r="547" spans="1:12">
      <c r="A547" t="s">
        <v>842</v>
      </c>
      <c r="B547" t="s">
        <v>202</v>
      </c>
      <c r="C547" t="s">
        <v>14</v>
      </c>
      <c r="D547" t="s">
        <v>32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>
        <v>0.87029999999999996</v>
      </c>
      <c r="K547">
        <v>90000</v>
      </c>
      <c r="L547" s="2">
        <v>45679</v>
      </c>
    </row>
    <row r="548" spans="1:12">
      <c r="A548" t="s">
        <v>843</v>
      </c>
      <c r="B548" t="s">
        <v>657</v>
      </c>
      <c r="C548" t="s">
        <v>14</v>
      </c>
      <c r="D548" t="s">
        <v>36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>
        <v>0.86019999999999996</v>
      </c>
      <c r="K548">
        <v>80000</v>
      </c>
      <c r="L548" s="2">
        <v>46020</v>
      </c>
    </row>
    <row r="549" spans="1:12">
      <c r="A549" t="s">
        <v>844</v>
      </c>
      <c r="B549" t="s">
        <v>111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>
        <v>0.89280000000000004</v>
      </c>
      <c r="K549">
        <v>100000</v>
      </c>
      <c r="L549" s="2">
        <v>45601</v>
      </c>
    </row>
    <row r="550" spans="1:12">
      <c r="A550" t="s">
        <v>845</v>
      </c>
      <c r="B550" t="s">
        <v>180</v>
      </c>
      <c r="C550" t="s">
        <v>19</v>
      </c>
      <c r="D550" t="s">
        <v>53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>
        <v>0.96479999999999999</v>
      </c>
      <c r="K550">
        <v>80000</v>
      </c>
      <c r="L550" s="2">
        <v>45882</v>
      </c>
    </row>
    <row r="551" spans="1:12">
      <c r="A551" t="s">
        <v>846</v>
      </c>
      <c r="B551" t="s">
        <v>344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>
        <v>0.71599999999999997</v>
      </c>
      <c r="K551">
        <v>100000</v>
      </c>
      <c r="L551" s="2">
        <v>46157</v>
      </c>
    </row>
    <row r="552" spans="1:12">
      <c r="A552" t="s">
        <v>847</v>
      </c>
      <c r="B552" t="s">
        <v>458</v>
      </c>
      <c r="C552" t="s">
        <v>19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>
        <v>0.94040000000000001</v>
      </c>
      <c r="K552">
        <v>70000</v>
      </c>
      <c r="L552" s="2">
        <v>46033</v>
      </c>
    </row>
    <row r="553" spans="1:12">
      <c r="A553" t="s">
        <v>848</v>
      </c>
      <c r="B553" t="s">
        <v>194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>
        <v>0.86550000000000005</v>
      </c>
      <c r="K553">
        <v>90000</v>
      </c>
      <c r="L553" s="2">
        <v>46070</v>
      </c>
    </row>
    <row r="554" spans="1:12">
      <c r="A554" t="s">
        <v>849</v>
      </c>
      <c r="B554" t="s">
        <v>539</v>
      </c>
      <c r="C554" t="s">
        <v>19</v>
      </c>
      <c r="D554" t="s">
        <v>53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>
        <v>0.75460000000000005</v>
      </c>
      <c r="K554">
        <v>110000</v>
      </c>
      <c r="L554" s="2">
        <v>45594</v>
      </c>
    </row>
    <row r="555" spans="1:12">
      <c r="A555" t="s">
        <v>850</v>
      </c>
      <c r="B555" t="s">
        <v>406</v>
      </c>
      <c r="C555" t="s">
        <v>14</v>
      </c>
      <c r="D555" t="s">
        <v>53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>
        <v>0.88370000000000004</v>
      </c>
      <c r="K555">
        <v>130000</v>
      </c>
      <c r="L555" s="2">
        <v>45675</v>
      </c>
    </row>
    <row r="556" spans="1:12">
      <c r="A556" t="s">
        <v>851</v>
      </c>
      <c r="B556" t="s">
        <v>376</v>
      </c>
      <c r="C556" t="s">
        <v>19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>
        <v>0.89329999999999998</v>
      </c>
      <c r="K556">
        <v>75000</v>
      </c>
      <c r="L556" s="2">
        <v>45728</v>
      </c>
    </row>
    <row r="557" spans="1:12">
      <c r="A557" t="s">
        <v>852</v>
      </c>
      <c r="B557" t="s">
        <v>853</v>
      </c>
      <c r="C557" t="s">
        <v>19</v>
      </c>
      <c r="D557" t="s">
        <v>15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>
        <v>0.80640000000000001</v>
      </c>
      <c r="K557">
        <v>85000</v>
      </c>
      <c r="L557" s="2">
        <v>45740</v>
      </c>
    </row>
    <row r="558" spans="1:12">
      <c r="A558" t="s">
        <v>854</v>
      </c>
      <c r="B558" t="s">
        <v>262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>
        <v>0.85580000000000001</v>
      </c>
      <c r="K558">
        <v>85000</v>
      </c>
      <c r="L558" s="2">
        <v>45671</v>
      </c>
    </row>
    <row r="559" spans="1:12">
      <c r="A559" t="s">
        <v>855</v>
      </c>
      <c r="B559" t="s">
        <v>392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>
        <v>0.93220000000000003</v>
      </c>
      <c r="K559">
        <v>120000</v>
      </c>
      <c r="L559" s="2">
        <v>46216</v>
      </c>
    </row>
    <row r="560" spans="1:12">
      <c r="A560" t="s">
        <v>856</v>
      </c>
      <c r="B560" t="s">
        <v>699</v>
      </c>
      <c r="C560" t="s">
        <v>19</v>
      </c>
      <c r="D560" t="s">
        <v>28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>
        <v>0.86670000000000003</v>
      </c>
      <c r="K560">
        <v>130000</v>
      </c>
      <c r="L560" s="2">
        <v>45651</v>
      </c>
    </row>
    <row r="561" spans="1:12">
      <c r="A561" t="s">
        <v>857</v>
      </c>
      <c r="B561" t="s">
        <v>858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>
        <v>0.8669</v>
      </c>
      <c r="K561">
        <v>100000</v>
      </c>
      <c r="L561" s="2">
        <v>46031</v>
      </c>
    </row>
    <row r="562" spans="1:12">
      <c r="A562" t="s">
        <v>859</v>
      </c>
      <c r="B562" t="s">
        <v>256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>
        <v>0.91290000000000004</v>
      </c>
      <c r="K562">
        <v>120000</v>
      </c>
      <c r="L562" s="2">
        <v>45946</v>
      </c>
    </row>
    <row r="563" spans="1:12">
      <c r="A563" t="s">
        <v>860</v>
      </c>
      <c r="B563" t="s">
        <v>640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>
        <v>0.7671</v>
      </c>
      <c r="K563">
        <v>50000</v>
      </c>
      <c r="L563" s="2">
        <v>45963</v>
      </c>
    </row>
    <row r="564" spans="1:12">
      <c r="A564" t="s">
        <v>861</v>
      </c>
      <c r="B564" t="s">
        <v>662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>
        <v>0.76170000000000004</v>
      </c>
      <c r="K564">
        <v>110000</v>
      </c>
      <c r="L564" s="2">
        <v>45686</v>
      </c>
    </row>
    <row r="565" spans="1:12">
      <c r="A565" t="s">
        <v>862</v>
      </c>
      <c r="B565" t="s">
        <v>737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>
        <v>0.90059999999999996</v>
      </c>
      <c r="K565">
        <v>110000</v>
      </c>
      <c r="L565" s="2">
        <v>45751</v>
      </c>
    </row>
    <row r="566" spans="1:12">
      <c r="A566" t="s">
        <v>863</v>
      </c>
      <c r="B566" t="s">
        <v>315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>
        <v>0.76729999999999998</v>
      </c>
      <c r="K566">
        <v>100000</v>
      </c>
      <c r="L566" s="2">
        <v>45960</v>
      </c>
    </row>
    <row r="567" spans="1:12">
      <c r="A567" t="s">
        <v>864</v>
      </c>
      <c r="B567" t="s">
        <v>865</v>
      </c>
      <c r="C567" t="s">
        <v>14</v>
      </c>
      <c r="D567" t="s">
        <v>15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>
        <v>0.89539999999999997</v>
      </c>
      <c r="K567">
        <v>90000</v>
      </c>
      <c r="L567" s="2">
        <v>45745</v>
      </c>
    </row>
    <row r="568" spans="1:12">
      <c r="A568" t="s">
        <v>866</v>
      </c>
      <c r="B568" t="s">
        <v>329</v>
      </c>
      <c r="C568" t="s">
        <v>14</v>
      </c>
      <c r="D568" t="s">
        <v>53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>
        <v>0.91439999999999999</v>
      </c>
      <c r="K568">
        <v>120000</v>
      </c>
      <c r="L568" s="2">
        <v>46021</v>
      </c>
    </row>
    <row r="569" spans="1:12">
      <c r="A569" t="s">
        <v>867</v>
      </c>
      <c r="B569" t="s">
        <v>528</v>
      </c>
      <c r="C569" t="s">
        <v>14</v>
      </c>
      <c r="D569" t="s">
        <v>36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>
        <v>0.6361</v>
      </c>
      <c r="K569">
        <v>100000</v>
      </c>
      <c r="L569" s="2">
        <v>45563</v>
      </c>
    </row>
    <row r="570" spans="1:12">
      <c r="A570" t="s">
        <v>868</v>
      </c>
      <c r="B570" t="s">
        <v>102</v>
      </c>
      <c r="C570" t="s">
        <v>19</v>
      </c>
      <c r="D570" t="s">
        <v>15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>
        <v>0.79779999999999995</v>
      </c>
      <c r="K570">
        <v>120000</v>
      </c>
      <c r="L570" s="2">
        <v>45586</v>
      </c>
    </row>
    <row r="571" spans="1:12">
      <c r="A571" t="s">
        <v>869</v>
      </c>
      <c r="B571" t="s">
        <v>825</v>
      </c>
      <c r="C571" t="s">
        <v>19</v>
      </c>
      <c r="D571" t="s">
        <v>20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>
        <v>0.91149999999999998</v>
      </c>
      <c r="K571">
        <v>60000</v>
      </c>
      <c r="L571" s="2">
        <v>46045</v>
      </c>
    </row>
    <row r="572" spans="1:12">
      <c r="A572" t="s">
        <v>870</v>
      </c>
      <c r="B572" t="s">
        <v>611</v>
      </c>
      <c r="C572" t="s">
        <v>19</v>
      </c>
      <c r="D572" t="s">
        <v>36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>
        <v>0.67059999999999997</v>
      </c>
      <c r="K572">
        <v>100000</v>
      </c>
      <c r="L572" s="2">
        <v>45967</v>
      </c>
    </row>
    <row r="573" spans="1:12">
      <c r="A573" t="s">
        <v>871</v>
      </c>
      <c r="B573" t="s">
        <v>872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>
        <v>0.97309999999999997</v>
      </c>
      <c r="K573">
        <v>80000</v>
      </c>
      <c r="L573" s="2">
        <v>45566</v>
      </c>
    </row>
    <row r="574" spans="1:12">
      <c r="A574" t="s">
        <v>873</v>
      </c>
      <c r="B574" t="s">
        <v>109</v>
      </c>
      <c r="C574" t="s">
        <v>14</v>
      </c>
      <c r="D574" t="s">
        <v>36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>
        <v>0.84619999999999995</v>
      </c>
      <c r="K574">
        <v>120000</v>
      </c>
      <c r="L574" s="2">
        <v>46165</v>
      </c>
    </row>
    <row r="575" spans="1:12">
      <c r="A575" t="s">
        <v>874</v>
      </c>
      <c r="B575" t="s">
        <v>875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>
        <v>0.78520000000000001</v>
      </c>
      <c r="K575">
        <v>120000</v>
      </c>
      <c r="L575" s="2">
        <v>45539</v>
      </c>
    </row>
    <row r="576" spans="1:12">
      <c r="A576" t="s">
        <v>876</v>
      </c>
      <c r="B576" t="s">
        <v>482</v>
      </c>
      <c r="C576" t="s">
        <v>14</v>
      </c>
      <c r="D576" t="s">
        <v>53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>
        <v>0.72130000000000005</v>
      </c>
      <c r="K576">
        <v>120000</v>
      </c>
      <c r="L576" s="2">
        <v>46204</v>
      </c>
    </row>
    <row r="577" spans="1:12">
      <c r="A577" t="s">
        <v>877</v>
      </c>
      <c r="B577" t="s">
        <v>878</v>
      </c>
      <c r="C577" t="s">
        <v>14</v>
      </c>
      <c r="D577" t="s">
        <v>53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>
        <v>0.72009999999999996</v>
      </c>
      <c r="K577">
        <v>70000</v>
      </c>
      <c r="L577" s="2">
        <v>46046</v>
      </c>
    </row>
    <row r="578" spans="1:12">
      <c r="A578" t="s">
        <v>879</v>
      </c>
      <c r="B578" t="s">
        <v>880</v>
      </c>
      <c r="C578" t="s">
        <v>19</v>
      </c>
      <c r="D578" t="s">
        <v>53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>
        <v>0.61860000000000004</v>
      </c>
      <c r="K578">
        <v>85000</v>
      </c>
      <c r="L578" s="2">
        <v>46227</v>
      </c>
    </row>
    <row r="579" spans="1:12">
      <c r="A579" t="s">
        <v>881</v>
      </c>
      <c r="B579" t="s">
        <v>490</v>
      </c>
      <c r="C579" t="s">
        <v>19</v>
      </c>
      <c r="D579" t="s">
        <v>36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>
        <v>0.88939999999999997</v>
      </c>
      <c r="K579">
        <v>50000</v>
      </c>
      <c r="L579" s="2">
        <v>46200</v>
      </c>
    </row>
    <row r="580" spans="1:12">
      <c r="A580" t="s">
        <v>882</v>
      </c>
      <c r="B580" t="s">
        <v>200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>
        <v>0.99139999999999995</v>
      </c>
      <c r="K580">
        <v>130000</v>
      </c>
      <c r="L580" s="2">
        <v>45755</v>
      </c>
    </row>
    <row r="581" spans="1:12">
      <c r="A581" t="s">
        <v>883</v>
      </c>
      <c r="B581" t="s">
        <v>532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>
        <v>0.75329999999999997</v>
      </c>
      <c r="K581">
        <v>70000</v>
      </c>
      <c r="L581" s="2">
        <v>46065</v>
      </c>
    </row>
    <row r="582" spans="1:12">
      <c r="A582" t="s">
        <v>884</v>
      </c>
      <c r="B582" t="s">
        <v>431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>
        <v>0.68700000000000006</v>
      </c>
      <c r="K582">
        <v>90000</v>
      </c>
      <c r="L582" s="2">
        <v>45683</v>
      </c>
    </row>
    <row r="583" spans="1:12">
      <c r="A583" t="s">
        <v>885</v>
      </c>
      <c r="B583" t="s">
        <v>50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>
        <v>0.61609999999999998</v>
      </c>
      <c r="K583">
        <v>85000</v>
      </c>
      <c r="L583" s="2">
        <v>45866</v>
      </c>
    </row>
    <row r="584" spans="1:12">
      <c r="A584" t="s">
        <v>886</v>
      </c>
      <c r="B584" t="s">
        <v>357</v>
      </c>
      <c r="C584" t="s">
        <v>14</v>
      </c>
      <c r="D584" t="s">
        <v>36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>
        <v>0.71809999999999996</v>
      </c>
      <c r="K584">
        <v>120000</v>
      </c>
      <c r="L584" s="2">
        <v>45704</v>
      </c>
    </row>
    <row r="585" spans="1:12">
      <c r="A585" t="s">
        <v>887</v>
      </c>
      <c r="B585" t="s">
        <v>106</v>
      </c>
      <c r="C585" t="s">
        <v>14</v>
      </c>
      <c r="D585" t="s">
        <v>36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>
        <v>0.78890000000000005</v>
      </c>
      <c r="K585">
        <v>120000</v>
      </c>
      <c r="L585" s="2">
        <v>45876</v>
      </c>
    </row>
    <row r="586" spans="1:12">
      <c r="A586" t="s">
        <v>888</v>
      </c>
      <c r="B586" t="s">
        <v>528</v>
      </c>
      <c r="C586" t="s">
        <v>14</v>
      </c>
      <c r="D586" t="s">
        <v>53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>
        <v>0.79039999999999999</v>
      </c>
      <c r="K586">
        <v>110000</v>
      </c>
      <c r="L586" s="2">
        <v>46146</v>
      </c>
    </row>
    <row r="587" spans="1:12">
      <c r="A587" t="s">
        <v>889</v>
      </c>
      <c r="B587" t="s">
        <v>541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>
        <v>0.66379999999999995</v>
      </c>
      <c r="K587">
        <v>100000</v>
      </c>
      <c r="L587" s="2">
        <v>45841</v>
      </c>
    </row>
    <row r="588" spans="1:12">
      <c r="A588" t="s">
        <v>890</v>
      </c>
      <c r="B588" t="s">
        <v>79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>
        <v>0.94240000000000002</v>
      </c>
      <c r="K588">
        <v>60000</v>
      </c>
      <c r="L588" s="2">
        <v>45600</v>
      </c>
    </row>
    <row r="589" spans="1:12">
      <c r="A589" t="s">
        <v>891</v>
      </c>
      <c r="B589" t="s">
        <v>451</v>
      </c>
      <c r="C589" t="s">
        <v>14</v>
      </c>
      <c r="D589" t="s">
        <v>53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>
        <v>0.86570000000000003</v>
      </c>
      <c r="K589">
        <v>130000</v>
      </c>
      <c r="L589" s="2">
        <v>45763</v>
      </c>
    </row>
    <row r="590" spans="1:12">
      <c r="A590" t="s">
        <v>892</v>
      </c>
      <c r="B590" t="s">
        <v>77</v>
      </c>
      <c r="C590" t="s">
        <v>19</v>
      </c>
      <c r="D590" t="s">
        <v>36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>
        <v>0.62649999999999995</v>
      </c>
      <c r="K590">
        <v>50000</v>
      </c>
      <c r="L590" s="2">
        <v>46086</v>
      </c>
    </row>
    <row r="591" spans="1:12">
      <c r="A591" t="s">
        <v>893</v>
      </c>
      <c r="B591" t="s">
        <v>675</v>
      </c>
      <c r="C591" t="s">
        <v>19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>
        <v>0.91310000000000002</v>
      </c>
      <c r="K591">
        <v>85000</v>
      </c>
      <c r="L591" s="2">
        <v>45901</v>
      </c>
    </row>
    <row r="592" spans="1:12">
      <c r="A592" t="s">
        <v>894</v>
      </c>
      <c r="B592" t="s">
        <v>213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>
        <v>0.75449999999999995</v>
      </c>
      <c r="K592">
        <v>80000</v>
      </c>
      <c r="L592" s="2">
        <v>45928</v>
      </c>
    </row>
    <row r="593" spans="1:12">
      <c r="A593" t="s">
        <v>895</v>
      </c>
      <c r="B593" t="s">
        <v>636</v>
      </c>
      <c r="C593" t="s">
        <v>19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>
        <v>0.8861</v>
      </c>
      <c r="K593">
        <v>80000</v>
      </c>
      <c r="L593" s="2">
        <v>45837</v>
      </c>
    </row>
    <row r="594" spans="1:12">
      <c r="A594" t="s">
        <v>896</v>
      </c>
      <c r="B594" t="s">
        <v>878</v>
      </c>
      <c r="C594" t="s">
        <v>14</v>
      </c>
      <c r="D594" t="s">
        <v>15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>
        <v>0.6996</v>
      </c>
      <c r="K594">
        <v>130000</v>
      </c>
      <c r="L594" s="2">
        <v>45740</v>
      </c>
    </row>
    <row r="595" spans="1:12">
      <c r="A595" t="s">
        <v>897</v>
      </c>
      <c r="B595" t="s">
        <v>898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>
        <v>0.80689999999999995</v>
      </c>
      <c r="K595">
        <v>70000</v>
      </c>
      <c r="L595" s="2">
        <v>45954</v>
      </c>
    </row>
    <row r="596" spans="1:12">
      <c r="A596" t="s">
        <v>899</v>
      </c>
      <c r="B596" t="s">
        <v>274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>
        <v>0.94950000000000001</v>
      </c>
      <c r="K596">
        <v>90000</v>
      </c>
      <c r="L596" s="2">
        <v>45979</v>
      </c>
    </row>
    <row r="597" spans="1:12">
      <c r="A597" t="s">
        <v>900</v>
      </c>
      <c r="B597" t="s">
        <v>412</v>
      </c>
      <c r="C597" t="s">
        <v>19</v>
      </c>
      <c r="D597" t="s">
        <v>53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>
        <v>0.86019999999999996</v>
      </c>
      <c r="K597">
        <v>70000</v>
      </c>
      <c r="L597" s="2">
        <v>46164</v>
      </c>
    </row>
    <row r="598" spans="1:12">
      <c r="A598" t="s">
        <v>901</v>
      </c>
      <c r="B598" t="s">
        <v>710</v>
      </c>
      <c r="C598" t="s">
        <v>19</v>
      </c>
      <c r="D598" t="s">
        <v>53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>
        <v>0.59350000000000003</v>
      </c>
      <c r="K598">
        <v>130000</v>
      </c>
      <c r="L598" s="2">
        <v>45968</v>
      </c>
    </row>
    <row r="599" spans="1:12">
      <c r="A599" t="s">
        <v>902</v>
      </c>
      <c r="B599" t="s">
        <v>805</v>
      </c>
      <c r="C599" t="s">
        <v>19</v>
      </c>
      <c r="D599" t="s">
        <v>36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>
        <v>0.87170000000000003</v>
      </c>
      <c r="K599">
        <v>110000</v>
      </c>
      <c r="L599" s="2">
        <v>46232</v>
      </c>
    </row>
    <row r="600" spans="1:12">
      <c r="A600" t="s">
        <v>903</v>
      </c>
      <c r="B600" t="s">
        <v>61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>
        <v>0.76070000000000004</v>
      </c>
      <c r="K600">
        <v>80000</v>
      </c>
      <c r="L600" s="2">
        <v>46114</v>
      </c>
    </row>
    <row r="601" spans="1:12">
      <c r="A601" t="s">
        <v>904</v>
      </c>
      <c r="B601" t="s">
        <v>392</v>
      </c>
      <c r="C601" t="s">
        <v>19</v>
      </c>
      <c r="D601" t="s">
        <v>36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>
        <v>0.94220000000000004</v>
      </c>
      <c r="K601">
        <v>50000</v>
      </c>
      <c r="L601" s="2">
        <v>45591</v>
      </c>
    </row>
    <row r="602" spans="1:12">
      <c r="A602" t="s">
        <v>905</v>
      </c>
      <c r="B602" t="s">
        <v>301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>
        <v>0.89649999999999996</v>
      </c>
      <c r="K602">
        <v>60000</v>
      </c>
      <c r="L602" s="2">
        <v>45810</v>
      </c>
    </row>
    <row r="603" spans="1:12">
      <c r="A603" t="s">
        <v>906</v>
      </c>
      <c r="B603" t="s">
        <v>589</v>
      </c>
      <c r="C603" t="s">
        <v>19</v>
      </c>
      <c r="D603" t="s">
        <v>28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>
        <v>0.9133</v>
      </c>
      <c r="K603">
        <v>70000</v>
      </c>
      <c r="L603" s="2">
        <v>45805</v>
      </c>
    </row>
    <row r="604" spans="1:12">
      <c r="A604" t="s">
        <v>907</v>
      </c>
      <c r="B604" t="s">
        <v>908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>
        <v>0.73009999999999997</v>
      </c>
      <c r="K604">
        <v>80000</v>
      </c>
      <c r="L604" s="2">
        <v>45538</v>
      </c>
    </row>
    <row r="605" spans="1:12">
      <c r="A605" t="s">
        <v>909</v>
      </c>
      <c r="B605" t="s">
        <v>115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>
        <v>0.91159999999999997</v>
      </c>
      <c r="K605">
        <v>120000</v>
      </c>
      <c r="L605" s="2">
        <v>45662</v>
      </c>
    </row>
    <row r="606" spans="1:12">
      <c r="A606" t="s">
        <v>910</v>
      </c>
      <c r="B606" t="s">
        <v>239</v>
      </c>
      <c r="C606" t="s">
        <v>19</v>
      </c>
      <c r="D606" t="s">
        <v>15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>
        <v>0.55000000000000004</v>
      </c>
      <c r="K606">
        <v>60000</v>
      </c>
      <c r="L606" s="2">
        <v>46069</v>
      </c>
    </row>
    <row r="607" spans="1:12">
      <c r="A607" t="s">
        <v>911</v>
      </c>
      <c r="B607" t="s">
        <v>912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>
        <v>0.9637</v>
      </c>
      <c r="K607">
        <v>90000</v>
      </c>
      <c r="L607" s="2">
        <v>45782</v>
      </c>
    </row>
    <row r="608" spans="1:12">
      <c r="A608" t="s">
        <v>913</v>
      </c>
      <c r="B608" t="s">
        <v>833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>
        <v>0.66120000000000001</v>
      </c>
      <c r="K608">
        <v>75000</v>
      </c>
      <c r="L608" s="2">
        <v>45639</v>
      </c>
    </row>
    <row r="609" spans="1:12">
      <c r="A609" t="s">
        <v>914</v>
      </c>
      <c r="B609" t="s">
        <v>915</v>
      </c>
      <c r="C609" t="s">
        <v>19</v>
      </c>
      <c r="D609" t="s">
        <v>53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>
        <v>0.84309999999999996</v>
      </c>
      <c r="K609">
        <v>50000</v>
      </c>
      <c r="L609" s="2">
        <v>45737</v>
      </c>
    </row>
    <row r="610" spans="1:12">
      <c r="A610" t="s">
        <v>916</v>
      </c>
      <c r="B610" t="s">
        <v>653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>
        <v>0.75800000000000001</v>
      </c>
      <c r="K610">
        <v>90000</v>
      </c>
      <c r="L610" s="2">
        <v>45728</v>
      </c>
    </row>
    <row r="611" spans="1:12">
      <c r="A611" t="s">
        <v>917</v>
      </c>
      <c r="B611" t="s">
        <v>323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>
        <v>0.86609999999999998</v>
      </c>
      <c r="K611">
        <v>100000</v>
      </c>
      <c r="L611" s="2">
        <v>45658</v>
      </c>
    </row>
    <row r="612" spans="1:12">
      <c r="A612" t="s">
        <v>918</v>
      </c>
      <c r="B612" t="s">
        <v>380</v>
      </c>
      <c r="C612" t="s">
        <v>19</v>
      </c>
      <c r="D612" t="s">
        <v>36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>
        <v>0.55000000000000004</v>
      </c>
      <c r="K612">
        <v>130000</v>
      </c>
      <c r="L612" s="2">
        <v>45606</v>
      </c>
    </row>
    <row r="613" spans="1:12">
      <c r="A613" t="s">
        <v>919</v>
      </c>
      <c r="B613" t="s">
        <v>69</v>
      </c>
      <c r="C613" t="s">
        <v>14</v>
      </c>
      <c r="D613" t="s">
        <v>53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>
        <v>0.74650000000000005</v>
      </c>
      <c r="K613">
        <v>85000</v>
      </c>
      <c r="L613" s="2">
        <v>46070</v>
      </c>
    </row>
    <row r="614" spans="1:12">
      <c r="A614" t="s">
        <v>920</v>
      </c>
      <c r="B614" t="s">
        <v>697</v>
      </c>
      <c r="C614" t="s">
        <v>19</v>
      </c>
      <c r="D614" t="s">
        <v>53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>
        <v>0.55000000000000004</v>
      </c>
      <c r="K614">
        <v>75000</v>
      </c>
      <c r="L614" s="2">
        <v>46113</v>
      </c>
    </row>
    <row r="615" spans="1:12">
      <c r="A615" t="s">
        <v>921</v>
      </c>
      <c r="B615" t="s">
        <v>161</v>
      </c>
      <c r="C615" t="s">
        <v>14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>
        <v>0.96399999999999997</v>
      </c>
      <c r="K615">
        <v>120000</v>
      </c>
      <c r="L615" s="2">
        <v>45883</v>
      </c>
    </row>
    <row r="616" spans="1:12">
      <c r="A616" t="s">
        <v>922</v>
      </c>
      <c r="B616" t="s">
        <v>923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>
        <v>0.73899999999999999</v>
      </c>
      <c r="K616">
        <v>70000</v>
      </c>
      <c r="L616" s="2">
        <v>45966</v>
      </c>
    </row>
    <row r="617" spans="1:12">
      <c r="A617" t="s">
        <v>924</v>
      </c>
      <c r="B617" t="s">
        <v>777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>
        <v>0.80759999999999998</v>
      </c>
      <c r="K617">
        <v>100000</v>
      </c>
      <c r="L617" s="2">
        <v>46179</v>
      </c>
    </row>
    <row r="618" spans="1:12">
      <c r="A618" t="s">
        <v>925</v>
      </c>
      <c r="B618" t="s">
        <v>926</v>
      </c>
      <c r="C618" t="s">
        <v>14</v>
      </c>
      <c r="D618" t="s">
        <v>32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>
        <v>0.85309999999999997</v>
      </c>
      <c r="K618">
        <v>130000</v>
      </c>
      <c r="L618" s="2">
        <v>46125</v>
      </c>
    </row>
    <row r="619" spans="1:12">
      <c r="A619" t="s">
        <v>927</v>
      </c>
      <c r="B619" t="s">
        <v>928</v>
      </c>
      <c r="C619" t="s">
        <v>14</v>
      </c>
      <c r="D619" t="s">
        <v>53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>
        <v>0.77849999999999997</v>
      </c>
      <c r="K619">
        <v>50000</v>
      </c>
      <c r="L619" s="2">
        <v>45558</v>
      </c>
    </row>
    <row r="620" spans="1:12">
      <c r="A620" t="s">
        <v>929</v>
      </c>
      <c r="B620" t="s">
        <v>930</v>
      </c>
      <c r="C620" t="s">
        <v>14</v>
      </c>
      <c r="D620" t="s">
        <v>36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>
        <v>0.64100000000000001</v>
      </c>
      <c r="K620">
        <v>130000</v>
      </c>
      <c r="L620" s="2">
        <v>46203</v>
      </c>
    </row>
    <row r="621" spans="1:12">
      <c r="A621" t="s">
        <v>931</v>
      </c>
      <c r="B621" t="s">
        <v>186</v>
      </c>
      <c r="C621" t="s">
        <v>14</v>
      </c>
      <c r="D621" t="s">
        <v>15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>
        <v>0.92290000000000005</v>
      </c>
      <c r="K621">
        <v>70000</v>
      </c>
      <c r="L621" s="2">
        <v>45582</v>
      </c>
    </row>
    <row r="622" spans="1:12">
      <c r="A622" t="s">
        <v>932</v>
      </c>
      <c r="B622" t="s">
        <v>431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>
        <v>0.88260000000000005</v>
      </c>
      <c r="K622">
        <v>85000</v>
      </c>
      <c r="L622" s="2">
        <v>45554</v>
      </c>
    </row>
    <row r="623" spans="1:12">
      <c r="A623" t="s">
        <v>933</v>
      </c>
      <c r="B623" t="s">
        <v>210</v>
      </c>
      <c r="C623" t="s">
        <v>14</v>
      </c>
      <c r="D623" t="s">
        <v>20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>
        <v>0.9829</v>
      </c>
      <c r="K623">
        <v>70000</v>
      </c>
      <c r="L623" s="2">
        <v>45818</v>
      </c>
    </row>
    <row r="624" spans="1:12">
      <c r="A624" t="s">
        <v>934</v>
      </c>
      <c r="B624" t="s">
        <v>370</v>
      </c>
      <c r="C624" t="s">
        <v>14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>
        <v>0.95050000000000001</v>
      </c>
      <c r="K624">
        <v>60000</v>
      </c>
      <c r="L624" s="2">
        <v>46058</v>
      </c>
    </row>
    <row r="625" spans="1:12">
      <c r="A625" t="s">
        <v>935</v>
      </c>
      <c r="B625" t="s">
        <v>164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>
        <v>0.87350000000000005</v>
      </c>
      <c r="K625">
        <v>100000</v>
      </c>
      <c r="L625" s="2">
        <v>45592</v>
      </c>
    </row>
    <row r="626" spans="1:12">
      <c r="A626" t="s">
        <v>936</v>
      </c>
      <c r="B626" t="s">
        <v>59</v>
      </c>
      <c r="C626" t="s">
        <v>19</v>
      </c>
      <c r="D626" t="s">
        <v>28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>
        <v>0.75249999999999995</v>
      </c>
      <c r="K626">
        <v>85000</v>
      </c>
      <c r="L626" s="2">
        <v>45741</v>
      </c>
    </row>
    <row r="627" spans="1:12">
      <c r="A627" t="s">
        <v>937</v>
      </c>
      <c r="B627" t="s">
        <v>737</v>
      </c>
      <c r="C627" t="s">
        <v>14</v>
      </c>
      <c r="D627" t="s">
        <v>28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>
        <v>0.98350000000000004</v>
      </c>
      <c r="K627">
        <v>85000</v>
      </c>
      <c r="L627" s="2">
        <v>45719</v>
      </c>
    </row>
    <row r="628" spans="1:12">
      <c r="A628" t="s">
        <v>938</v>
      </c>
      <c r="B628" t="s">
        <v>939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>
        <v>0.90610000000000002</v>
      </c>
      <c r="K628">
        <v>85000</v>
      </c>
      <c r="L628" s="2">
        <v>45814</v>
      </c>
    </row>
    <row r="629" spans="1:12">
      <c r="A629" t="s">
        <v>940</v>
      </c>
      <c r="B629" t="s">
        <v>460</v>
      </c>
      <c r="C629" t="s">
        <v>14</v>
      </c>
      <c r="D629" t="s">
        <v>36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>
        <v>0.93130000000000002</v>
      </c>
      <c r="K629">
        <v>110000</v>
      </c>
      <c r="L629" s="2">
        <v>46226</v>
      </c>
    </row>
    <row r="630" spans="1:12">
      <c r="A630" t="s">
        <v>941</v>
      </c>
      <c r="B630" t="s">
        <v>618</v>
      </c>
      <c r="C630" t="s">
        <v>19</v>
      </c>
      <c r="D630" t="s">
        <v>36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>
        <v>0.73860000000000003</v>
      </c>
      <c r="K630">
        <v>130000</v>
      </c>
      <c r="L630" s="2">
        <v>45767</v>
      </c>
    </row>
    <row r="631" spans="1:12">
      <c r="A631" t="s">
        <v>942</v>
      </c>
      <c r="B631" t="s">
        <v>833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>
        <v>0.80720000000000003</v>
      </c>
      <c r="K631">
        <v>85000</v>
      </c>
      <c r="L631" s="2">
        <v>45682</v>
      </c>
    </row>
    <row r="632" spans="1:12">
      <c r="A632" t="s">
        <v>943</v>
      </c>
      <c r="B632" t="s">
        <v>518</v>
      </c>
      <c r="C632" t="s">
        <v>19</v>
      </c>
      <c r="D632" t="s">
        <v>53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>
        <v>0.70789999999999997</v>
      </c>
      <c r="K632">
        <v>60000</v>
      </c>
      <c r="L632" s="2">
        <v>45621</v>
      </c>
    </row>
    <row r="633" spans="1:12">
      <c r="A633" t="s">
        <v>944</v>
      </c>
      <c r="B633" t="s">
        <v>291</v>
      </c>
      <c r="C633" t="s">
        <v>14</v>
      </c>
      <c r="D633" t="s">
        <v>36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>
        <v>0.83879999999999999</v>
      </c>
      <c r="K633">
        <v>75000</v>
      </c>
      <c r="L633" s="2">
        <v>45674</v>
      </c>
    </row>
    <row r="634" spans="1:12">
      <c r="A634" t="s">
        <v>945</v>
      </c>
      <c r="B634" t="s">
        <v>474</v>
      </c>
      <c r="C634" t="s">
        <v>14</v>
      </c>
      <c r="D634" t="s">
        <v>36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>
        <v>0.59550000000000003</v>
      </c>
      <c r="K634">
        <v>85000</v>
      </c>
      <c r="L634" s="2">
        <v>45629</v>
      </c>
    </row>
    <row r="635" spans="1:12">
      <c r="A635" t="s">
        <v>946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>
        <v>0.87860000000000005</v>
      </c>
      <c r="K635">
        <v>60000</v>
      </c>
      <c r="L635" s="2">
        <v>45937</v>
      </c>
    </row>
    <row r="636" spans="1:12">
      <c r="A636" t="s">
        <v>947</v>
      </c>
      <c r="B636" t="s">
        <v>251</v>
      </c>
      <c r="C636" t="s">
        <v>14</v>
      </c>
      <c r="D636" t="s">
        <v>28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>
        <v>0.71719999999999995</v>
      </c>
      <c r="K636">
        <v>70000</v>
      </c>
      <c r="L636" s="2">
        <v>45830</v>
      </c>
    </row>
    <row r="637" spans="1:12">
      <c r="A637" t="s">
        <v>948</v>
      </c>
      <c r="B637" t="s">
        <v>949</v>
      </c>
      <c r="C637" t="s">
        <v>19</v>
      </c>
      <c r="D637" t="s">
        <v>32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>
        <v>0.87719999999999998</v>
      </c>
      <c r="K637">
        <v>70000</v>
      </c>
      <c r="L637" s="2">
        <v>45884</v>
      </c>
    </row>
    <row r="638" spans="1:12">
      <c r="A638" t="s">
        <v>950</v>
      </c>
      <c r="B638" t="s">
        <v>581</v>
      </c>
      <c r="C638" t="s">
        <v>14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>
        <v>0.86419999999999997</v>
      </c>
      <c r="K638">
        <v>130000</v>
      </c>
      <c r="L638" s="2">
        <v>46118</v>
      </c>
    </row>
    <row r="639" spans="1:12">
      <c r="A639" t="s">
        <v>951</v>
      </c>
      <c r="B639" t="s">
        <v>562</v>
      </c>
      <c r="C639" t="s">
        <v>14</v>
      </c>
      <c r="D639" t="s">
        <v>36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>
        <v>0.76659999999999995</v>
      </c>
      <c r="K639">
        <v>80000</v>
      </c>
      <c r="L639" s="2">
        <v>45942</v>
      </c>
    </row>
    <row r="640" spans="1:12">
      <c r="A640" t="s">
        <v>952</v>
      </c>
      <c r="B640" t="s">
        <v>671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>
        <v>0.85640000000000005</v>
      </c>
      <c r="K640">
        <v>120000</v>
      </c>
      <c r="L640" s="2">
        <v>45644</v>
      </c>
    </row>
    <row r="641" spans="1:12">
      <c r="A641" t="s">
        <v>953</v>
      </c>
      <c r="B641" t="s">
        <v>256</v>
      </c>
      <c r="C641" t="s">
        <v>19</v>
      </c>
      <c r="D641" t="s">
        <v>32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>
        <v>0.68010000000000004</v>
      </c>
      <c r="K641">
        <v>90000</v>
      </c>
      <c r="L641" s="2">
        <v>45799</v>
      </c>
    </row>
    <row r="642" spans="1:12">
      <c r="A642" t="s">
        <v>954</v>
      </c>
      <c r="B642" t="s">
        <v>148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>
        <v>0.55000000000000004</v>
      </c>
      <c r="K642">
        <v>85000</v>
      </c>
      <c r="L642" s="2">
        <v>45754</v>
      </c>
    </row>
    <row r="643" spans="1:12">
      <c r="A643" t="s">
        <v>955</v>
      </c>
      <c r="B643" t="s">
        <v>433</v>
      </c>
      <c r="C643" t="s">
        <v>19</v>
      </c>
      <c r="D643" t="s">
        <v>53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>
        <v>0.91769999999999996</v>
      </c>
      <c r="K643">
        <v>130000</v>
      </c>
      <c r="L643" s="2">
        <v>46114</v>
      </c>
    </row>
    <row r="644" spans="1:12">
      <c r="A644" t="s">
        <v>956</v>
      </c>
      <c r="B644" t="s">
        <v>180</v>
      </c>
      <c r="C644" t="s">
        <v>19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>
        <v>0.85019999999999996</v>
      </c>
      <c r="K644">
        <v>100000</v>
      </c>
      <c r="L644" s="2">
        <v>45750</v>
      </c>
    </row>
    <row r="645" spans="1:12">
      <c r="A645" t="s">
        <v>957</v>
      </c>
      <c r="B645" t="s">
        <v>285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>
        <v>0.92879999999999996</v>
      </c>
      <c r="K645">
        <v>70000</v>
      </c>
      <c r="L645" s="2">
        <v>45633</v>
      </c>
    </row>
    <row r="646" spans="1:12">
      <c r="A646" t="s">
        <v>958</v>
      </c>
      <c r="B646" t="s">
        <v>127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>
        <v>0.97140000000000004</v>
      </c>
      <c r="K646">
        <v>75000</v>
      </c>
      <c r="L646" s="2">
        <v>46051</v>
      </c>
    </row>
    <row r="647" spans="1:12">
      <c r="A647" t="s">
        <v>959</v>
      </c>
      <c r="B647" t="s">
        <v>241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>
        <v>0.94579999999999997</v>
      </c>
      <c r="K647">
        <v>100000</v>
      </c>
      <c r="L647" s="2">
        <v>45835</v>
      </c>
    </row>
    <row r="648" spans="1:12">
      <c r="A648" t="s">
        <v>960</v>
      </c>
      <c r="B648" t="s">
        <v>872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>
        <v>0.80489999999999995</v>
      </c>
      <c r="K648">
        <v>50000</v>
      </c>
      <c r="L648" s="2">
        <v>45603</v>
      </c>
    </row>
    <row r="649" spans="1:12">
      <c r="A649" t="s">
        <v>961</v>
      </c>
      <c r="B649" t="s">
        <v>485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>
        <v>0.9093</v>
      </c>
      <c r="K649">
        <v>60000</v>
      </c>
      <c r="L649" s="2">
        <v>46018</v>
      </c>
    </row>
    <row r="650" spans="1:12">
      <c r="A650" t="s">
        <v>962</v>
      </c>
      <c r="B650" t="s">
        <v>761</v>
      </c>
      <c r="C650" t="s">
        <v>19</v>
      </c>
      <c r="D650" t="s">
        <v>15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>
        <v>0.70750000000000002</v>
      </c>
      <c r="K650">
        <v>50000</v>
      </c>
      <c r="L650" s="2">
        <v>45683</v>
      </c>
    </row>
    <row r="651" spans="1:12">
      <c r="A651" t="s">
        <v>963</v>
      </c>
      <c r="B651" t="s">
        <v>77</v>
      </c>
      <c r="C651" t="s">
        <v>19</v>
      </c>
      <c r="D651" t="s">
        <v>28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>
        <v>0.89190000000000003</v>
      </c>
      <c r="K651">
        <v>100000</v>
      </c>
      <c r="L651" s="2">
        <v>46143</v>
      </c>
    </row>
    <row r="652" spans="1:12">
      <c r="A652" t="s">
        <v>964</v>
      </c>
      <c r="B652" t="s">
        <v>833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>
        <v>0.94720000000000004</v>
      </c>
      <c r="K652">
        <v>80000</v>
      </c>
      <c r="L652" s="2">
        <v>46118</v>
      </c>
    </row>
    <row r="653" spans="1:12">
      <c r="A653" t="s">
        <v>965</v>
      </c>
      <c r="B653" t="s">
        <v>98</v>
      </c>
      <c r="C653" t="s">
        <v>19</v>
      </c>
      <c r="D653" t="s">
        <v>36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>
        <v>0.78739999999999999</v>
      </c>
      <c r="K653">
        <v>50000</v>
      </c>
      <c r="L653" s="2">
        <v>45794</v>
      </c>
    </row>
    <row r="654" spans="1:12">
      <c r="A654" t="s">
        <v>966</v>
      </c>
      <c r="B654" t="s">
        <v>564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>
        <v>0.85770000000000002</v>
      </c>
      <c r="K654">
        <v>110000</v>
      </c>
      <c r="L654" s="2">
        <v>45924</v>
      </c>
    </row>
    <row r="655" spans="1:12">
      <c r="A655" t="s">
        <v>967</v>
      </c>
      <c r="B655" t="s">
        <v>880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>
        <v>0.95340000000000003</v>
      </c>
      <c r="K655">
        <v>100000</v>
      </c>
      <c r="L655" s="2">
        <v>45933</v>
      </c>
    </row>
    <row r="656" spans="1:12">
      <c r="A656" t="s">
        <v>968</v>
      </c>
      <c r="B656" t="s">
        <v>226</v>
      </c>
      <c r="C656" t="s">
        <v>19</v>
      </c>
      <c r="D656" t="s">
        <v>36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>
        <v>0.93410000000000004</v>
      </c>
      <c r="K656">
        <v>100000</v>
      </c>
      <c r="L656" s="2">
        <v>45993</v>
      </c>
    </row>
    <row r="657" spans="1:12">
      <c r="A657" t="s">
        <v>969</v>
      </c>
      <c r="B657" t="s">
        <v>50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>
        <v>0.88429999999999997</v>
      </c>
      <c r="K657">
        <v>60000</v>
      </c>
      <c r="L657" s="2">
        <v>45584</v>
      </c>
    </row>
    <row r="658" spans="1:12">
      <c r="A658" t="s">
        <v>970</v>
      </c>
      <c r="B658" t="s">
        <v>61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>
        <v>0.86040000000000005</v>
      </c>
      <c r="K658">
        <v>120000</v>
      </c>
      <c r="L658" s="2">
        <v>45763</v>
      </c>
    </row>
    <row r="659" spans="1:12">
      <c r="A659" t="s">
        <v>971</v>
      </c>
      <c r="B659" t="s">
        <v>310</v>
      </c>
      <c r="C659" t="s">
        <v>19</v>
      </c>
      <c r="D659" t="s">
        <v>15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>
        <v>0.89090000000000003</v>
      </c>
      <c r="K659">
        <v>60000</v>
      </c>
      <c r="L659" s="2">
        <v>45655</v>
      </c>
    </row>
    <row r="660" spans="1:12">
      <c r="A660" t="s">
        <v>972</v>
      </c>
      <c r="B660" t="s">
        <v>494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>
        <v>0.69230000000000003</v>
      </c>
      <c r="K660">
        <v>90000</v>
      </c>
      <c r="L660" s="2">
        <v>46024</v>
      </c>
    </row>
    <row r="661" spans="1:12">
      <c r="A661" t="s">
        <v>973</v>
      </c>
      <c r="B661" t="s">
        <v>555</v>
      </c>
      <c r="C661" t="s">
        <v>14</v>
      </c>
      <c r="D661" t="s">
        <v>20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>
        <v>0.60650000000000004</v>
      </c>
      <c r="K661">
        <v>90000</v>
      </c>
      <c r="L661" s="2">
        <v>45584</v>
      </c>
    </row>
    <row r="662" spans="1:12">
      <c r="A662" t="s">
        <v>974</v>
      </c>
      <c r="B662" t="s">
        <v>975</v>
      </c>
      <c r="C662" t="s">
        <v>14</v>
      </c>
      <c r="D662" t="s">
        <v>15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>
        <v>0.95640000000000003</v>
      </c>
      <c r="K662">
        <v>70000</v>
      </c>
      <c r="L662" s="2">
        <v>45897</v>
      </c>
    </row>
    <row r="663" spans="1:12">
      <c r="A663" t="s">
        <v>976</v>
      </c>
      <c r="B663" t="s">
        <v>166</v>
      </c>
      <c r="C663" t="s">
        <v>19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>
        <v>0.90159999999999996</v>
      </c>
      <c r="K663">
        <v>80000</v>
      </c>
      <c r="L663" s="2">
        <v>46045</v>
      </c>
    </row>
    <row r="664" spans="1:12">
      <c r="A664" t="s">
        <v>977</v>
      </c>
      <c r="B664" t="s">
        <v>482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>
        <v>0.91339999999999999</v>
      </c>
      <c r="K664">
        <v>50000</v>
      </c>
      <c r="L664" s="2">
        <v>46199</v>
      </c>
    </row>
    <row r="665" spans="1:12">
      <c r="A665" t="s">
        <v>978</v>
      </c>
      <c r="B665" t="s">
        <v>202</v>
      </c>
      <c r="C665" t="s">
        <v>14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>
        <v>0.94720000000000004</v>
      </c>
      <c r="K665">
        <v>85000</v>
      </c>
      <c r="L665" s="2">
        <v>45737</v>
      </c>
    </row>
    <row r="666" spans="1:12">
      <c r="A666" t="s">
        <v>979</v>
      </c>
      <c r="B666" t="s">
        <v>315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>
        <v>0.97170000000000001</v>
      </c>
      <c r="K666">
        <v>100000</v>
      </c>
      <c r="L666" s="2">
        <v>45541</v>
      </c>
    </row>
    <row r="667" spans="1:12">
      <c r="A667" t="s">
        <v>980</v>
      </c>
      <c r="B667" t="s">
        <v>301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>
        <v>0.93730000000000002</v>
      </c>
      <c r="K667">
        <v>75000</v>
      </c>
      <c r="L667" s="2">
        <v>46042</v>
      </c>
    </row>
    <row r="668" spans="1:12">
      <c r="A668" t="s">
        <v>981</v>
      </c>
      <c r="B668" t="s">
        <v>420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>
        <v>0.80459999999999998</v>
      </c>
      <c r="K668">
        <v>85000</v>
      </c>
      <c r="L668" s="2">
        <v>45537</v>
      </c>
    </row>
    <row r="669" spans="1:12">
      <c r="A669" t="s">
        <v>982</v>
      </c>
      <c r="B669" t="s">
        <v>123</v>
      </c>
      <c r="C669" t="s">
        <v>19</v>
      </c>
      <c r="D669" t="s">
        <v>20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>
        <v>0.86370000000000002</v>
      </c>
      <c r="K669">
        <v>130000</v>
      </c>
      <c r="L669" s="2">
        <v>45582</v>
      </c>
    </row>
    <row r="670" spans="1:12">
      <c r="A670" t="s">
        <v>983</v>
      </c>
      <c r="B670" t="s">
        <v>984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>
        <v>0.71220000000000006</v>
      </c>
      <c r="K670">
        <v>70000</v>
      </c>
      <c r="L670" s="2">
        <v>46229</v>
      </c>
    </row>
    <row r="671" spans="1:12">
      <c r="A671" t="s">
        <v>985</v>
      </c>
      <c r="B671" t="s">
        <v>496</v>
      </c>
      <c r="C671" t="s">
        <v>14</v>
      </c>
      <c r="D671" t="s">
        <v>20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>
        <v>0.88290000000000002</v>
      </c>
      <c r="K671">
        <v>75000</v>
      </c>
      <c r="L671" s="2">
        <v>46139</v>
      </c>
    </row>
    <row r="672" spans="1:12">
      <c r="A672" t="s">
        <v>986</v>
      </c>
      <c r="B672" t="s">
        <v>213</v>
      </c>
      <c r="C672" t="s">
        <v>19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>
        <v>0.84699999999999998</v>
      </c>
      <c r="K672">
        <v>60000</v>
      </c>
      <c r="L672" s="2">
        <v>46031</v>
      </c>
    </row>
    <row r="673" spans="1:12">
      <c r="A673" t="s">
        <v>987</v>
      </c>
      <c r="B673" t="s">
        <v>734</v>
      </c>
      <c r="C673" t="s">
        <v>19</v>
      </c>
      <c r="D673" t="s">
        <v>28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>
        <v>0.55000000000000004</v>
      </c>
      <c r="K673">
        <v>85000</v>
      </c>
      <c r="L673" s="2">
        <v>46120</v>
      </c>
    </row>
    <row r="674" spans="1:12">
      <c r="A674" t="s">
        <v>988</v>
      </c>
      <c r="B674" t="s">
        <v>237</v>
      </c>
      <c r="C674" t="s">
        <v>19</v>
      </c>
      <c r="D674" t="s">
        <v>36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>
        <v>0.65739999999999998</v>
      </c>
      <c r="K674">
        <v>70000</v>
      </c>
      <c r="L674" s="2">
        <v>45588</v>
      </c>
    </row>
    <row r="675" spans="1:12">
      <c r="A675" t="s">
        <v>989</v>
      </c>
      <c r="B675" t="s">
        <v>926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>
        <v>0.59</v>
      </c>
      <c r="K675">
        <v>120000</v>
      </c>
      <c r="L675" s="2">
        <v>45598</v>
      </c>
    </row>
    <row r="676" spans="1:12">
      <c r="A676" t="s">
        <v>990</v>
      </c>
      <c r="B676" t="s">
        <v>589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>
        <v>0.73750000000000004</v>
      </c>
      <c r="K676">
        <v>75000</v>
      </c>
      <c r="L676" s="2">
        <v>45746</v>
      </c>
    </row>
    <row r="677" spans="1:12">
      <c r="A677" t="s">
        <v>991</v>
      </c>
      <c r="B677" t="s">
        <v>229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>
        <v>0.88280000000000003</v>
      </c>
      <c r="K677">
        <v>100000</v>
      </c>
      <c r="L677" s="2">
        <v>45552</v>
      </c>
    </row>
    <row r="678" spans="1:12">
      <c r="A678" t="s">
        <v>992</v>
      </c>
      <c r="B678" t="s">
        <v>226</v>
      </c>
      <c r="C678" t="s">
        <v>19</v>
      </c>
      <c r="D678" t="s">
        <v>36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>
        <v>0.93310000000000004</v>
      </c>
      <c r="K678">
        <v>70000</v>
      </c>
      <c r="L678" s="2">
        <v>46157</v>
      </c>
    </row>
    <row r="679" spans="1:12">
      <c r="A679" t="s">
        <v>993</v>
      </c>
      <c r="B679" t="s">
        <v>444</v>
      </c>
      <c r="C679" t="s">
        <v>14</v>
      </c>
      <c r="D679" t="s">
        <v>53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>
        <v>0.85160000000000002</v>
      </c>
      <c r="K679">
        <v>75000</v>
      </c>
      <c r="L679" s="2">
        <v>45575</v>
      </c>
    </row>
    <row r="680" spans="1:12">
      <c r="A680" t="s">
        <v>994</v>
      </c>
      <c r="B680" t="s">
        <v>690</v>
      </c>
      <c r="C680" t="s">
        <v>19</v>
      </c>
      <c r="D680" t="s">
        <v>28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>
        <v>0.75070000000000003</v>
      </c>
      <c r="K680">
        <v>60000</v>
      </c>
      <c r="L680" s="2">
        <v>45916</v>
      </c>
    </row>
    <row r="681" spans="1:12">
      <c r="A681" t="s">
        <v>995</v>
      </c>
      <c r="B681" t="s">
        <v>307</v>
      </c>
      <c r="C681" t="s">
        <v>19</v>
      </c>
      <c r="D681" t="s">
        <v>53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>
        <v>0.84740000000000004</v>
      </c>
      <c r="K681">
        <v>90000</v>
      </c>
      <c r="L681" s="2">
        <v>46133</v>
      </c>
    </row>
    <row r="682" spans="1:12">
      <c r="A682" t="s">
        <v>996</v>
      </c>
      <c r="B682" t="s">
        <v>690</v>
      </c>
      <c r="C682" t="s">
        <v>19</v>
      </c>
      <c r="D682" t="s">
        <v>36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>
        <v>0.73050000000000004</v>
      </c>
      <c r="K682">
        <v>50000</v>
      </c>
      <c r="L682" s="2">
        <v>46050</v>
      </c>
    </row>
    <row r="683" spans="1:12">
      <c r="A683" t="s">
        <v>997</v>
      </c>
      <c r="B683" t="s">
        <v>474</v>
      </c>
      <c r="C683" t="s">
        <v>14</v>
      </c>
      <c r="D683" t="s">
        <v>53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>
        <v>0.82169999999999999</v>
      </c>
      <c r="K683">
        <v>50000</v>
      </c>
      <c r="L683" s="2">
        <v>45700</v>
      </c>
    </row>
    <row r="684" spans="1:12">
      <c r="A684" t="s">
        <v>998</v>
      </c>
      <c r="B684" t="s">
        <v>67</v>
      </c>
      <c r="C684" t="s">
        <v>19</v>
      </c>
      <c r="D684" t="s">
        <v>53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>
        <v>0.83730000000000004</v>
      </c>
      <c r="K684">
        <v>85000</v>
      </c>
      <c r="L684" s="2">
        <v>45865</v>
      </c>
    </row>
    <row r="685" spans="1:12">
      <c r="A685" t="s">
        <v>999</v>
      </c>
      <c r="B685" t="s">
        <v>420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>
        <v>0.92469999999999997</v>
      </c>
      <c r="K685">
        <v>90000</v>
      </c>
      <c r="L685" s="2">
        <v>45919</v>
      </c>
    </row>
    <row r="686" spans="1:12">
      <c r="A686" t="s">
        <v>1000</v>
      </c>
      <c r="B686" t="s">
        <v>157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>
        <v>0.55000000000000004</v>
      </c>
      <c r="K686">
        <v>75000</v>
      </c>
      <c r="L686" s="2">
        <v>46073</v>
      </c>
    </row>
    <row r="687" spans="1:12">
      <c r="A687" t="s">
        <v>1001</v>
      </c>
      <c r="B687" t="s">
        <v>315</v>
      </c>
      <c r="C687" t="s">
        <v>19</v>
      </c>
      <c r="D687" t="s">
        <v>15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>
        <v>0.93669999999999998</v>
      </c>
      <c r="K687">
        <v>80000</v>
      </c>
      <c r="L687" s="2">
        <v>45834</v>
      </c>
    </row>
    <row r="688" spans="1:12">
      <c r="A688" t="s">
        <v>1002</v>
      </c>
      <c r="B688" t="s">
        <v>467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>
        <v>0.81459999999999999</v>
      </c>
      <c r="K688">
        <v>80000</v>
      </c>
      <c r="L688" s="2">
        <v>45735</v>
      </c>
    </row>
    <row r="689" spans="1:12">
      <c r="A689" t="s">
        <v>1003</v>
      </c>
      <c r="B689" t="s">
        <v>173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>
        <v>0.90949999999999998</v>
      </c>
      <c r="K689">
        <v>110000</v>
      </c>
      <c r="L689" s="2">
        <v>46092</v>
      </c>
    </row>
    <row r="690" spans="1:12">
      <c r="A690" t="s">
        <v>1004</v>
      </c>
      <c r="B690" t="s">
        <v>231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>
        <v>0.81869999999999998</v>
      </c>
      <c r="K690">
        <v>80000</v>
      </c>
      <c r="L690" s="2">
        <v>46156</v>
      </c>
    </row>
    <row r="691" spans="1:12">
      <c r="A691" t="s">
        <v>1005</v>
      </c>
      <c r="B691" t="s">
        <v>344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>
        <v>0.95199999999999996</v>
      </c>
      <c r="K691">
        <v>120000</v>
      </c>
      <c r="L691" s="2">
        <v>45878</v>
      </c>
    </row>
    <row r="692" spans="1:12">
      <c r="A692" t="s">
        <v>1006</v>
      </c>
      <c r="B692" t="s">
        <v>490</v>
      </c>
      <c r="C692" t="s">
        <v>19</v>
      </c>
      <c r="D692" t="s">
        <v>36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>
        <v>0.57320000000000004</v>
      </c>
      <c r="K692">
        <v>70000</v>
      </c>
      <c r="L692" s="2">
        <v>45555</v>
      </c>
    </row>
    <row r="693" spans="1:12">
      <c r="A693" t="s">
        <v>1007</v>
      </c>
      <c r="B693" t="s">
        <v>908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>
        <v>0.87280000000000002</v>
      </c>
      <c r="K693">
        <v>70000</v>
      </c>
      <c r="L693" s="2">
        <v>45886</v>
      </c>
    </row>
    <row r="694" spans="1:12">
      <c r="A694" t="s">
        <v>1008</v>
      </c>
      <c r="B694" t="s">
        <v>1009</v>
      </c>
      <c r="C694" t="s">
        <v>19</v>
      </c>
      <c r="D694" t="s">
        <v>28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>
        <v>0.78190000000000004</v>
      </c>
      <c r="K694">
        <v>80000</v>
      </c>
      <c r="L694" s="2">
        <v>46158</v>
      </c>
    </row>
    <row r="695" spans="1:12">
      <c r="A695" t="s">
        <v>1010</v>
      </c>
      <c r="B695" t="s">
        <v>636</v>
      </c>
      <c r="C695" t="s">
        <v>19</v>
      </c>
      <c r="D695" t="s">
        <v>20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>
        <v>0.91690000000000005</v>
      </c>
      <c r="K695">
        <v>50000</v>
      </c>
      <c r="L695" s="2">
        <v>46228</v>
      </c>
    </row>
    <row r="696" spans="1:12">
      <c r="A696" t="s">
        <v>1011</v>
      </c>
      <c r="B696" t="s">
        <v>669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>
        <v>0.99099999999999999</v>
      </c>
      <c r="K696">
        <v>100000</v>
      </c>
      <c r="L696" s="2">
        <v>45816</v>
      </c>
    </row>
    <row r="697" spans="1:12">
      <c r="A697" t="s">
        <v>1012</v>
      </c>
      <c r="B697" t="s">
        <v>532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>
        <v>0.84560000000000002</v>
      </c>
      <c r="K697">
        <v>80000</v>
      </c>
      <c r="L697" s="2">
        <v>45641</v>
      </c>
    </row>
    <row r="698" spans="1:12">
      <c r="A698" t="s">
        <v>1013</v>
      </c>
      <c r="B698" t="s">
        <v>173</v>
      </c>
      <c r="C698" t="s">
        <v>19</v>
      </c>
      <c r="D698" t="s">
        <v>36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>
        <v>0.82499999999999996</v>
      </c>
      <c r="K698">
        <v>80000</v>
      </c>
      <c r="L698" s="2">
        <v>45936</v>
      </c>
    </row>
    <row r="699" spans="1:12">
      <c r="A699" t="s">
        <v>1014</v>
      </c>
      <c r="B699" t="s">
        <v>853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>
        <v>0.93830000000000002</v>
      </c>
      <c r="K699">
        <v>85000</v>
      </c>
      <c r="L699" s="2">
        <v>46117</v>
      </c>
    </row>
    <row r="700" spans="1:12">
      <c r="A700" t="s">
        <v>1015</v>
      </c>
      <c r="B700" t="s">
        <v>594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>
        <v>0.83220000000000005</v>
      </c>
      <c r="K700">
        <v>50000</v>
      </c>
      <c r="L700" s="2">
        <v>46197</v>
      </c>
    </row>
    <row r="701" spans="1:12">
      <c r="A701" t="s">
        <v>1016</v>
      </c>
      <c r="B701" t="s">
        <v>139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>
        <v>0.76729999999999998</v>
      </c>
      <c r="K701">
        <v>80000</v>
      </c>
      <c r="L701" s="2">
        <v>45572</v>
      </c>
    </row>
    <row r="702" spans="1:12">
      <c r="A702" t="s">
        <v>1017</v>
      </c>
      <c r="B702" t="s">
        <v>362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>
        <v>0.79579999999999995</v>
      </c>
      <c r="K702">
        <v>130000</v>
      </c>
      <c r="L702" s="2">
        <v>45739</v>
      </c>
    </row>
    <row r="703" spans="1:12">
      <c r="A703" t="s">
        <v>1018</v>
      </c>
      <c r="B703" t="s">
        <v>748</v>
      </c>
      <c r="C703" t="s">
        <v>19</v>
      </c>
      <c r="D703" t="s">
        <v>28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>
        <v>0.96560000000000001</v>
      </c>
      <c r="K703">
        <v>90000</v>
      </c>
      <c r="L703" s="2">
        <v>45870</v>
      </c>
    </row>
    <row r="704" spans="1:12">
      <c r="A704" t="s">
        <v>1019</v>
      </c>
      <c r="B704" t="s">
        <v>975</v>
      </c>
      <c r="C704" t="s">
        <v>14</v>
      </c>
      <c r="D704" t="s">
        <v>36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>
        <v>0.90649999999999997</v>
      </c>
      <c r="K704">
        <v>90000</v>
      </c>
      <c r="L704" s="2">
        <v>45604</v>
      </c>
    </row>
    <row r="705" spans="1:12">
      <c r="A705" t="s">
        <v>1020</v>
      </c>
      <c r="B705" t="s">
        <v>354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>
        <v>0.74729999999999996</v>
      </c>
      <c r="K705">
        <v>85000</v>
      </c>
      <c r="L705" s="2">
        <v>46156</v>
      </c>
    </row>
    <row r="706" spans="1:12">
      <c r="A706" t="s">
        <v>1021</v>
      </c>
      <c r="B706" t="s">
        <v>246</v>
      </c>
      <c r="C706" t="s">
        <v>14</v>
      </c>
      <c r="D706" t="s">
        <v>53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>
        <v>0.95489999999999997</v>
      </c>
      <c r="K706">
        <v>85000</v>
      </c>
      <c r="L706" s="2">
        <v>45614</v>
      </c>
    </row>
    <row r="707" spans="1:12">
      <c r="A707" t="s">
        <v>1022</v>
      </c>
      <c r="B707" t="s">
        <v>908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>
        <v>0.95860000000000001</v>
      </c>
      <c r="K707">
        <v>130000</v>
      </c>
      <c r="L707" s="2">
        <v>46001</v>
      </c>
    </row>
    <row r="708" spans="1:12">
      <c r="A708" t="s">
        <v>1023</v>
      </c>
      <c r="B708" t="s">
        <v>625</v>
      </c>
      <c r="C708" t="s">
        <v>14</v>
      </c>
      <c r="D708" t="s">
        <v>20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>
        <v>0.65720000000000001</v>
      </c>
      <c r="K708">
        <v>130000</v>
      </c>
      <c r="L708" s="2">
        <v>46179</v>
      </c>
    </row>
    <row r="709" spans="1:12">
      <c r="A709" t="s">
        <v>1024</v>
      </c>
      <c r="B709" t="s">
        <v>184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>
        <v>0.83020000000000005</v>
      </c>
      <c r="K709">
        <v>80000</v>
      </c>
      <c r="L709" s="2">
        <v>46015</v>
      </c>
    </row>
    <row r="710" spans="1:12">
      <c r="A710" t="s">
        <v>1025</v>
      </c>
      <c r="B710" t="s">
        <v>258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>
        <v>0.8266</v>
      </c>
      <c r="K710">
        <v>130000</v>
      </c>
      <c r="L710" s="2">
        <v>46070</v>
      </c>
    </row>
    <row r="711" spans="1:12">
      <c r="A711" t="s">
        <v>1026</v>
      </c>
      <c r="B711" t="s">
        <v>555</v>
      </c>
      <c r="C711" t="s">
        <v>14</v>
      </c>
      <c r="D711" t="s">
        <v>20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>
        <v>0.8448</v>
      </c>
      <c r="K711">
        <v>50000</v>
      </c>
      <c r="L711" s="2">
        <v>45720</v>
      </c>
    </row>
    <row r="712" spans="1:12">
      <c r="A712" t="s">
        <v>1027</v>
      </c>
      <c r="B712" t="s">
        <v>224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>
        <v>0.87219999999999998</v>
      </c>
      <c r="K712">
        <v>75000</v>
      </c>
      <c r="L712" s="2">
        <v>46115</v>
      </c>
    </row>
    <row r="713" spans="1:12">
      <c r="A713" t="s">
        <v>1028</v>
      </c>
      <c r="B713" t="s">
        <v>113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>
        <v>0.96599999999999997</v>
      </c>
      <c r="K713">
        <v>75000</v>
      </c>
      <c r="L713" s="2">
        <v>45829</v>
      </c>
    </row>
    <row r="714" spans="1:12">
      <c r="A714" t="s">
        <v>1029</v>
      </c>
      <c r="B714" t="s">
        <v>79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>
        <v>0.76700000000000002</v>
      </c>
      <c r="K714">
        <v>100000</v>
      </c>
      <c r="L714" s="2">
        <v>45578</v>
      </c>
    </row>
    <row r="715" spans="1:12">
      <c r="A715" t="s">
        <v>1030</v>
      </c>
      <c r="B715" t="s">
        <v>436</v>
      </c>
      <c r="C715" t="s">
        <v>19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>
        <v>0.99</v>
      </c>
      <c r="K715">
        <v>90000</v>
      </c>
      <c r="L715" s="2">
        <v>45792</v>
      </c>
    </row>
    <row r="716" spans="1:12">
      <c r="A716" t="s">
        <v>1031</v>
      </c>
      <c r="B716" t="s">
        <v>1009</v>
      </c>
      <c r="C716" t="s">
        <v>19</v>
      </c>
      <c r="D716" t="s">
        <v>15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>
        <v>0.89849999999999997</v>
      </c>
      <c r="K716">
        <v>85000</v>
      </c>
      <c r="L716" s="2">
        <v>45780</v>
      </c>
    </row>
    <row r="717" spans="1:12">
      <c r="A717" t="s">
        <v>1032</v>
      </c>
      <c r="B717" t="s">
        <v>912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>
        <v>0.71240000000000003</v>
      </c>
      <c r="K717">
        <v>70000</v>
      </c>
      <c r="L717" s="2">
        <v>45901</v>
      </c>
    </row>
    <row r="718" spans="1:12">
      <c r="A718" t="s">
        <v>1033</v>
      </c>
      <c r="B718" t="s">
        <v>1034</v>
      </c>
      <c r="C718" t="s">
        <v>19</v>
      </c>
      <c r="D718" t="s">
        <v>53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>
        <v>0.88649999999999995</v>
      </c>
      <c r="K718">
        <v>85000</v>
      </c>
      <c r="L718" s="2">
        <v>45721</v>
      </c>
    </row>
    <row r="719" spans="1:12">
      <c r="A719" t="s">
        <v>1035</v>
      </c>
      <c r="B719" t="s">
        <v>1036</v>
      </c>
      <c r="C719" t="s">
        <v>14</v>
      </c>
      <c r="D719" t="s">
        <v>36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>
        <v>0.92649999999999999</v>
      </c>
      <c r="K719">
        <v>70000</v>
      </c>
      <c r="L719" s="2">
        <v>45859</v>
      </c>
    </row>
    <row r="720" spans="1:12">
      <c r="A720" t="s">
        <v>1037</v>
      </c>
      <c r="B720" t="s">
        <v>1038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>
        <v>0.93859999999999999</v>
      </c>
      <c r="K720">
        <v>85000</v>
      </c>
      <c r="L720" s="2">
        <v>45835</v>
      </c>
    </row>
    <row r="721" spans="1:12">
      <c r="A721" t="s">
        <v>1039</v>
      </c>
      <c r="B721" t="s">
        <v>557</v>
      </c>
      <c r="C721" t="s">
        <v>19</v>
      </c>
      <c r="D721" t="s">
        <v>53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>
        <v>0.80149999999999999</v>
      </c>
      <c r="K721">
        <v>75000</v>
      </c>
      <c r="L721" s="2">
        <v>45764</v>
      </c>
    </row>
    <row r="722" spans="1:12">
      <c r="A722" t="s">
        <v>1040</v>
      </c>
      <c r="B722" t="s">
        <v>210</v>
      </c>
      <c r="C722" t="s">
        <v>14</v>
      </c>
      <c r="D722" t="s">
        <v>36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>
        <v>0.55000000000000004</v>
      </c>
      <c r="K722">
        <v>120000</v>
      </c>
      <c r="L722" s="2">
        <v>46023</v>
      </c>
    </row>
    <row r="723" spans="1:12">
      <c r="A723" t="s">
        <v>1041</v>
      </c>
      <c r="B723" t="s">
        <v>805</v>
      </c>
      <c r="C723" t="s">
        <v>19</v>
      </c>
      <c r="D723" t="s">
        <v>36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>
        <v>0.9073</v>
      </c>
      <c r="K723">
        <v>110000</v>
      </c>
      <c r="L723" s="2">
        <v>45749</v>
      </c>
    </row>
    <row r="724" spans="1:12">
      <c r="A724" t="s">
        <v>1042</v>
      </c>
      <c r="B724" t="s">
        <v>455</v>
      </c>
      <c r="C724" t="s">
        <v>19</v>
      </c>
      <c r="D724" t="s">
        <v>53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>
        <v>0.55000000000000004</v>
      </c>
      <c r="K724">
        <v>60000</v>
      </c>
      <c r="L724" s="2">
        <v>46072</v>
      </c>
    </row>
    <row r="725" spans="1:12">
      <c r="A725" t="s">
        <v>1043</v>
      </c>
      <c r="B725" t="s">
        <v>496</v>
      </c>
      <c r="C725" t="s">
        <v>14</v>
      </c>
      <c r="D725" t="s">
        <v>53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>
        <v>0.91900000000000004</v>
      </c>
      <c r="K725">
        <v>130000</v>
      </c>
      <c r="L725" s="2">
        <v>45711</v>
      </c>
    </row>
    <row r="726" spans="1:12">
      <c r="A726" t="s">
        <v>1044</v>
      </c>
      <c r="B726" t="s">
        <v>984</v>
      </c>
      <c r="C726" t="s">
        <v>19</v>
      </c>
      <c r="D726" t="s">
        <v>15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>
        <v>0.86519999999999997</v>
      </c>
      <c r="K726">
        <v>100000</v>
      </c>
      <c r="L726" s="2">
        <v>46141</v>
      </c>
    </row>
    <row r="727" spans="1:12">
      <c r="A727" t="s">
        <v>1045</v>
      </c>
      <c r="B727" t="s">
        <v>1046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>
        <v>0.83299999999999996</v>
      </c>
      <c r="K727">
        <v>75000</v>
      </c>
      <c r="L727" s="2">
        <v>45791</v>
      </c>
    </row>
    <row r="728" spans="1:12">
      <c r="A728" t="s">
        <v>1047</v>
      </c>
      <c r="B728" t="s">
        <v>159</v>
      </c>
      <c r="C728" t="s">
        <v>19</v>
      </c>
      <c r="D728" t="s">
        <v>20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>
        <v>0.74470000000000003</v>
      </c>
      <c r="K728">
        <v>85000</v>
      </c>
      <c r="L728" s="2">
        <v>45564</v>
      </c>
    </row>
    <row r="729" spans="1:12">
      <c r="A729" t="s">
        <v>1048</v>
      </c>
      <c r="B729" t="s">
        <v>202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>
        <v>0.90090000000000003</v>
      </c>
      <c r="K729">
        <v>70000</v>
      </c>
      <c r="L729" s="2">
        <v>45640</v>
      </c>
    </row>
    <row r="730" spans="1:12">
      <c r="A730" t="s">
        <v>1049</v>
      </c>
      <c r="B730" t="s">
        <v>1050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>
        <v>0.94320000000000004</v>
      </c>
      <c r="K730">
        <v>50000</v>
      </c>
      <c r="L730" s="2">
        <v>46100</v>
      </c>
    </row>
    <row r="731" spans="1:12">
      <c r="A731" t="s">
        <v>1051</v>
      </c>
      <c r="B731" t="s">
        <v>323</v>
      </c>
      <c r="C731" t="s">
        <v>19</v>
      </c>
      <c r="D731" t="s">
        <v>53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>
        <v>0.71120000000000005</v>
      </c>
      <c r="K731">
        <v>80000</v>
      </c>
      <c r="L731" s="2">
        <v>46146</v>
      </c>
    </row>
    <row r="732" spans="1:12">
      <c r="A732" t="s">
        <v>1052</v>
      </c>
      <c r="B732" t="s">
        <v>651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>
        <v>0.88790000000000002</v>
      </c>
      <c r="K732">
        <v>110000</v>
      </c>
      <c r="L732" s="2">
        <v>45684</v>
      </c>
    </row>
    <row r="733" spans="1:12">
      <c r="A733" t="s">
        <v>1053</v>
      </c>
      <c r="B733" t="s">
        <v>246</v>
      </c>
      <c r="C733" t="s">
        <v>14</v>
      </c>
      <c r="D733" t="s">
        <v>36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>
        <v>0.74019999999999997</v>
      </c>
      <c r="K733">
        <v>75000</v>
      </c>
      <c r="L733" s="2">
        <v>45957</v>
      </c>
    </row>
    <row r="734" spans="1:12">
      <c r="A734" t="s">
        <v>1054</v>
      </c>
      <c r="B734" t="s">
        <v>150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>
        <v>0.81210000000000004</v>
      </c>
      <c r="K734">
        <v>80000</v>
      </c>
      <c r="L734" s="2">
        <v>45938</v>
      </c>
    </row>
    <row r="735" spans="1:12">
      <c r="A735" t="s">
        <v>1055</v>
      </c>
      <c r="B735" t="s">
        <v>262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>
        <v>0.70140000000000002</v>
      </c>
      <c r="K735">
        <v>130000</v>
      </c>
      <c r="L735" s="2">
        <v>45629</v>
      </c>
    </row>
    <row r="736" spans="1:12">
      <c r="A736" t="s">
        <v>1056</v>
      </c>
      <c r="B736" t="s">
        <v>194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>
        <v>0.99739999999999995</v>
      </c>
      <c r="K736">
        <v>130000</v>
      </c>
      <c r="L736" s="2">
        <v>45852</v>
      </c>
    </row>
    <row r="737" spans="1:12">
      <c r="A737" t="s">
        <v>1057</v>
      </c>
      <c r="B737" t="s">
        <v>805</v>
      </c>
      <c r="C737" t="s">
        <v>19</v>
      </c>
      <c r="D737" t="s">
        <v>36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>
        <v>0.90329999999999999</v>
      </c>
      <c r="K737">
        <v>85000</v>
      </c>
      <c r="L737" s="2">
        <v>46021</v>
      </c>
    </row>
    <row r="738" spans="1:12">
      <c r="A738" t="s">
        <v>1058</v>
      </c>
      <c r="B738" t="s">
        <v>734</v>
      </c>
      <c r="C738" t="s">
        <v>19</v>
      </c>
      <c r="D738" t="s">
        <v>53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>
        <v>0.90510000000000002</v>
      </c>
      <c r="K738">
        <v>50000</v>
      </c>
      <c r="L738" s="2">
        <v>46212</v>
      </c>
    </row>
    <row r="739" spans="1:12">
      <c r="A739" t="s">
        <v>1059</v>
      </c>
      <c r="B739" t="s">
        <v>492</v>
      </c>
      <c r="C739" t="s">
        <v>14</v>
      </c>
      <c r="D739" t="s">
        <v>32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>
        <v>0.96609999999999996</v>
      </c>
      <c r="K739">
        <v>100000</v>
      </c>
      <c r="L739" s="2">
        <v>46129</v>
      </c>
    </row>
    <row r="740" spans="1:12">
      <c r="A740" t="s">
        <v>1060</v>
      </c>
      <c r="B740" t="s">
        <v>744</v>
      </c>
      <c r="C740" t="s">
        <v>19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>
        <v>0.95450000000000002</v>
      </c>
      <c r="K740">
        <v>100000</v>
      </c>
      <c r="L740" s="2">
        <v>45604</v>
      </c>
    </row>
    <row r="741" spans="1:12">
      <c r="A741" t="s">
        <v>1061</v>
      </c>
      <c r="B741" t="s">
        <v>237</v>
      </c>
      <c r="C741" t="s">
        <v>19</v>
      </c>
      <c r="D741" t="s">
        <v>36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>
        <v>0.97</v>
      </c>
      <c r="K741">
        <v>130000</v>
      </c>
      <c r="L741" s="2">
        <v>45702</v>
      </c>
    </row>
    <row r="742" spans="1:12">
      <c r="A742" t="s">
        <v>1062</v>
      </c>
      <c r="B742" t="s">
        <v>141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>
        <v>0.90059999999999996</v>
      </c>
      <c r="K742">
        <v>130000</v>
      </c>
      <c r="L742" s="2">
        <v>45841</v>
      </c>
    </row>
    <row r="743" spans="1:12">
      <c r="A743" t="s">
        <v>1063</v>
      </c>
      <c r="B743" t="s">
        <v>148</v>
      </c>
      <c r="C743" t="s">
        <v>19</v>
      </c>
      <c r="D743" t="s">
        <v>36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>
        <v>0.82840000000000003</v>
      </c>
      <c r="K743">
        <v>90000</v>
      </c>
      <c r="L743" s="2">
        <v>45641</v>
      </c>
    </row>
    <row r="744" spans="1:12">
      <c r="A744" t="s">
        <v>1064</v>
      </c>
      <c r="B744" t="s">
        <v>204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>
        <v>0.90700000000000003</v>
      </c>
      <c r="K744">
        <v>60000</v>
      </c>
      <c r="L744" s="2">
        <v>45935</v>
      </c>
    </row>
    <row r="745" spans="1:12">
      <c r="A745" t="s">
        <v>1065</v>
      </c>
      <c r="B745" t="s">
        <v>73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>
        <v>0.87639999999999996</v>
      </c>
      <c r="K745">
        <v>70000</v>
      </c>
      <c r="L745" s="2">
        <v>45542</v>
      </c>
    </row>
    <row r="746" spans="1:12">
      <c r="A746" t="s">
        <v>1066</v>
      </c>
      <c r="B746" t="s">
        <v>256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>
        <v>0.78259999999999996</v>
      </c>
      <c r="K746">
        <v>100000</v>
      </c>
      <c r="L746" s="2">
        <v>45615</v>
      </c>
    </row>
    <row r="747" spans="1:12">
      <c r="A747" t="s">
        <v>1067</v>
      </c>
      <c r="B747" t="s">
        <v>139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>
        <v>0.62980000000000003</v>
      </c>
      <c r="K747">
        <v>90000</v>
      </c>
      <c r="L747" s="2">
        <v>45569</v>
      </c>
    </row>
    <row r="748" spans="1:12">
      <c r="A748" t="s">
        <v>1068</v>
      </c>
      <c r="B748" t="s">
        <v>477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>
        <v>0.95550000000000002</v>
      </c>
      <c r="K748">
        <v>80000</v>
      </c>
      <c r="L748" s="2">
        <v>45742</v>
      </c>
    </row>
    <row r="749" spans="1:12">
      <c r="A749" t="s">
        <v>1069</v>
      </c>
      <c r="B749" t="s">
        <v>607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>
        <v>0.79549999999999998</v>
      </c>
      <c r="K749">
        <v>80000</v>
      </c>
      <c r="L749" s="2">
        <v>46069</v>
      </c>
    </row>
    <row r="750" spans="1:12">
      <c r="A750" t="s">
        <v>1070</v>
      </c>
      <c r="B750" t="s">
        <v>494</v>
      </c>
      <c r="C750" t="s">
        <v>14</v>
      </c>
      <c r="D750" t="s">
        <v>36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>
        <v>0.93710000000000004</v>
      </c>
      <c r="K750">
        <v>100000</v>
      </c>
      <c r="L750" s="2">
        <v>45660</v>
      </c>
    </row>
    <row r="751" spans="1:12">
      <c r="A751" t="s">
        <v>1071</v>
      </c>
      <c r="B751" t="s">
        <v>117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>
        <v>0.90339999999999998</v>
      </c>
      <c r="K751">
        <v>80000</v>
      </c>
      <c r="L751" s="2">
        <v>46227</v>
      </c>
    </row>
    <row r="752" spans="1:12">
      <c r="A752" t="s">
        <v>1072</v>
      </c>
      <c r="B752" t="s">
        <v>724</v>
      </c>
      <c r="C752" t="s">
        <v>19</v>
      </c>
      <c r="D752" t="s">
        <v>36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>
        <v>0.76139999999999997</v>
      </c>
      <c r="K752">
        <v>60000</v>
      </c>
      <c r="L752" s="2">
        <v>45724</v>
      </c>
    </row>
    <row r="753" spans="1:12">
      <c r="A753" t="s">
        <v>1073</v>
      </c>
      <c r="B753" t="s">
        <v>1074</v>
      </c>
      <c r="C753" t="s">
        <v>14</v>
      </c>
      <c r="D753" t="s">
        <v>36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>
        <v>0.95430000000000004</v>
      </c>
      <c r="K753">
        <v>130000</v>
      </c>
      <c r="L753" s="2">
        <v>45567</v>
      </c>
    </row>
    <row r="754" spans="1:12">
      <c r="A754" t="s">
        <v>1075</v>
      </c>
      <c r="B754" t="s">
        <v>161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>
        <v>0.55000000000000004</v>
      </c>
      <c r="K754">
        <v>75000</v>
      </c>
      <c r="L754" s="2">
        <v>45770</v>
      </c>
    </row>
    <row r="755" spans="1:12">
      <c r="A755" t="s">
        <v>1076</v>
      </c>
      <c r="B755" t="s">
        <v>541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>
        <v>0.89139999999999997</v>
      </c>
      <c r="K755">
        <v>75000</v>
      </c>
      <c r="L755" s="2">
        <v>46059</v>
      </c>
    </row>
    <row r="756" spans="1:12">
      <c r="A756" t="s">
        <v>1077</v>
      </c>
      <c r="B756" t="s">
        <v>268</v>
      </c>
      <c r="C756" t="s">
        <v>19</v>
      </c>
      <c r="D756" t="s">
        <v>53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>
        <v>0.88549999999999995</v>
      </c>
      <c r="K756">
        <v>50000</v>
      </c>
      <c r="L756" s="2">
        <v>45610</v>
      </c>
    </row>
    <row r="757" spans="1:12">
      <c r="A757" t="s">
        <v>1078</v>
      </c>
      <c r="B757" t="s">
        <v>600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>
        <v>0.8679</v>
      </c>
      <c r="K757">
        <v>85000</v>
      </c>
      <c r="L757" s="2">
        <v>45586</v>
      </c>
    </row>
    <row r="758" spans="1:12">
      <c r="A758" t="s">
        <v>1079</v>
      </c>
      <c r="B758" t="s">
        <v>301</v>
      </c>
      <c r="C758" t="s">
        <v>19</v>
      </c>
      <c r="D758" t="s">
        <v>36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>
        <v>0.72019999999999995</v>
      </c>
      <c r="K758">
        <v>130000</v>
      </c>
      <c r="L758" s="2">
        <v>46130</v>
      </c>
    </row>
    <row r="759" spans="1:12">
      <c r="A759" t="s">
        <v>1080</v>
      </c>
      <c r="B759" t="s">
        <v>1081</v>
      </c>
      <c r="C759" t="s">
        <v>14</v>
      </c>
      <c r="D759" t="s">
        <v>53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>
        <v>0.83409999999999995</v>
      </c>
      <c r="K759">
        <v>60000</v>
      </c>
      <c r="L759" s="2">
        <v>45950</v>
      </c>
    </row>
    <row r="760" spans="1:12">
      <c r="A760" t="s">
        <v>1082</v>
      </c>
      <c r="B760" t="s">
        <v>939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>
        <v>0.6169</v>
      </c>
      <c r="K760">
        <v>70000</v>
      </c>
      <c r="L760" s="2">
        <v>45776</v>
      </c>
    </row>
    <row r="761" spans="1:12">
      <c r="A761" t="s">
        <v>1083</v>
      </c>
      <c r="B761" t="s">
        <v>59</v>
      </c>
      <c r="C761" t="s">
        <v>19</v>
      </c>
      <c r="D761" t="s">
        <v>20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>
        <v>0.94889999999999997</v>
      </c>
      <c r="K761">
        <v>60000</v>
      </c>
      <c r="L761" s="2">
        <v>46065</v>
      </c>
    </row>
    <row r="762" spans="1:12">
      <c r="A762" t="s">
        <v>1084</v>
      </c>
      <c r="B762" t="s">
        <v>1036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>
        <v>0.99560000000000004</v>
      </c>
      <c r="K762">
        <v>60000</v>
      </c>
      <c r="L762" s="2">
        <v>46127</v>
      </c>
    </row>
    <row r="763" spans="1:12">
      <c r="A763" t="s">
        <v>1085</v>
      </c>
      <c r="B763" t="s">
        <v>550</v>
      </c>
      <c r="C763" t="s">
        <v>19</v>
      </c>
      <c r="D763" t="s">
        <v>36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>
        <v>0.80189999999999995</v>
      </c>
      <c r="K763">
        <v>90000</v>
      </c>
      <c r="L763" s="2">
        <v>45787</v>
      </c>
    </row>
    <row r="764" spans="1:12">
      <c r="A764" t="s">
        <v>1086</v>
      </c>
      <c r="B764" t="s">
        <v>344</v>
      </c>
      <c r="C764" t="s">
        <v>19</v>
      </c>
      <c r="D764" t="s">
        <v>28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>
        <v>0.83889999999999998</v>
      </c>
      <c r="K764">
        <v>75000</v>
      </c>
      <c r="L764" s="2">
        <v>45928</v>
      </c>
    </row>
    <row r="765" spans="1:12">
      <c r="A765" t="s">
        <v>1087</v>
      </c>
      <c r="B765" t="s">
        <v>123</v>
      </c>
      <c r="C765" t="s">
        <v>19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>
        <v>0.92620000000000002</v>
      </c>
      <c r="K765">
        <v>110000</v>
      </c>
      <c r="L765" s="2">
        <v>45543</v>
      </c>
    </row>
    <row r="766" spans="1:12">
      <c r="A766" t="s">
        <v>1088</v>
      </c>
      <c r="B766" t="s">
        <v>632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>
        <v>0.90510000000000002</v>
      </c>
      <c r="K766">
        <v>80000</v>
      </c>
      <c r="L766" s="2">
        <v>45750</v>
      </c>
    </row>
    <row r="767" spans="1:12">
      <c r="A767" t="s">
        <v>1089</v>
      </c>
      <c r="B767" t="s">
        <v>761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>
        <v>0.55000000000000004</v>
      </c>
      <c r="K767">
        <v>100000</v>
      </c>
      <c r="L767" s="2">
        <v>45952</v>
      </c>
    </row>
    <row r="768" spans="1:12">
      <c r="A768" t="s">
        <v>1090</v>
      </c>
      <c r="B768" t="s">
        <v>949</v>
      </c>
      <c r="C768" t="s">
        <v>19</v>
      </c>
      <c r="D768" t="s">
        <v>36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>
        <v>0.80379999999999996</v>
      </c>
      <c r="K768">
        <v>50000</v>
      </c>
      <c r="L768" s="2">
        <v>45673</v>
      </c>
    </row>
    <row r="769" spans="1:12">
      <c r="A769" t="s">
        <v>1091</v>
      </c>
      <c r="B769" t="s">
        <v>1050</v>
      </c>
      <c r="C769" t="s">
        <v>14</v>
      </c>
      <c r="D769" t="s">
        <v>36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>
        <v>0.85829999999999995</v>
      </c>
      <c r="K769">
        <v>75000</v>
      </c>
      <c r="L769" s="2">
        <v>46229</v>
      </c>
    </row>
    <row r="770" spans="1:12">
      <c r="A770" t="s">
        <v>1092</v>
      </c>
      <c r="B770" t="s">
        <v>83</v>
      </c>
      <c r="C770" t="s">
        <v>14</v>
      </c>
      <c r="D770" t="s">
        <v>36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>
        <v>0.71250000000000002</v>
      </c>
      <c r="K770">
        <v>80000</v>
      </c>
      <c r="L770" s="2">
        <v>46215</v>
      </c>
    </row>
    <row r="771" spans="1:12">
      <c r="A771" t="s">
        <v>1093</v>
      </c>
      <c r="B771" t="s">
        <v>1094</v>
      </c>
      <c r="C771" t="s">
        <v>14</v>
      </c>
      <c r="D771" t="s">
        <v>53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>
        <v>0.84809999999999997</v>
      </c>
      <c r="K771">
        <v>50000</v>
      </c>
      <c r="L771" s="2">
        <v>45716</v>
      </c>
    </row>
    <row r="772" spans="1:12">
      <c r="A772" t="s">
        <v>1095</v>
      </c>
      <c r="B772" t="s">
        <v>146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>
        <v>0.74060000000000004</v>
      </c>
      <c r="K772">
        <v>80000</v>
      </c>
      <c r="L772" s="2">
        <v>45813</v>
      </c>
    </row>
    <row r="773" spans="1:12">
      <c r="A773" t="s">
        <v>1096</v>
      </c>
      <c r="B773" t="s">
        <v>301</v>
      </c>
      <c r="C773" t="s">
        <v>19</v>
      </c>
      <c r="D773" t="s">
        <v>53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>
        <v>0.82869999999999999</v>
      </c>
      <c r="K773">
        <v>85000</v>
      </c>
      <c r="L773" s="2">
        <v>45668</v>
      </c>
    </row>
    <row r="774" spans="1:12">
      <c r="A774" t="s">
        <v>1097</v>
      </c>
      <c r="B774" t="s">
        <v>1098</v>
      </c>
      <c r="C774" t="s">
        <v>14</v>
      </c>
      <c r="D774" t="s">
        <v>53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>
        <v>0.67949999999999999</v>
      </c>
      <c r="K774">
        <v>80000</v>
      </c>
      <c r="L774" s="2">
        <v>45888</v>
      </c>
    </row>
    <row r="775" spans="1:12">
      <c r="A775" t="s">
        <v>1099</v>
      </c>
      <c r="B775" t="s">
        <v>820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>
        <v>0.5958</v>
      </c>
      <c r="K775">
        <v>85000</v>
      </c>
      <c r="L775" s="2">
        <v>45622</v>
      </c>
    </row>
    <row r="776" spans="1:12">
      <c r="A776" t="s">
        <v>1100</v>
      </c>
      <c r="B776" t="s">
        <v>213</v>
      </c>
      <c r="C776" t="s">
        <v>19</v>
      </c>
      <c r="D776" t="s">
        <v>15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>
        <v>0.87680000000000002</v>
      </c>
      <c r="K776">
        <v>110000</v>
      </c>
      <c r="L776" s="2">
        <v>45809</v>
      </c>
    </row>
    <row r="777" spans="1:12">
      <c r="A777" t="s">
        <v>1101</v>
      </c>
      <c r="B777" t="s">
        <v>853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>
        <v>0.84550000000000003</v>
      </c>
      <c r="K777">
        <v>110000</v>
      </c>
      <c r="L777" s="2">
        <v>45924</v>
      </c>
    </row>
    <row r="778" spans="1:12">
      <c r="A778" t="s">
        <v>1102</v>
      </c>
      <c r="B778" t="s">
        <v>288</v>
      </c>
      <c r="C778" t="s">
        <v>14</v>
      </c>
      <c r="D778" t="s">
        <v>36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>
        <v>0.81420000000000003</v>
      </c>
      <c r="K778">
        <v>50000</v>
      </c>
      <c r="L778" s="2">
        <v>45964</v>
      </c>
    </row>
    <row r="779" spans="1:12">
      <c r="A779" t="s">
        <v>1103</v>
      </c>
      <c r="B779" t="s">
        <v>340</v>
      </c>
      <c r="C779" t="s">
        <v>14</v>
      </c>
      <c r="D779" t="s">
        <v>53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>
        <v>0.76249999999999996</v>
      </c>
      <c r="K779">
        <v>100000</v>
      </c>
      <c r="L779" s="2">
        <v>45953</v>
      </c>
    </row>
    <row r="780" spans="1:12">
      <c r="A780" t="s">
        <v>1104</v>
      </c>
      <c r="B780" t="s">
        <v>131</v>
      </c>
      <c r="C780" t="s">
        <v>14</v>
      </c>
      <c r="D780" t="s">
        <v>28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>
        <v>0.82840000000000003</v>
      </c>
      <c r="K780">
        <v>120000</v>
      </c>
      <c r="L780" s="2">
        <v>45690</v>
      </c>
    </row>
    <row r="781" spans="1:12">
      <c r="A781" t="s">
        <v>1105</v>
      </c>
      <c r="B781" t="s">
        <v>1106</v>
      </c>
      <c r="C781" t="s">
        <v>19</v>
      </c>
      <c r="D781" t="s">
        <v>36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>
        <v>0.80620000000000003</v>
      </c>
      <c r="K781">
        <v>120000</v>
      </c>
      <c r="L781" s="2">
        <v>46090</v>
      </c>
    </row>
    <row r="782" spans="1:12">
      <c r="A782" t="s">
        <v>1107</v>
      </c>
      <c r="B782" t="s">
        <v>98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>
        <v>0.90510000000000002</v>
      </c>
      <c r="K782">
        <v>75000</v>
      </c>
      <c r="L782" s="2">
        <v>46020</v>
      </c>
    </row>
    <row r="783" spans="1:12">
      <c r="A783" t="s">
        <v>1108</v>
      </c>
      <c r="B783" t="s">
        <v>667</v>
      </c>
      <c r="C783" t="s">
        <v>19</v>
      </c>
      <c r="D783" t="s">
        <v>28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>
        <v>0.69879999999999998</v>
      </c>
      <c r="K783">
        <v>110000</v>
      </c>
      <c r="L783" s="2">
        <v>46063</v>
      </c>
    </row>
    <row r="784" spans="1:12">
      <c r="A784" t="s">
        <v>1109</v>
      </c>
      <c r="B784" t="s">
        <v>83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>
        <v>0.82950000000000002</v>
      </c>
      <c r="K784">
        <v>110000</v>
      </c>
      <c r="L784" s="2">
        <v>45863</v>
      </c>
    </row>
    <row r="785" spans="1:12">
      <c r="A785" t="s">
        <v>1110</v>
      </c>
      <c r="B785" t="s">
        <v>737</v>
      </c>
      <c r="C785" t="s">
        <v>14</v>
      </c>
      <c r="D785" t="s">
        <v>36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>
        <v>0.80069999999999997</v>
      </c>
      <c r="K785">
        <v>80000</v>
      </c>
      <c r="L785" s="2">
        <v>46160</v>
      </c>
    </row>
    <row r="786" spans="1:12">
      <c r="A786" t="s">
        <v>1111</v>
      </c>
      <c r="B786" t="s">
        <v>297</v>
      </c>
      <c r="C786" t="s">
        <v>14</v>
      </c>
      <c r="D786" t="s">
        <v>53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>
        <v>0.93810000000000004</v>
      </c>
      <c r="K786">
        <v>120000</v>
      </c>
      <c r="L786" s="2">
        <v>45808</v>
      </c>
    </row>
    <row r="787" spans="1:12">
      <c r="A787" t="s">
        <v>1112</v>
      </c>
      <c r="B787" t="s">
        <v>509</v>
      </c>
      <c r="C787" t="s">
        <v>19</v>
      </c>
      <c r="D787" t="s">
        <v>36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>
        <v>0.91359999999999997</v>
      </c>
      <c r="K787">
        <v>90000</v>
      </c>
      <c r="L787" s="2">
        <v>46100</v>
      </c>
    </row>
    <row r="788" spans="1:12">
      <c r="A788" t="s">
        <v>1113</v>
      </c>
      <c r="B788" t="s">
        <v>930</v>
      </c>
      <c r="C788" t="s">
        <v>14</v>
      </c>
      <c r="D788" t="s">
        <v>20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>
        <v>0.88260000000000005</v>
      </c>
      <c r="K788">
        <v>110000</v>
      </c>
      <c r="L788" s="2">
        <v>45678</v>
      </c>
    </row>
    <row r="789" spans="1:12">
      <c r="A789" t="s">
        <v>1114</v>
      </c>
      <c r="B789" t="s">
        <v>344</v>
      </c>
      <c r="C789" t="s">
        <v>19</v>
      </c>
      <c r="D789" t="s">
        <v>20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>
        <v>0.81179999999999997</v>
      </c>
      <c r="K789">
        <v>110000</v>
      </c>
      <c r="L789" s="2">
        <v>45709</v>
      </c>
    </row>
    <row r="790" spans="1:12">
      <c r="A790" t="s">
        <v>1115</v>
      </c>
      <c r="B790" t="s">
        <v>204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>
        <v>0.55000000000000004</v>
      </c>
      <c r="K790">
        <v>110000</v>
      </c>
      <c r="L790" s="2">
        <v>45904</v>
      </c>
    </row>
    <row r="791" spans="1:12">
      <c r="A791" t="s">
        <v>1116</v>
      </c>
      <c r="B791" t="s">
        <v>94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>
        <v>0.85599999999999998</v>
      </c>
      <c r="K791">
        <v>130000</v>
      </c>
      <c r="L791" s="2">
        <v>45925</v>
      </c>
    </row>
    <row r="792" spans="1:12">
      <c r="A792" t="s">
        <v>1117</v>
      </c>
      <c r="B792" t="s">
        <v>295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>
        <v>0.96150000000000002</v>
      </c>
      <c r="K792">
        <v>120000</v>
      </c>
      <c r="L792" s="2">
        <v>46058</v>
      </c>
    </row>
    <row r="793" spans="1:12">
      <c r="A793" t="s">
        <v>1118</v>
      </c>
      <c r="B793" t="s">
        <v>1119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>
        <v>0.71220000000000006</v>
      </c>
      <c r="K793">
        <v>80000</v>
      </c>
      <c r="L793" s="2">
        <v>45744</v>
      </c>
    </row>
    <row r="794" spans="1:12">
      <c r="A794" t="s">
        <v>1120</v>
      </c>
      <c r="B794" t="s">
        <v>146</v>
      </c>
      <c r="C794" t="s">
        <v>19</v>
      </c>
      <c r="D794" t="s">
        <v>36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>
        <v>0.9073</v>
      </c>
      <c r="K794">
        <v>90000</v>
      </c>
      <c r="L794" s="2">
        <v>46146</v>
      </c>
    </row>
    <row r="795" spans="1:12">
      <c r="A795" t="s">
        <v>1121</v>
      </c>
      <c r="B795" t="s">
        <v>55</v>
      </c>
      <c r="C795" t="s">
        <v>19</v>
      </c>
      <c r="D795" t="s">
        <v>28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>
        <v>0.74050000000000005</v>
      </c>
      <c r="K795">
        <v>100000</v>
      </c>
      <c r="L795" s="2">
        <v>45766</v>
      </c>
    </row>
    <row r="796" spans="1:12">
      <c r="A796" t="s">
        <v>1122</v>
      </c>
      <c r="B796" t="s">
        <v>444</v>
      </c>
      <c r="C796" t="s">
        <v>14</v>
      </c>
      <c r="D796" t="s">
        <v>20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>
        <v>0.67169999999999996</v>
      </c>
      <c r="K796">
        <v>120000</v>
      </c>
      <c r="L796" s="2">
        <v>45909</v>
      </c>
    </row>
    <row r="797" spans="1:12">
      <c r="A797" t="s">
        <v>1123</v>
      </c>
      <c r="B797" t="s">
        <v>431</v>
      </c>
      <c r="C797" t="s">
        <v>14</v>
      </c>
      <c r="D797" t="s">
        <v>53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>
        <v>0.92059999999999997</v>
      </c>
      <c r="K797">
        <v>80000</v>
      </c>
      <c r="L797" s="2">
        <v>46188</v>
      </c>
    </row>
    <row r="798" spans="1:12">
      <c r="A798" t="s">
        <v>1124</v>
      </c>
      <c r="B798" t="s">
        <v>404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>
        <v>0.96179999999999999</v>
      </c>
      <c r="K798">
        <v>75000</v>
      </c>
      <c r="L798" s="2">
        <v>45913</v>
      </c>
    </row>
    <row r="799" spans="1:12">
      <c r="A799" t="s">
        <v>1125</v>
      </c>
      <c r="B799" t="s">
        <v>27</v>
      </c>
      <c r="C799" t="s">
        <v>14</v>
      </c>
      <c r="D799" t="s">
        <v>28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>
        <v>0.80249999999999999</v>
      </c>
      <c r="K799">
        <v>110000</v>
      </c>
      <c r="L799" s="2">
        <v>46013</v>
      </c>
    </row>
    <row r="800" spans="1:12">
      <c r="A800" t="s">
        <v>1126</v>
      </c>
      <c r="B800" t="s">
        <v>865</v>
      </c>
      <c r="C800" t="s">
        <v>14</v>
      </c>
      <c r="D800" t="s">
        <v>36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>
        <v>0.74519999999999997</v>
      </c>
      <c r="K800">
        <v>130000</v>
      </c>
      <c r="L800" s="2">
        <v>46172</v>
      </c>
    </row>
    <row r="801" spans="1:12">
      <c r="A801" t="s">
        <v>1127</v>
      </c>
      <c r="B801" t="s">
        <v>47</v>
      </c>
      <c r="C801" t="s">
        <v>14</v>
      </c>
      <c r="D801" t="s">
        <v>53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>
        <v>0.90649999999999997</v>
      </c>
      <c r="K801">
        <v>130000</v>
      </c>
      <c r="L801" s="2">
        <v>46218</v>
      </c>
    </row>
    <row r="802" spans="1:12">
      <c r="A802" t="s">
        <v>1128</v>
      </c>
      <c r="B802" t="s">
        <v>564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>
        <v>0.9163</v>
      </c>
      <c r="K802">
        <v>60000</v>
      </c>
      <c r="L802" s="2">
        <v>45885</v>
      </c>
    </row>
    <row r="803" spans="1:12">
      <c r="A803" t="s">
        <v>1129</v>
      </c>
      <c r="B803" t="s">
        <v>251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>
        <v>0.92020000000000002</v>
      </c>
      <c r="K803">
        <v>130000</v>
      </c>
      <c r="L803" s="2">
        <v>45827</v>
      </c>
    </row>
    <row r="804" spans="1:12">
      <c r="A804" t="s">
        <v>1130</v>
      </c>
      <c r="B804" t="s">
        <v>1131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>
        <v>0.87329999999999997</v>
      </c>
      <c r="K804">
        <v>110000</v>
      </c>
      <c r="L804" s="2">
        <v>45673</v>
      </c>
    </row>
    <row r="805" spans="1:12">
      <c r="A805" t="s">
        <v>1132</v>
      </c>
      <c r="B805" t="s">
        <v>803</v>
      </c>
      <c r="C805" t="s">
        <v>19</v>
      </c>
      <c r="D805" t="s">
        <v>53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>
        <v>0.94850000000000001</v>
      </c>
      <c r="K805">
        <v>60000</v>
      </c>
      <c r="L805" s="2">
        <v>45912</v>
      </c>
    </row>
    <row r="806" spans="1:12">
      <c r="A806" t="s">
        <v>1133</v>
      </c>
      <c r="B806" t="s">
        <v>243</v>
      </c>
      <c r="C806" t="s">
        <v>19</v>
      </c>
      <c r="D806" t="s">
        <v>15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>
        <v>0.89100000000000001</v>
      </c>
      <c r="K806">
        <v>50000</v>
      </c>
      <c r="L806" s="2">
        <v>46178</v>
      </c>
    </row>
    <row r="807" spans="1:12">
      <c r="A807" t="s">
        <v>1134</v>
      </c>
      <c r="B807" t="s">
        <v>433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>
        <v>0.84650000000000003</v>
      </c>
      <c r="K807">
        <v>70000</v>
      </c>
      <c r="L807" s="2">
        <v>45876</v>
      </c>
    </row>
    <row r="808" spans="1:12">
      <c r="A808" t="s">
        <v>1135</v>
      </c>
      <c r="B808" t="s">
        <v>675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>
        <v>0.94710000000000005</v>
      </c>
      <c r="K808">
        <v>130000</v>
      </c>
      <c r="L808" s="2">
        <v>45779</v>
      </c>
    </row>
    <row r="809" spans="1:12">
      <c r="A809" t="s">
        <v>1136</v>
      </c>
      <c r="B809" t="s">
        <v>65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>
        <v>0.92200000000000004</v>
      </c>
      <c r="K809">
        <v>110000</v>
      </c>
      <c r="L809" s="2">
        <v>45611</v>
      </c>
    </row>
    <row r="810" spans="1:12">
      <c r="A810" t="s">
        <v>1137</v>
      </c>
      <c r="B810" t="s">
        <v>474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>
        <v>0.95009999999999994</v>
      </c>
      <c r="K810">
        <v>90000</v>
      </c>
      <c r="L810" s="2">
        <v>45808</v>
      </c>
    </row>
    <row r="811" spans="1:12">
      <c r="A811" t="s">
        <v>1138</v>
      </c>
      <c r="B811" t="s">
        <v>31</v>
      </c>
      <c r="C811" t="s">
        <v>19</v>
      </c>
      <c r="D811" t="s">
        <v>28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>
        <v>0.74590000000000001</v>
      </c>
      <c r="K811">
        <v>90000</v>
      </c>
      <c r="L811" s="2">
        <v>45701</v>
      </c>
    </row>
    <row r="812" spans="1:12">
      <c r="A812" t="s">
        <v>1139</v>
      </c>
      <c r="B812" t="s">
        <v>388</v>
      </c>
      <c r="C812" t="s">
        <v>14</v>
      </c>
      <c r="D812" t="s">
        <v>53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>
        <v>0.85399999999999998</v>
      </c>
      <c r="K812">
        <v>80000</v>
      </c>
      <c r="L812" s="2">
        <v>46219</v>
      </c>
    </row>
    <row r="813" spans="1:12">
      <c r="A813" t="s">
        <v>1140</v>
      </c>
      <c r="B813" t="s">
        <v>272</v>
      </c>
      <c r="C813" t="s">
        <v>19</v>
      </c>
      <c r="D813" t="s">
        <v>20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>
        <v>0.7349</v>
      </c>
      <c r="K813">
        <v>120000</v>
      </c>
      <c r="L813" s="2">
        <v>45905</v>
      </c>
    </row>
    <row r="814" spans="1:12">
      <c r="A814" t="s">
        <v>1141</v>
      </c>
      <c r="B814" t="s">
        <v>1106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>
        <v>0.91690000000000005</v>
      </c>
      <c r="K814">
        <v>60000</v>
      </c>
      <c r="L814" s="2">
        <v>45631</v>
      </c>
    </row>
    <row r="815" spans="1:12">
      <c r="A815" t="s">
        <v>1142</v>
      </c>
      <c r="B815" t="s">
        <v>90</v>
      </c>
      <c r="C815" t="s">
        <v>14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>
        <v>0.88139999999999996</v>
      </c>
      <c r="K815">
        <v>75000</v>
      </c>
      <c r="L815" s="2">
        <v>45583</v>
      </c>
    </row>
    <row r="816" spans="1:12">
      <c r="A816" t="s">
        <v>1143</v>
      </c>
      <c r="B816" t="s">
        <v>79</v>
      </c>
      <c r="C816" t="s">
        <v>19</v>
      </c>
      <c r="D816" t="s">
        <v>53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>
        <v>0.92849999999999999</v>
      </c>
      <c r="K816">
        <v>70000</v>
      </c>
      <c r="L816" s="2">
        <v>46131</v>
      </c>
    </row>
    <row r="817" spans="1:12">
      <c r="A817" t="s">
        <v>1144</v>
      </c>
      <c r="B817" t="s">
        <v>415</v>
      </c>
      <c r="C817" t="s">
        <v>19</v>
      </c>
      <c r="D817" t="s">
        <v>36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>
        <v>0.80820000000000003</v>
      </c>
      <c r="K817">
        <v>120000</v>
      </c>
      <c r="L817" s="2">
        <v>46188</v>
      </c>
    </row>
    <row r="818" spans="1:12">
      <c r="A818" t="s">
        <v>1145</v>
      </c>
      <c r="B818" t="s">
        <v>575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>
        <v>0.82210000000000005</v>
      </c>
      <c r="K818">
        <v>85000</v>
      </c>
      <c r="L818" s="2">
        <v>46070</v>
      </c>
    </row>
    <row r="819" spans="1:12">
      <c r="A819" t="s">
        <v>1146</v>
      </c>
      <c r="B819" t="s">
        <v>1147</v>
      </c>
      <c r="C819" t="s">
        <v>14</v>
      </c>
      <c r="D819" t="s">
        <v>36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>
        <v>0.86709999999999998</v>
      </c>
      <c r="K819">
        <v>100000</v>
      </c>
      <c r="L819" s="2">
        <v>45622</v>
      </c>
    </row>
    <row r="820" spans="1:12">
      <c r="A820" t="s">
        <v>1148</v>
      </c>
      <c r="B820" t="s">
        <v>720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>
        <v>0.95279999999999998</v>
      </c>
      <c r="K820">
        <v>130000</v>
      </c>
      <c r="L820" s="2">
        <v>45604</v>
      </c>
    </row>
    <row r="821" spans="1:12">
      <c r="A821" t="s">
        <v>1149</v>
      </c>
      <c r="B821" t="s">
        <v>50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>
        <v>0.95979999999999999</v>
      </c>
      <c r="K821">
        <v>70000</v>
      </c>
      <c r="L821" s="2">
        <v>45674</v>
      </c>
    </row>
    <row r="822" spans="1:12">
      <c r="A822" t="s">
        <v>1150</v>
      </c>
      <c r="B822" t="s">
        <v>1098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>
        <v>0.84289999999999998</v>
      </c>
      <c r="K822">
        <v>130000</v>
      </c>
      <c r="L822" s="2">
        <v>46061</v>
      </c>
    </row>
    <row r="823" spans="1:12">
      <c r="A823" t="s">
        <v>1151</v>
      </c>
      <c r="B823" t="s">
        <v>651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>
        <v>0.96679999999999999</v>
      </c>
      <c r="K823">
        <v>60000</v>
      </c>
      <c r="L823" s="2">
        <v>46071</v>
      </c>
    </row>
    <row r="824" spans="1:12">
      <c r="A824" t="s">
        <v>1152</v>
      </c>
      <c r="B824" t="s">
        <v>288</v>
      </c>
      <c r="C824" t="s">
        <v>14</v>
      </c>
      <c r="D824" t="s">
        <v>53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>
        <v>0.95730000000000004</v>
      </c>
      <c r="K824">
        <v>110000</v>
      </c>
      <c r="L824" s="2">
        <v>46122</v>
      </c>
    </row>
    <row r="825" spans="1:12">
      <c r="A825" t="s">
        <v>1153</v>
      </c>
      <c r="B825" t="s">
        <v>77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>
        <v>0.94520000000000004</v>
      </c>
      <c r="K825">
        <v>100000</v>
      </c>
      <c r="L825" s="2">
        <v>45603</v>
      </c>
    </row>
    <row r="826" spans="1:12">
      <c r="A826" t="s">
        <v>1154</v>
      </c>
      <c r="B826" t="s">
        <v>213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>
        <v>0.88039999999999996</v>
      </c>
      <c r="K826">
        <v>120000</v>
      </c>
      <c r="L826" s="2">
        <v>45643</v>
      </c>
    </row>
    <row r="827" spans="1:12">
      <c r="A827" t="s">
        <v>1155</v>
      </c>
      <c r="B827" t="s">
        <v>135</v>
      </c>
      <c r="C827" t="s">
        <v>14</v>
      </c>
      <c r="D827" t="s">
        <v>53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>
        <v>0.93130000000000002</v>
      </c>
      <c r="K827">
        <v>60000</v>
      </c>
      <c r="L827" s="2">
        <v>46166</v>
      </c>
    </row>
    <row r="828" spans="1:12">
      <c r="A828" t="s">
        <v>1156</v>
      </c>
      <c r="B828" t="s">
        <v>412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>
        <v>0.73350000000000004</v>
      </c>
      <c r="K828">
        <v>130000</v>
      </c>
      <c r="L828" s="2">
        <v>46186</v>
      </c>
    </row>
    <row r="829" spans="1:12">
      <c r="A829" t="s">
        <v>1157</v>
      </c>
      <c r="B829" t="s">
        <v>404</v>
      </c>
      <c r="C829" t="s">
        <v>19</v>
      </c>
      <c r="D829" t="s">
        <v>28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>
        <v>0.97170000000000001</v>
      </c>
      <c r="K829">
        <v>110000</v>
      </c>
      <c r="L829" s="2">
        <v>46043</v>
      </c>
    </row>
    <row r="830" spans="1:12">
      <c r="A830" t="s">
        <v>1158</v>
      </c>
      <c r="B830" t="s">
        <v>697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>
        <v>0.81640000000000001</v>
      </c>
      <c r="K830">
        <v>60000</v>
      </c>
      <c r="L830" s="2">
        <v>45610</v>
      </c>
    </row>
    <row r="831" spans="1:12">
      <c r="A831" t="s">
        <v>1159</v>
      </c>
      <c r="B831" t="s">
        <v>186</v>
      </c>
      <c r="C831" t="s">
        <v>14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>
        <v>0.98939999999999995</v>
      </c>
      <c r="K831">
        <v>90000</v>
      </c>
      <c r="L831" s="2">
        <v>45584</v>
      </c>
    </row>
    <row r="832" spans="1:12">
      <c r="A832" t="s">
        <v>1160</v>
      </c>
      <c r="B832" t="s">
        <v>131</v>
      </c>
      <c r="C832" t="s">
        <v>14</v>
      </c>
      <c r="D832" t="s">
        <v>36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>
        <v>0.87290000000000001</v>
      </c>
      <c r="K832">
        <v>110000</v>
      </c>
      <c r="L832" s="2">
        <v>45574</v>
      </c>
    </row>
    <row r="833" spans="1:12">
      <c r="A833" t="s">
        <v>1161</v>
      </c>
      <c r="B833" t="s">
        <v>410</v>
      </c>
      <c r="C833" t="s">
        <v>14</v>
      </c>
      <c r="D833" t="s">
        <v>36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>
        <v>0.77400000000000002</v>
      </c>
      <c r="K833">
        <v>85000</v>
      </c>
      <c r="L833" s="2">
        <v>46020</v>
      </c>
    </row>
    <row r="834" spans="1:12">
      <c r="A834" t="s">
        <v>1162</v>
      </c>
      <c r="B834" t="s">
        <v>357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>
        <v>0.88780000000000003</v>
      </c>
      <c r="K834">
        <v>80000</v>
      </c>
      <c r="L834" s="2">
        <v>46128</v>
      </c>
    </row>
    <row r="835" spans="1:12">
      <c r="A835" t="s">
        <v>1163</v>
      </c>
      <c r="B835" t="s">
        <v>73</v>
      </c>
      <c r="C835" t="s">
        <v>14</v>
      </c>
      <c r="D835" t="s">
        <v>36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>
        <v>0.86470000000000002</v>
      </c>
      <c r="K835">
        <v>75000</v>
      </c>
      <c r="L835" s="2">
        <v>45978</v>
      </c>
    </row>
    <row r="836" spans="1:12">
      <c r="A836" t="s">
        <v>1164</v>
      </c>
      <c r="B836" t="s">
        <v>141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>
        <v>0.84540000000000004</v>
      </c>
      <c r="K836">
        <v>85000</v>
      </c>
      <c r="L836" s="2">
        <v>45719</v>
      </c>
    </row>
    <row r="837" spans="1:12">
      <c r="A837" t="s">
        <v>1165</v>
      </c>
      <c r="B837" t="s">
        <v>415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>
        <v>0.98080000000000001</v>
      </c>
      <c r="K837">
        <v>130000</v>
      </c>
      <c r="L837" s="2">
        <v>46066</v>
      </c>
    </row>
    <row r="838" spans="1:12">
      <c r="A838" t="s">
        <v>1166</v>
      </c>
      <c r="B838" t="s">
        <v>102</v>
      </c>
      <c r="C838" t="s">
        <v>19</v>
      </c>
      <c r="D838" t="s">
        <v>20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>
        <v>0.69789999999999996</v>
      </c>
      <c r="K838">
        <v>90000</v>
      </c>
      <c r="L838" s="2">
        <v>45577</v>
      </c>
    </row>
    <row r="839" spans="1:12">
      <c r="A839" t="s">
        <v>1167</v>
      </c>
      <c r="B839" t="s">
        <v>1036</v>
      </c>
      <c r="C839" t="s">
        <v>14</v>
      </c>
      <c r="D839" t="s">
        <v>28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>
        <v>0.60809999999999997</v>
      </c>
      <c r="K839">
        <v>100000</v>
      </c>
      <c r="L839" s="2">
        <v>46115</v>
      </c>
    </row>
    <row r="840" spans="1:12">
      <c r="A840" t="s">
        <v>1168</v>
      </c>
      <c r="B840" t="s">
        <v>431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>
        <v>0.7288</v>
      </c>
      <c r="K840">
        <v>110000</v>
      </c>
      <c r="L840" s="2">
        <v>46160</v>
      </c>
    </row>
    <row r="841" spans="1:12">
      <c r="A841" t="s">
        <v>1169</v>
      </c>
      <c r="B841" t="s">
        <v>518</v>
      </c>
      <c r="C841" t="s">
        <v>19</v>
      </c>
      <c r="D841" t="s">
        <v>28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>
        <v>0.92059999999999997</v>
      </c>
      <c r="K841">
        <v>110000</v>
      </c>
      <c r="L841" s="2">
        <v>46038</v>
      </c>
    </row>
    <row r="842" spans="1:12">
      <c r="A842" t="s">
        <v>1170</v>
      </c>
      <c r="B842" t="s">
        <v>1038</v>
      </c>
      <c r="C842" t="s">
        <v>14</v>
      </c>
      <c r="D842" t="s">
        <v>36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>
        <v>0.69040000000000001</v>
      </c>
      <c r="K842">
        <v>80000</v>
      </c>
      <c r="L842" s="2">
        <v>46151</v>
      </c>
    </row>
    <row r="843" spans="1:12">
      <c r="A843" t="s">
        <v>1171</v>
      </c>
      <c r="B843" t="s">
        <v>104</v>
      </c>
      <c r="C843" t="s">
        <v>19</v>
      </c>
      <c r="D843" t="s">
        <v>36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>
        <v>0.93700000000000006</v>
      </c>
      <c r="K843">
        <v>110000</v>
      </c>
      <c r="L843" s="2">
        <v>45946</v>
      </c>
    </row>
    <row r="844" spans="1:12">
      <c r="A844" t="s">
        <v>1172</v>
      </c>
      <c r="B844" t="s">
        <v>111</v>
      </c>
      <c r="C844" t="s">
        <v>19</v>
      </c>
      <c r="D844" t="s">
        <v>15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>
        <v>0.77559999999999996</v>
      </c>
      <c r="K844">
        <v>75000</v>
      </c>
      <c r="L844" s="2">
        <v>45863</v>
      </c>
    </row>
    <row r="845" spans="1:12">
      <c r="A845" t="s">
        <v>1173</v>
      </c>
      <c r="B845" t="s">
        <v>372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>
        <v>0.63160000000000005</v>
      </c>
      <c r="K845">
        <v>90000</v>
      </c>
      <c r="L845" s="2">
        <v>45761</v>
      </c>
    </row>
    <row r="846" spans="1:12">
      <c r="A846" t="s">
        <v>1174</v>
      </c>
      <c r="B846" t="s">
        <v>274</v>
      </c>
      <c r="C846" t="s">
        <v>14</v>
      </c>
      <c r="D846" t="s">
        <v>20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>
        <v>0.99750000000000005</v>
      </c>
      <c r="K846">
        <v>75000</v>
      </c>
      <c r="L846" s="2">
        <v>46181</v>
      </c>
    </row>
    <row r="847" spans="1:12">
      <c r="A847" t="s">
        <v>1175</v>
      </c>
      <c r="B847" t="s">
        <v>425</v>
      </c>
      <c r="C847" t="s">
        <v>14</v>
      </c>
      <c r="D847" t="s">
        <v>53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>
        <v>0.91039999999999999</v>
      </c>
      <c r="K847">
        <v>130000</v>
      </c>
      <c r="L847" s="2">
        <v>46024</v>
      </c>
    </row>
    <row r="848" spans="1:12">
      <c r="A848" t="s">
        <v>1176</v>
      </c>
      <c r="B848" t="s">
        <v>757</v>
      </c>
      <c r="C848" t="s">
        <v>14</v>
      </c>
      <c r="D848" t="s">
        <v>53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>
        <v>0.83069999999999999</v>
      </c>
      <c r="K848">
        <v>110000</v>
      </c>
      <c r="L848" s="2">
        <v>45669</v>
      </c>
    </row>
    <row r="849" spans="1:12">
      <c r="A849" t="s">
        <v>1177</v>
      </c>
      <c r="B849" t="s">
        <v>357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>
        <v>0.86129999999999995</v>
      </c>
      <c r="K849">
        <v>90000</v>
      </c>
      <c r="L849" s="2">
        <v>46205</v>
      </c>
    </row>
    <row r="850" spans="1:12">
      <c r="A850" t="s">
        <v>1178</v>
      </c>
      <c r="B850" t="s">
        <v>949</v>
      </c>
      <c r="C850" t="s">
        <v>19</v>
      </c>
      <c r="D850" t="s">
        <v>36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>
        <v>0.55000000000000004</v>
      </c>
      <c r="K850">
        <v>80000</v>
      </c>
      <c r="L850" s="2">
        <v>45577</v>
      </c>
    </row>
    <row r="851" spans="1:12">
      <c r="A851" t="s">
        <v>1179</v>
      </c>
      <c r="B851" t="s">
        <v>748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>
        <v>0.55000000000000004</v>
      </c>
      <c r="K851">
        <v>85000</v>
      </c>
      <c r="L851" s="2">
        <v>45947</v>
      </c>
    </row>
    <row r="852" spans="1:12">
      <c r="A852" t="s">
        <v>1180</v>
      </c>
      <c r="B852" t="s">
        <v>479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>
        <v>0.91310000000000002</v>
      </c>
      <c r="K852">
        <v>110000</v>
      </c>
      <c r="L852" s="2">
        <v>45669</v>
      </c>
    </row>
    <row r="853" spans="1:12">
      <c r="A853" t="s">
        <v>1181</v>
      </c>
      <c r="B853" t="s">
        <v>237</v>
      </c>
      <c r="C853" t="s">
        <v>19</v>
      </c>
      <c r="D853" t="s">
        <v>32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>
        <v>0.95920000000000005</v>
      </c>
      <c r="K853">
        <v>75000</v>
      </c>
      <c r="L853" s="2">
        <v>46001</v>
      </c>
    </row>
    <row r="854" spans="1:12">
      <c r="A854" t="s">
        <v>1182</v>
      </c>
      <c r="B854" t="s">
        <v>408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>
        <v>0.96989999999999998</v>
      </c>
      <c r="K854">
        <v>120000</v>
      </c>
      <c r="L854" s="2">
        <v>45824</v>
      </c>
    </row>
    <row r="855" spans="1:12">
      <c r="A855" t="s">
        <v>1183</v>
      </c>
      <c r="B855" t="s">
        <v>1184</v>
      </c>
      <c r="C855" t="s">
        <v>14</v>
      </c>
      <c r="D855" t="s">
        <v>53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>
        <v>0.86260000000000003</v>
      </c>
      <c r="K855">
        <v>75000</v>
      </c>
      <c r="L855" s="2">
        <v>45841</v>
      </c>
    </row>
    <row r="856" spans="1:12">
      <c r="A856" t="s">
        <v>1185</v>
      </c>
      <c r="B856" t="s">
        <v>930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>
        <v>0.8266</v>
      </c>
      <c r="K856">
        <v>60000</v>
      </c>
      <c r="L856" s="2">
        <v>46006</v>
      </c>
    </row>
    <row r="857" spans="1:12">
      <c r="A857" t="s">
        <v>1186</v>
      </c>
      <c r="B857" t="s">
        <v>912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>
        <v>0.88739999999999997</v>
      </c>
      <c r="K857">
        <v>110000</v>
      </c>
      <c r="L857" s="2">
        <v>46065</v>
      </c>
    </row>
    <row r="858" spans="1:12">
      <c r="A858" t="s">
        <v>1187</v>
      </c>
      <c r="B858" t="s">
        <v>600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>
        <v>0.57750000000000001</v>
      </c>
      <c r="K858">
        <v>100000</v>
      </c>
      <c r="L858" s="2">
        <v>45802</v>
      </c>
    </row>
    <row r="859" spans="1:12">
      <c r="A859" t="s">
        <v>1188</v>
      </c>
      <c r="B859" t="s">
        <v>679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>
        <v>0.82110000000000005</v>
      </c>
      <c r="K859">
        <v>75000</v>
      </c>
      <c r="L859" s="2">
        <v>46234</v>
      </c>
    </row>
    <row r="860" spans="1:12">
      <c r="A860" t="s">
        <v>1189</v>
      </c>
      <c r="B860" t="s">
        <v>43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>
        <v>0.97829999999999995</v>
      </c>
      <c r="K860">
        <v>100000</v>
      </c>
      <c r="L860" s="2">
        <v>45884</v>
      </c>
    </row>
    <row r="861" spans="1:12">
      <c r="A861" t="s">
        <v>1190</v>
      </c>
      <c r="B861" t="s">
        <v>52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>
        <v>0.85309999999999997</v>
      </c>
      <c r="K861">
        <v>110000</v>
      </c>
      <c r="L861" s="2">
        <v>45648</v>
      </c>
    </row>
    <row r="862" spans="1:12">
      <c r="A862" t="s">
        <v>1191</v>
      </c>
      <c r="B862" t="s">
        <v>651</v>
      </c>
      <c r="C862" t="s">
        <v>19</v>
      </c>
      <c r="D862" t="s">
        <v>53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>
        <v>0.83660000000000001</v>
      </c>
      <c r="K862">
        <v>110000</v>
      </c>
      <c r="L862" s="2">
        <v>45540</v>
      </c>
    </row>
    <row r="863" spans="1:12">
      <c r="A863" t="s">
        <v>1192</v>
      </c>
      <c r="B863" t="s">
        <v>342</v>
      </c>
      <c r="C863" t="s">
        <v>19</v>
      </c>
      <c r="D863" t="s">
        <v>53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>
        <v>0.8891</v>
      </c>
      <c r="K863">
        <v>130000</v>
      </c>
      <c r="L863" s="2">
        <v>45677</v>
      </c>
    </row>
    <row r="864" spans="1:12">
      <c r="A864" t="s">
        <v>1193</v>
      </c>
      <c r="B864" t="s">
        <v>1074</v>
      </c>
      <c r="C864" t="s">
        <v>14</v>
      </c>
      <c r="D864" t="s">
        <v>36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>
        <v>0.99199999999999999</v>
      </c>
      <c r="K864">
        <v>120000</v>
      </c>
      <c r="L864" s="2">
        <v>46019</v>
      </c>
    </row>
    <row r="865" spans="1:12">
      <c r="A865" t="s">
        <v>1194</v>
      </c>
      <c r="B865" t="s">
        <v>667</v>
      </c>
      <c r="C865" t="s">
        <v>19</v>
      </c>
      <c r="D865" t="s">
        <v>15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>
        <v>0.71740000000000004</v>
      </c>
      <c r="K865">
        <v>80000</v>
      </c>
      <c r="L865" s="2">
        <v>45913</v>
      </c>
    </row>
    <row r="866" spans="1:12">
      <c r="A866" t="s">
        <v>1195</v>
      </c>
      <c r="B866" t="s">
        <v>77</v>
      </c>
      <c r="C866" t="s">
        <v>19</v>
      </c>
      <c r="D866" t="s">
        <v>53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>
        <v>0.81459999999999999</v>
      </c>
      <c r="K866">
        <v>70000</v>
      </c>
      <c r="L866" s="2">
        <v>45772</v>
      </c>
    </row>
    <row r="867" spans="1:12">
      <c r="A867" t="s">
        <v>1196</v>
      </c>
      <c r="B867" t="s">
        <v>204</v>
      </c>
      <c r="C867" t="s">
        <v>19</v>
      </c>
      <c r="D867" t="s">
        <v>36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>
        <v>0.88529999999999998</v>
      </c>
      <c r="K867">
        <v>60000</v>
      </c>
      <c r="L867" s="2">
        <v>45872</v>
      </c>
    </row>
    <row r="868" spans="1:12">
      <c r="A868" t="s">
        <v>1197</v>
      </c>
      <c r="B868" t="s">
        <v>415</v>
      </c>
      <c r="C868" t="s">
        <v>19</v>
      </c>
      <c r="D868" t="s">
        <v>53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>
        <v>0.9496</v>
      </c>
      <c r="K868">
        <v>90000</v>
      </c>
      <c r="L868" s="2">
        <v>46122</v>
      </c>
    </row>
    <row r="869" spans="1:12">
      <c r="A869" t="s">
        <v>1198</v>
      </c>
      <c r="B869" t="s">
        <v>280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>
        <v>0.7762</v>
      </c>
      <c r="K869">
        <v>100000</v>
      </c>
      <c r="L869" s="2">
        <v>45936</v>
      </c>
    </row>
    <row r="870" spans="1:12">
      <c r="A870" t="s">
        <v>1199</v>
      </c>
      <c r="B870" t="s">
        <v>492</v>
      </c>
      <c r="C870" t="s">
        <v>14</v>
      </c>
      <c r="D870" t="s">
        <v>53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>
        <v>0.78990000000000005</v>
      </c>
      <c r="K870">
        <v>100000</v>
      </c>
      <c r="L870" s="2">
        <v>45576</v>
      </c>
    </row>
    <row r="871" spans="1:12">
      <c r="A871" t="s">
        <v>1200</v>
      </c>
      <c r="B871" t="s">
        <v>45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>
        <v>0.86750000000000005</v>
      </c>
      <c r="K871">
        <v>50000</v>
      </c>
      <c r="L871" s="2">
        <v>45570</v>
      </c>
    </row>
    <row r="872" spans="1:12">
      <c r="A872" t="s">
        <v>1201</v>
      </c>
      <c r="B872" t="s">
        <v>564</v>
      </c>
      <c r="C872" t="s">
        <v>14</v>
      </c>
      <c r="D872" t="s">
        <v>20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>
        <v>0.97450000000000003</v>
      </c>
      <c r="K872">
        <v>100000</v>
      </c>
      <c r="L872" s="2">
        <v>45873</v>
      </c>
    </row>
    <row r="873" spans="1:12">
      <c r="A873" t="s">
        <v>1202</v>
      </c>
      <c r="B873" t="s">
        <v>575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>
        <v>0.97970000000000002</v>
      </c>
      <c r="K873">
        <v>110000</v>
      </c>
      <c r="L873" s="2">
        <v>45818</v>
      </c>
    </row>
    <row r="874" spans="1:12">
      <c r="A874" t="s">
        <v>1203</v>
      </c>
      <c r="B874" t="s">
        <v>1204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>
        <v>0.92959999999999998</v>
      </c>
      <c r="K874">
        <v>100000</v>
      </c>
      <c r="L874" s="2">
        <v>46131</v>
      </c>
    </row>
    <row r="875" spans="1:12">
      <c r="A875" t="s">
        <v>1205</v>
      </c>
      <c r="B875" t="s">
        <v>737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>
        <v>0.6784</v>
      </c>
      <c r="K875">
        <v>85000</v>
      </c>
      <c r="L875" s="2">
        <v>45944</v>
      </c>
    </row>
    <row r="876" spans="1:12">
      <c r="A876" t="s">
        <v>1206</v>
      </c>
      <c r="B876" t="s">
        <v>317</v>
      </c>
      <c r="C876" t="s">
        <v>19</v>
      </c>
      <c r="D876" t="s">
        <v>36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>
        <v>0.68859999999999999</v>
      </c>
      <c r="K876">
        <v>50000</v>
      </c>
      <c r="L876" s="2">
        <v>46065</v>
      </c>
    </row>
    <row r="877" spans="1:12">
      <c r="A877" t="s">
        <v>1207</v>
      </c>
      <c r="B877" t="s">
        <v>777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>
        <v>0.92969999999999997</v>
      </c>
      <c r="K877">
        <v>85000</v>
      </c>
      <c r="L877" s="2">
        <v>45945</v>
      </c>
    </row>
    <row r="878" spans="1:12">
      <c r="A878" t="s">
        <v>1208</v>
      </c>
      <c r="B878" t="s">
        <v>55</v>
      </c>
      <c r="C878" t="s">
        <v>19</v>
      </c>
      <c r="D878" t="s">
        <v>53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>
        <v>0.97289999999999999</v>
      </c>
      <c r="K878">
        <v>100000</v>
      </c>
      <c r="L878" s="2">
        <v>45777</v>
      </c>
    </row>
    <row r="879" spans="1:12">
      <c r="A879" t="s">
        <v>1209</v>
      </c>
      <c r="B879" t="s">
        <v>442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>
        <v>0.82310000000000005</v>
      </c>
      <c r="K879">
        <v>90000</v>
      </c>
      <c r="L879" s="2">
        <v>45996</v>
      </c>
    </row>
    <row r="880" spans="1:12">
      <c r="A880" t="s">
        <v>1210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>
        <v>0.77610000000000001</v>
      </c>
      <c r="K880">
        <v>90000</v>
      </c>
      <c r="L880" s="2">
        <v>45971</v>
      </c>
    </row>
    <row r="881" spans="1:12">
      <c r="A881" t="s">
        <v>1211</v>
      </c>
      <c r="B881" t="s">
        <v>127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>
        <v>0.94079999999999997</v>
      </c>
      <c r="K881">
        <v>85000</v>
      </c>
      <c r="L881" s="2">
        <v>46040</v>
      </c>
    </row>
    <row r="882" spans="1:12">
      <c r="A882" t="s">
        <v>1212</v>
      </c>
      <c r="B882" t="s">
        <v>607</v>
      </c>
      <c r="C882" t="s">
        <v>14</v>
      </c>
      <c r="D882" t="s">
        <v>28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>
        <v>0.65229999999999999</v>
      </c>
      <c r="K882">
        <v>90000</v>
      </c>
      <c r="L882" s="2">
        <v>45668</v>
      </c>
    </row>
    <row r="883" spans="1:12">
      <c r="A883" t="s">
        <v>1213</v>
      </c>
      <c r="B883" t="s">
        <v>85</v>
      </c>
      <c r="C883" t="s">
        <v>19</v>
      </c>
      <c r="D883" t="s">
        <v>53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>
        <v>0.55000000000000004</v>
      </c>
      <c r="K883">
        <v>75000</v>
      </c>
      <c r="L883" s="2">
        <v>45985</v>
      </c>
    </row>
    <row r="884" spans="1:12">
      <c r="A884" t="s">
        <v>1214</v>
      </c>
      <c r="B884" t="s">
        <v>833</v>
      </c>
      <c r="C884" t="s">
        <v>14</v>
      </c>
      <c r="D884" t="s">
        <v>53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>
        <v>0.61939999999999995</v>
      </c>
      <c r="K884">
        <v>90000</v>
      </c>
      <c r="L884" s="2">
        <v>45735</v>
      </c>
    </row>
    <row r="885" spans="1:12">
      <c r="A885" t="s">
        <v>1215</v>
      </c>
      <c r="B885" t="s">
        <v>372</v>
      </c>
      <c r="C885" t="s">
        <v>14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>
        <v>0.72609999999999997</v>
      </c>
      <c r="K885">
        <v>75000</v>
      </c>
      <c r="L885" s="2">
        <v>46089</v>
      </c>
    </row>
    <row r="886" spans="1:12">
      <c r="A886" t="s">
        <v>1216</v>
      </c>
      <c r="B886" t="s">
        <v>1034</v>
      </c>
      <c r="C886" t="s">
        <v>19</v>
      </c>
      <c r="D886" t="s">
        <v>53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>
        <v>0.76170000000000004</v>
      </c>
      <c r="K886">
        <v>85000</v>
      </c>
      <c r="L886" s="2">
        <v>46094</v>
      </c>
    </row>
    <row r="887" spans="1:12">
      <c r="A887" t="s">
        <v>1217</v>
      </c>
      <c r="B887" t="s">
        <v>720</v>
      </c>
      <c r="C887" t="s">
        <v>19</v>
      </c>
      <c r="D887" t="s">
        <v>36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>
        <v>0.66259999999999997</v>
      </c>
      <c r="K887">
        <v>80000</v>
      </c>
      <c r="L887" s="2">
        <v>45973</v>
      </c>
    </row>
    <row r="888" spans="1:12">
      <c r="A888" t="s">
        <v>1218</v>
      </c>
      <c r="B888" t="s">
        <v>562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>
        <v>0.90469999999999995</v>
      </c>
      <c r="K888">
        <v>100000</v>
      </c>
      <c r="L888" s="2">
        <v>46198</v>
      </c>
    </row>
    <row r="889" spans="1:12">
      <c r="A889" t="s">
        <v>1219</v>
      </c>
      <c r="B889" t="s">
        <v>718</v>
      </c>
      <c r="C889" t="s">
        <v>14</v>
      </c>
      <c r="D889" t="s">
        <v>20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>
        <v>0.84689999999999999</v>
      </c>
      <c r="K889">
        <v>120000</v>
      </c>
      <c r="L889" s="2">
        <v>45912</v>
      </c>
    </row>
    <row r="890" spans="1:12">
      <c r="A890" t="s">
        <v>1220</v>
      </c>
      <c r="B890" t="s">
        <v>325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>
        <v>0.82040000000000002</v>
      </c>
      <c r="K890">
        <v>90000</v>
      </c>
      <c r="L890" s="2">
        <v>45553</v>
      </c>
    </row>
    <row r="891" spans="1:12">
      <c r="A891" t="s">
        <v>1221</v>
      </c>
      <c r="B891" t="s">
        <v>65</v>
      </c>
      <c r="C891" t="s">
        <v>14</v>
      </c>
      <c r="D891" t="s">
        <v>36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>
        <v>0.73619999999999997</v>
      </c>
      <c r="K891">
        <v>60000</v>
      </c>
      <c r="L891" s="2">
        <v>45960</v>
      </c>
    </row>
    <row r="892" spans="1:12">
      <c r="A892" t="s">
        <v>1222</v>
      </c>
      <c r="B892" t="s">
        <v>178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>
        <v>0.80800000000000005</v>
      </c>
      <c r="K892">
        <v>100000</v>
      </c>
      <c r="L892" s="2">
        <v>46080</v>
      </c>
    </row>
    <row r="893" spans="1:12">
      <c r="A893" t="s">
        <v>1223</v>
      </c>
      <c r="B893" t="s">
        <v>50</v>
      </c>
      <c r="C893" t="s">
        <v>19</v>
      </c>
      <c r="D893" t="s">
        <v>36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>
        <v>0.62170000000000003</v>
      </c>
      <c r="K893">
        <v>75000</v>
      </c>
      <c r="L893" s="2">
        <v>45606</v>
      </c>
    </row>
    <row r="894" spans="1:12">
      <c r="A894" t="s">
        <v>1224</v>
      </c>
      <c r="B894" t="s">
        <v>260</v>
      </c>
      <c r="C894" t="s">
        <v>19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>
        <v>0.85919999999999996</v>
      </c>
      <c r="K894">
        <v>50000</v>
      </c>
      <c r="L894" s="2">
        <v>45609</v>
      </c>
    </row>
    <row r="895" spans="1:12">
      <c r="A895" t="s">
        <v>1225</v>
      </c>
      <c r="B895" t="s">
        <v>52</v>
      </c>
      <c r="C895" t="s">
        <v>19</v>
      </c>
      <c r="D895" t="s">
        <v>53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>
        <v>0.87939999999999996</v>
      </c>
      <c r="K895">
        <v>70000</v>
      </c>
      <c r="L895" s="2">
        <v>45727</v>
      </c>
    </row>
    <row r="896" spans="1:12">
      <c r="A896" t="s">
        <v>1226</v>
      </c>
      <c r="B896" t="s">
        <v>585</v>
      </c>
      <c r="C896" t="s">
        <v>19</v>
      </c>
      <c r="D896" t="s">
        <v>53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>
        <v>0.89259999999999995</v>
      </c>
      <c r="K896">
        <v>130000</v>
      </c>
      <c r="L896" s="2">
        <v>46126</v>
      </c>
    </row>
    <row r="897" spans="1:12">
      <c r="A897" t="s">
        <v>1227</v>
      </c>
      <c r="B897" t="s">
        <v>623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>
        <v>0.78939999999999999</v>
      </c>
      <c r="K897">
        <v>80000</v>
      </c>
      <c r="L897" s="2">
        <v>45905</v>
      </c>
    </row>
    <row r="898" spans="1:12">
      <c r="A898" t="s">
        <v>1228</v>
      </c>
      <c r="B898" t="s">
        <v>129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>
        <v>0.94220000000000004</v>
      </c>
      <c r="K898">
        <v>70000</v>
      </c>
      <c r="L898" s="2">
        <v>46219</v>
      </c>
    </row>
    <row r="899" spans="1:12">
      <c r="A899" t="s">
        <v>1229</v>
      </c>
      <c r="B899" t="s">
        <v>75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>
        <v>0.90300000000000002</v>
      </c>
      <c r="K899">
        <v>60000</v>
      </c>
      <c r="L899" s="2">
        <v>46147</v>
      </c>
    </row>
    <row r="900" spans="1:12">
      <c r="A900" t="s">
        <v>1230</v>
      </c>
      <c r="B900" t="s">
        <v>100</v>
      </c>
      <c r="C900" t="s">
        <v>14</v>
      </c>
      <c r="D900" t="s">
        <v>15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>
        <v>0.92100000000000004</v>
      </c>
      <c r="K900">
        <v>100000</v>
      </c>
      <c r="L900" s="2">
        <v>45924</v>
      </c>
    </row>
    <row r="901" spans="1:12">
      <c r="A901" t="s">
        <v>1231</v>
      </c>
      <c r="B901" t="s">
        <v>1232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>
        <v>0.85929999999999995</v>
      </c>
      <c r="K901">
        <v>110000</v>
      </c>
      <c r="L901" s="2">
        <v>46011</v>
      </c>
    </row>
    <row r="902" spans="1:12">
      <c r="A902" t="s">
        <v>1233</v>
      </c>
      <c r="B902" t="s">
        <v>939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>
        <v>0.7581</v>
      </c>
      <c r="K902">
        <v>75000</v>
      </c>
      <c r="L902" s="2">
        <v>45767</v>
      </c>
    </row>
    <row r="903" spans="1:12">
      <c r="A903" t="s">
        <v>1234</v>
      </c>
      <c r="B903" t="s">
        <v>320</v>
      </c>
      <c r="C903" t="s">
        <v>14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>
        <v>0.92469999999999997</v>
      </c>
      <c r="K903">
        <v>60000</v>
      </c>
      <c r="L903" s="2">
        <v>45599</v>
      </c>
    </row>
    <row r="904" spans="1:12">
      <c r="A904" t="s">
        <v>1235</v>
      </c>
      <c r="B904" t="s">
        <v>543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>
        <v>0.70069999999999999</v>
      </c>
      <c r="K904">
        <v>75000</v>
      </c>
      <c r="L904" s="2">
        <v>45815</v>
      </c>
    </row>
    <row r="905" spans="1:12">
      <c r="A905" t="s">
        <v>1236</v>
      </c>
      <c r="B905" t="s">
        <v>793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>
        <v>0.77449999999999997</v>
      </c>
      <c r="K905">
        <v>100000</v>
      </c>
      <c r="L905" s="2">
        <v>45950</v>
      </c>
    </row>
    <row r="906" spans="1:12">
      <c r="A906" t="s">
        <v>1237</v>
      </c>
      <c r="B906" t="s">
        <v>288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>
        <v>0.55000000000000004</v>
      </c>
      <c r="K906">
        <v>60000</v>
      </c>
      <c r="L906" s="2">
        <v>45663</v>
      </c>
    </row>
    <row r="907" spans="1:12">
      <c r="A907" t="s">
        <v>1238</v>
      </c>
      <c r="B907" t="s">
        <v>471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>
        <v>0.84130000000000005</v>
      </c>
      <c r="K907">
        <v>70000</v>
      </c>
      <c r="L907" s="2">
        <v>45691</v>
      </c>
    </row>
    <row r="908" spans="1:12">
      <c r="A908" t="s">
        <v>1239</v>
      </c>
      <c r="B908" t="s">
        <v>121</v>
      </c>
      <c r="C908" t="s">
        <v>14</v>
      </c>
      <c r="D908" t="s">
        <v>53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>
        <v>0.92610000000000003</v>
      </c>
      <c r="K908">
        <v>50000</v>
      </c>
      <c r="L908" s="2">
        <v>45546</v>
      </c>
    </row>
    <row r="909" spans="1:12">
      <c r="A909" t="s">
        <v>1240</v>
      </c>
      <c r="B909" t="s">
        <v>178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>
        <v>0.91759999999999997</v>
      </c>
      <c r="K909">
        <v>85000</v>
      </c>
      <c r="L909" s="2">
        <v>46049</v>
      </c>
    </row>
    <row r="910" spans="1:12">
      <c r="A910" t="s">
        <v>1241</v>
      </c>
      <c r="B910" t="s">
        <v>73</v>
      </c>
      <c r="C910" t="s">
        <v>14</v>
      </c>
      <c r="D910" t="s">
        <v>53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>
        <v>0.64249999999999996</v>
      </c>
      <c r="K910">
        <v>60000</v>
      </c>
      <c r="L910" s="2">
        <v>46165</v>
      </c>
    </row>
    <row r="911" spans="1:12">
      <c r="A911" t="s">
        <v>1242</v>
      </c>
      <c r="B911" t="s">
        <v>649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>
        <v>0.88639999999999997</v>
      </c>
      <c r="K911">
        <v>70000</v>
      </c>
      <c r="L911" s="2">
        <v>46115</v>
      </c>
    </row>
    <row r="912" spans="1:12">
      <c r="A912" t="s">
        <v>1243</v>
      </c>
      <c r="B912" t="s">
        <v>611</v>
      </c>
      <c r="C912" t="s">
        <v>19</v>
      </c>
      <c r="D912" t="s">
        <v>15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>
        <v>0.95789999999999997</v>
      </c>
      <c r="K912">
        <v>60000</v>
      </c>
      <c r="L912" s="2">
        <v>45801</v>
      </c>
    </row>
    <row r="913" spans="1:12">
      <c r="A913" t="s">
        <v>1244</v>
      </c>
      <c r="B913" t="s">
        <v>1245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>
        <v>0.85370000000000001</v>
      </c>
      <c r="K913">
        <v>110000</v>
      </c>
      <c r="L913" s="2">
        <v>45951</v>
      </c>
    </row>
    <row r="914" spans="1:12">
      <c r="A914" t="s">
        <v>1246</v>
      </c>
      <c r="B914" t="s">
        <v>492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>
        <v>0.82720000000000005</v>
      </c>
      <c r="K914">
        <v>85000</v>
      </c>
      <c r="L914" s="2">
        <v>46208</v>
      </c>
    </row>
    <row r="915" spans="1:12">
      <c r="A915" t="s">
        <v>1247</v>
      </c>
      <c r="B915" t="s">
        <v>213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>
        <v>0.90839999999999999</v>
      </c>
      <c r="K915">
        <v>130000</v>
      </c>
      <c r="L915" s="2">
        <v>45949</v>
      </c>
    </row>
    <row r="916" spans="1:12">
      <c r="A916" t="s">
        <v>1248</v>
      </c>
      <c r="B916" t="s">
        <v>1232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>
        <v>0.81840000000000002</v>
      </c>
      <c r="K916">
        <v>80000</v>
      </c>
      <c r="L916" s="2">
        <v>45743</v>
      </c>
    </row>
    <row r="917" spans="1:12">
      <c r="A917" t="s">
        <v>1249</v>
      </c>
      <c r="B917" t="s">
        <v>47</v>
      </c>
      <c r="C917" t="s">
        <v>14</v>
      </c>
      <c r="D917" t="s">
        <v>36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>
        <v>0.65190000000000003</v>
      </c>
      <c r="K917">
        <v>70000</v>
      </c>
      <c r="L917" s="2">
        <v>45773</v>
      </c>
    </row>
    <row r="918" spans="1:12">
      <c r="A918" t="s">
        <v>1250</v>
      </c>
      <c r="B918" t="s">
        <v>471</v>
      </c>
      <c r="C918" t="s">
        <v>19</v>
      </c>
      <c r="D918" t="s">
        <v>20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>
        <v>0.93179999999999996</v>
      </c>
      <c r="K918">
        <v>70000</v>
      </c>
      <c r="L918" s="2">
        <v>46044</v>
      </c>
    </row>
    <row r="919" spans="1:12">
      <c r="A919" t="s">
        <v>1251</v>
      </c>
      <c r="B919" t="s">
        <v>376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>
        <v>0.89249999999999996</v>
      </c>
      <c r="K919">
        <v>130000</v>
      </c>
      <c r="L919" s="2">
        <v>45848</v>
      </c>
    </row>
    <row r="920" spans="1:12">
      <c r="A920" t="s">
        <v>1252</v>
      </c>
      <c r="B920" t="s">
        <v>449</v>
      </c>
      <c r="C920" t="s">
        <v>14</v>
      </c>
      <c r="D920" t="s">
        <v>28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>
        <v>0.91790000000000005</v>
      </c>
      <c r="K920">
        <v>90000</v>
      </c>
      <c r="L920" s="2">
        <v>46122</v>
      </c>
    </row>
    <row r="921" spans="1:12">
      <c r="A921" t="s">
        <v>1253</v>
      </c>
      <c r="B921" t="s">
        <v>655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>
        <v>0.76900000000000002</v>
      </c>
      <c r="K921">
        <v>75000</v>
      </c>
      <c r="L921" s="2">
        <v>46140</v>
      </c>
    </row>
    <row r="922" spans="1:12">
      <c r="A922" t="s">
        <v>1254</v>
      </c>
      <c r="B922" t="s">
        <v>646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>
        <v>0.90559999999999996</v>
      </c>
      <c r="K922">
        <v>100000</v>
      </c>
      <c r="L922" s="2">
        <v>45561</v>
      </c>
    </row>
    <row r="923" spans="1:12">
      <c r="A923" t="s">
        <v>1255</v>
      </c>
      <c r="B923" t="s">
        <v>129</v>
      </c>
      <c r="C923" t="s">
        <v>19</v>
      </c>
      <c r="D923" t="s">
        <v>28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>
        <v>0.89639999999999997</v>
      </c>
      <c r="K923">
        <v>90000</v>
      </c>
      <c r="L923" s="2">
        <v>46042</v>
      </c>
    </row>
    <row r="924" spans="1:12">
      <c r="A924" t="s">
        <v>1256</v>
      </c>
      <c r="B924" t="s">
        <v>1245</v>
      </c>
      <c r="C924" t="s">
        <v>14</v>
      </c>
      <c r="D924" t="s">
        <v>15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>
        <v>0.89459999999999995</v>
      </c>
      <c r="K924">
        <v>60000</v>
      </c>
      <c r="L924" s="2">
        <v>45794</v>
      </c>
    </row>
    <row r="925" spans="1:12">
      <c r="A925" t="s">
        <v>1257</v>
      </c>
      <c r="B925" t="s">
        <v>1038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>
        <v>0.76690000000000003</v>
      </c>
      <c r="K925">
        <v>100000</v>
      </c>
      <c r="L925" s="2">
        <v>45899</v>
      </c>
    </row>
    <row r="926" spans="1:12">
      <c r="A926" t="s">
        <v>1258</v>
      </c>
      <c r="B926" t="s">
        <v>88</v>
      </c>
      <c r="C926" t="s">
        <v>14</v>
      </c>
      <c r="D926" t="s">
        <v>15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>
        <v>0.80840000000000001</v>
      </c>
      <c r="K926">
        <v>60000</v>
      </c>
      <c r="L926" s="2">
        <v>45721</v>
      </c>
    </row>
    <row r="927" spans="1:12">
      <c r="A927" t="s">
        <v>1259</v>
      </c>
      <c r="B927" t="s">
        <v>720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>
        <v>0.85250000000000004</v>
      </c>
      <c r="K927">
        <v>70000</v>
      </c>
      <c r="L927" s="2">
        <v>45793</v>
      </c>
    </row>
    <row r="928" spans="1:12">
      <c r="A928" t="s">
        <v>1260</v>
      </c>
      <c r="B928" t="s">
        <v>146</v>
      </c>
      <c r="C928" t="s">
        <v>19</v>
      </c>
      <c r="D928" t="s">
        <v>20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>
        <v>0.95640000000000003</v>
      </c>
      <c r="K928">
        <v>100000</v>
      </c>
      <c r="L928" s="2">
        <v>45767</v>
      </c>
    </row>
    <row r="929" spans="1:12">
      <c r="A929" t="s">
        <v>1261</v>
      </c>
      <c r="B929" t="s">
        <v>152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>
        <v>0.97670000000000001</v>
      </c>
      <c r="K929">
        <v>80000</v>
      </c>
      <c r="L929" s="2">
        <v>45571</v>
      </c>
    </row>
    <row r="930" spans="1:12">
      <c r="A930" t="s">
        <v>1262</v>
      </c>
      <c r="B930" t="s">
        <v>1184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>
        <v>0.79890000000000005</v>
      </c>
      <c r="K930">
        <v>70000</v>
      </c>
      <c r="L930" s="2">
        <v>46083</v>
      </c>
    </row>
    <row r="931" spans="1:12">
      <c r="A931" t="s">
        <v>1263</v>
      </c>
      <c r="B931" t="s">
        <v>825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>
        <v>0.98309999999999997</v>
      </c>
      <c r="K931">
        <v>50000</v>
      </c>
      <c r="L931" s="2">
        <v>45636</v>
      </c>
    </row>
    <row r="932" spans="1:12">
      <c r="A932" t="s">
        <v>1264</v>
      </c>
      <c r="B932" t="s">
        <v>344</v>
      </c>
      <c r="C932" t="s">
        <v>19</v>
      </c>
      <c r="D932" t="s">
        <v>15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>
        <v>0.60460000000000003</v>
      </c>
      <c r="K932">
        <v>90000</v>
      </c>
      <c r="L932" s="2">
        <v>45799</v>
      </c>
    </row>
    <row r="933" spans="1:12">
      <c r="A933" t="s">
        <v>1265</v>
      </c>
      <c r="B933" t="s">
        <v>781</v>
      </c>
      <c r="C933" t="s">
        <v>19</v>
      </c>
      <c r="D933" t="s">
        <v>36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>
        <v>0.55000000000000004</v>
      </c>
      <c r="K933">
        <v>100000</v>
      </c>
      <c r="L933" s="2">
        <v>45671</v>
      </c>
    </row>
    <row r="934" spans="1:12">
      <c r="A934" t="s">
        <v>1266</v>
      </c>
      <c r="B934" t="s">
        <v>291</v>
      </c>
      <c r="C934" t="s">
        <v>14</v>
      </c>
      <c r="D934" t="s">
        <v>32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>
        <v>0.81569999999999998</v>
      </c>
      <c r="K934">
        <v>70000</v>
      </c>
      <c r="L934" s="2">
        <v>45648</v>
      </c>
    </row>
    <row r="935" spans="1:12">
      <c r="A935" t="s">
        <v>1267</v>
      </c>
      <c r="B935" t="s">
        <v>699</v>
      </c>
      <c r="C935" t="s">
        <v>19</v>
      </c>
      <c r="D935" t="s">
        <v>36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>
        <v>0.91720000000000002</v>
      </c>
      <c r="K935">
        <v>80000</v>
      </c>
      <c r="L935" s="2">
        <v>45797</v>
      </c>
    </row>
    <row r="936" spans="1:12">
      <c r="A936" t="s">
        <v>1268</v>
      </c>
      <c r="B936" t="s">
        <v>69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>
        <v>0.82989999999999997</v>
      </c>
      <c r="K936">
        <v>75000</v>
      </c>
      <c r="L936" s="2">
        <v>46179</v>
      </c>
    </row>
    <row r="937" spans="1:12">
      <c r="A937" t="s">
        <v>1269</v>
      </c>
      <c r="B937" t="s">
        <v>777</v>
      </c>
      <c r="C937" t="s">
        <v>19</v>
      </c>
      <c r="D937" t="s">
        <v>28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>
        <v>0.95130000000000003</v>
      </c>
      <c r="K937">
        <v>120000</v>
      </c>
      <c r="L937" s="2">
        <v>46196</v>
      </c>
    </row>
    <row r="938" spans="1:12">
      <c r="A938" t="s">
        <v>1270</v>
      </c>
      <c r="B938" t="s">
        <v>600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>
        <v>0.55000000000000004</v>
      </c>
      <c r="K938">
        <v>110000</v>
      </c>
      <c r="L938" s="2">
        <v>45803</v>
      </c>
    </row>
    <row r="939" spans="1:12">
      <c r="A939" t="s">
        <v>1271</v>
      </c>
      <c r="B939" t="s">
        <v>295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>
        <v>0.85319999999999996</v>
      </c>
      <c r="K939">
        <v>75000</v>
      </c>
      <c r="L939" s="2">
        <v>45889</v>
      </c>
    </row>
    <row r="940" spans="1:12">
      <c r="A940" t="s">
        <v>1272</v>
      </c>
      <c r="B940" t="s">
        <v>625</v>
      </c>
      <c r="C940" t="s">
        <v>14</v>
      </c>
      <c r="D940" t="s">
        <v>15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>
        <v>0.71779999999999999</v>
      </c>
      <c r="K940">
        <v>85000</v>
      </c>
      <c r="L940" s="2">
        <v>46225</v>
      </c>
    </row>
    <row r="941" spans="1:12">
      <c r="A941" t="s">
        <v>1273</v>
      </c>
      <c r="B941" t="s">
        <v>471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>
        <v>0.9123</v>
      </c>
      <c r="K941">
        <v>130000</v>
      </c>
      <c r="L941" s="2">
        <v>45700</v>
      </c>
    </row>
    <row r="942" spans="1:12">
      <c r="A942" t="s">
        <v>1274</v>
      </c>
      <c r="B942" t="s">
        <v>415</v>
      </c>
      <c r="C942" t="s">
        <v>19</v>
      </c>
      <c r="D942" t="s">
        <v>53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>
        <v>0.82010000000000005</v>
      </c>
      <c r="K942">
        <v>75000</v>
      </c>
      <c r="L942" s="2">
        <v>46197</v>
      </c>
    </row>
    <row r="943" spans="1:12">
      <c r="A943" t="s">
        <v>1275</v>
      </c>
      <c r="B943" t="s">
        <v>770</v>
      </c>
      <c r="C943" t="s">
        <v>14</v>
      </c>
      <c r="D943" t="s">
        <v>36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>
        <v>0.88200000000000001</v>
      </c>
      <c r="K943">
        <v>60000</v>
      </c>
      <c r="L943" s="2">
        <v>45610</v>
      </c>
    </row>
    <row r="944" spans="1:12">
      <c r="A944" t="s">
        <v>1276</v>
      </c>
      <c r="B944" t="s">
        <v>111</v>
      </c>
      <c r="C944" t="s">
        <v>19</v>
      </c>
      <c r="D944" t="s">
        <v>36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>
        <v>0.9002</v>
      </c>
      <c r="K944">
        <v>75000</v>
      </c>
      <c r="L944" s="2">
        <v>45694</v>
      </c>
    </row>
    <row r="945" spans="1:12">
      <c r="A945" t="s">
        <v>1277</v>
      </c>
      <c r="B945" t="s">
        <v>359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>
        <v>0.78869999999999996</v>
      </c>
      <c r="K945">
        <v>90000</v>
      </c>
      <c r="L945" s="2">
        <v>45772</v>
      </c>
    </row>
    <row r="946" spans="1:12">
      <c r="A946" t="s">
        <v>1278</v>
      </c>
      <c r="B946" t="s">
        <v>607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>
        <v>0.65469999999999995</v>
      </c>
      <c r="K946">
        <v>130000</v>
      </c>
      <c r="L946" s="2">
        <v>45561</v>
      </c>
    </row>
    <row r="947" spans="1:12">
      <c r="A947" t="s">
        <v>1279</v>
      </c>
      <c r="B947" t="s">
        <v>354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>
        <v>0.79479999999999995</v>
      </c>
      <c r="K947">
        <v>75000</v>
      </c>
      <c r="L947" s="2">
        <v>46107</v>
      </c>
    </row>
    <row r="948" spans="1:12">
      <c r="A948" t="s">
        <v>1280</v>
      </c>
      <c r="B948" t="s">
        <v>415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>
        <v>0.61209999999999998</v>
      </c>
      <c r="K948">
        <v>50000</v>
      </c>
      <c r="L948" s="2">
        <v>46134</v>
      </c>
    </row>
    <row r="949" spans="1:12">
      <c r="A949" t="s">
        <v>1281</v>
      </c>
      <c r="B949" t="s">
        <v>1282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>
        <v>0.97350000000000003</v>
      </c>
      <c r="K949">
        <v>60000</v>
      </c>
      <c r="L949" s="2">
        <v>45804</v>
      </c>
    </row>
    <row r="950" spans="1:12">
      <c r="A950" t="s">
        <v>1283</v>
      </c>
      <c r="B950" t="s">
        <v>433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>
        <v>0.84860000000000002</v>
      </c>
      <c r="K950">
        <v>80000</v>
      </c>
      <c r="L950" s="2">
        <v>46121</v>
      </c>
    </row>
    <row r="951" spans="1:12">
      <c r="A951" t="s">
        <v>1284</v>
      </c>
      <c r="B951" t="s">
        <v>115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>
        <v>0.73440000000000005</v>
      </c>
      <c r="K951">
        <v>60000</v>
      </c>
      <c r="L951" s="2">
        <v>46076</v>
      </c>
    </row>
    <row r="952" spans="1:12">
      <c r="A952" t="s">
        <v>1285</v>
      </c>
      <c r="B952" t="s">
        <v>737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>
        <v>0.55000000000000004</v>
      </c>
      <c r="K952">
        <v>50000</v>
      </c>
      <c r="L952" s="2">
        <v>46096</v>
      </c>
    </row>
    <row r="953" spans="1:12">
      <c r="A953" t="s">
        <v>1286</v>
      </c>
      <c r="B953" t="s">
        <v>975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>
        <v>0.89159999999999995</v>
      </c>
      <c r="K953">
        <v>100000</v>
      </c>
      <c r="L953" s="2">
        <v>46097</v>
      </c>
    </row>
    <row r="954" spans="1:12">
      <c r="A954" t="s">
        <v>1287</v>
      </c>
      <c r="B954" t="s">
        <v>81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>
        <v>0.79420000000000002</v>
      </c>
      <c r="K954">
        <v>120000</v>
      </c>
      <c r="L954" s="2">
        <v>45937</v>
      </c>
    </row>
    <row r="955" spans="1:12">
      <c r="A955" t="s">
        <v>1288</v>
      </c>
      <c r="B955" t="s">
        <v>65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>
        <v>0.91359999999999997</v>
      </c>
      <c r="K955">
        <v>70000</v>
      </c>
      <c r="L955" s="2">
        <v>45613</v>
      </c>
    </row>
    <row r="956" spans="1:12">
      <c r="A956" t="s">
        <v>1289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>
        <v>0.69810000000000005</v>
      </c>
      <c r="K956">
        <v>85000</v>
      </c>
      <c r="L956" s="2">
        <v>46182</v>
      </c>
    </row>
    <row r="957" spans="1:12">
      <c r="A957" t="s">
        <v>1290</v>
      </c>
      <c r="B957" t="s">
        <v>550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>
        <v>0.75960000000000005</v>
      </c>
      <c r="K957">
        <v>90000</v>
      </c>
      <c r="L957" s="2">
        <v>45962</v>
      </c>
    </row>
    <row r="958" spans="1:12">
      <c r="A958" t="s">
        <v>1291</v>
      </c>
      <c r="B958" t="s">
        <v>295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>
        <v>0.82430000000000003</v>
      </c>
      <c r="K958">
        <v>100000</v>
      </c>
      <c r="L958" s="2">
        <v>46166</v>
      </c>
    </row>
    <row r="959" spans="1:12">
      <c r="A959" t="s">
        <v>1292</v>
      </c>
      <c r="B959" t="s">
        <v>315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>
        <v>0.89080000000000004</v>
      </c>
      <c r="K959">
        <v>130000</v>
      </c>
      <c r="L959" s="2">
        <v>46207</v>
      </c>
    </row>
    <row r="960" spans="1:12">
      <c r="A960" t="s">
        <v>1293</v>
      </c>
      <c r="B960" t="s">
        <v>1106</v>
      </c>
      <c r="C960" t="s">
        <v>19</v>
      </c>
      <c r="D960" t="s">
        <v>36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>
        <v>0.9284</v>
      </c>
      <c r="K960">
        <v>120000</v>
      </c>
      <c r="L960" s="2">
        <v>45667</v>
      </c>
    </row>
    <row r="961" spans="1:12">
      <c r="A961" t="s">
        <v>1294</v>
      </c>
      <c r="B961" t="s">
        <v>152</v>
      </c>
      <c r="C961" t="s">
        <v>14</v>
      </c>
      <c r="D961" t="s">
        <v>53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>
        <v>0.94369999999999998</v>
      </c>
      <c r="K961">
        <v>75000</v>
      </c>
      <c r="L961" s="2">
        <v>45817</v>
      </c>
    </row>
    <row r="962" spans="1:12">
      <c r="A962" t="s">
        <v>1295</v>
      </c>
      <c r="B962" t="s">
        <v>264</v>
      </c>
      <c r="C962" t="s">
        <v>14</v>
      </c>
      <c r="D962" t="s">
        <v>36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>
        <v>0.94099999999999995</v>
      </c>
      <c r="K962">
        <v>130000</v>
      </c>
      <c r="L962" s="2">
        <v>45670</v>
      </c>
    </row>
    <row r="963" spans="1:12">
      <c r="A963" t="s">
        <v>1296</v>
      </c>
      <c r="B963" t="s">
        <v>378</v>
      </c>
      <c r="C963" t="s">
        <v>14</v>
      </c>
      <c r="D963" t="s">
        <v>36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>
        <v>0.93889999999999996</v>
      </c>
      <c r="K963">
        <v>50000</v>
      </c>
      <c r="L963" s="2">
        <v>45571</v>
      </c>
    </row>
    <row r="964" spans="1:12">
      <c r="A964" t="s">
        <v>1297</v>
      </c>
      <c r="B964" t="s">
        <v>777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>
        <v>0.87539999999999996</v>
      </c>
      <c r="K964">
        <v>130000</v>
      </c>
      <c r="L964" s="2">
        <v>46212</v>
      </c>
    </row>
    <row r="965" spans="1:12">
      <c r="A965" t="s">
        <v>1298</v>
      </c>
      <c r="B965" t="s">
        <v>194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>
        <v>0.92620000000000002</v>
      </c>
      <c r="K965">
        <v>60000</v>
      </c>
      <c r="L965" s="2">
        <v>46182</v>
      </c>
    </row>
    <row r="966" spans="1:12">
      <c r="A966" t="s">
        <v>1299</v>
      </c>
      <c r="B966" t="s">
        <v>469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>
        <v>0.79010000000000002</v>
      </c>
      <c r="K966">
        <v>60000</v>
      </c>
      <c r="L966" s="2">
        <v>46188</v>
      </c>
    </row>
    <row r="967" spans="1:12">
      <c r="A967" t="s">
        <v>1300</v>
      </c>
      <c r="B967" t="s">
        <v>213</v>
      </c>
      <c r="C967" t="s">
        <v>19</v>
      </c>
      <c r="D967" t="s">
        <v>53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>
        <v>0.98</v>
      </c>
      <c r="K967">
        <v>60000</v>
      </c>
      <c r="L967" s="2">
        <v>46154</v>
      </c>
    </row>
    <row r="968" spans="1:12">
      <c r="A968" t="s">
        <v>1301</v>
      </c>
      <c r="B968" t="s">
        <v>618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>
        <v>0.81389999999999996</v>
      </c>
      <c r="K968">
        <v>60000</v>
      </c>
      <c r="L968" s="2">
        <v>45990</v>
      </c>
    </row>
    <row r="969" spans="1:12">
      <c r="A969" t="s">
        <v>1302</v>
      </c>
      <c r="B969" t="s">
        <v>351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>
        <v>0.9506</v>
      </c>
      <c r="K969">
        <v>85000</v>
      </c>
      <c r="L969" s="2">
        <v>45901</v>
      </c>
    </row>
    <row r="970" spans="1:12">
      <c r="A970" t="s">
        <v>1303</v>
      </c>
      <c r="B970" t="s">
        <v>469</v>
      </c>
      <c r="C970" t="s">
        <v>19</v>
      </c>
      <c r="D970" t="s">
        <v>32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>
        <v>0.80110000000000003</v>
      </c>
      <c r="K970">
        <v>100000</v>
      </c>
      <c r="L970" s="2">
        <v>46230</v>
      </c>
    </row>
    <row r="971" spans="1:12">
      <c r="A971" t="s">
        <v>1304</v>
      </c>
      <c r="B971" t="s">
        <v>930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>
        <v>0.87490000000000001</v>
      </c>
      <c r="K971">
        <v>110000</v>
      </c>
      <c r="L971" s="2">
        <v>45922</v>
      </c>
    </row>
    <row r="972" spans="1:12">
      <c r="A972" t="s">
        <v>1305</v>
      </c>
      <c r="B972" t="s">
        <v>264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>
        <v>0.94620000000000004</v>
      </c>
      <c r="K972">
        <v>50000</v>
      </c>
      <c r="L972" s="2">
        <v>45985</v>
      </c>
    </row>
    <row r="973" spans="1:12">
      <c r="A973" t="s">
        <v>1306</v>
      </c>
      <c r="B973" t="s">
        <v>1282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>
        <v>0.82310000000000005</v>
      </c>
      <c r="K973">
        <v>75000</v>
      </c>
      <c r="L973" s="2">
        <v>45684</v>
      </c>
    </row>
    <row r="974" spans="1:12">
      <c r="A974" t="s">
        <v>1307</v>
      </c>
      <c r="B974" t="s">
        <v>521</v>
      </c>
      <c r="C974" t="s">
        <v>14</v>
      </c>
      <c r="D974" t="s">
        <v>15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>
        <v>0.73939999999999995</v>
      </c>
      <c r="K974">
        <v>60000</v>
      </c>
      <c r="L974" s="2">
        <v>46058</v>
      </c>
    </row>
    <row r="975" spans="1:12">
      <c r="A975" t="s">
        <v>1308</v>
      </c>
      <c r="B975" t="s">
        <v>337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>
        <v>0.55000000000000004</v>
      </c>
      <c r="K975">
        <v>60000</v>
      </c>
      <c r="L975" s="2">
        <v>46109</v>
      </c>
    </row>
    <row r="976" spans="1:12">
      <c r="A976" t="s">
        <v>1309</v>
      </c>
      <c r="B976" t="s">
        <v>1310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>
        <v>0.64019999999999999</v>
      </c>
      <c r="K976">
        <v>110000</v>
      </c>
      <c r="L976" s="2">
        <v>46010</v>
      </c>
    </row>
    <row r="977" spans="1:12">
      <c r="A977" t="s">
        <v>1311</v>
      </c>
      <c r="B977" t="s">
        <v>514</v>
      </c>
      <c r="C977" t="s">
        <v>14</v>
      </c>
      <c r="D977" t="s">
        <v>36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>
        <v>0.87709999999999999</v>
      </c>
      <c r="K977">
        <v>100000</v>
      </c>
      <c r="L977" s="2">
        <v>45885</v>
      </c>
    </row>
    <row r="978" spans="1:12">
      <c r="A978" t="s">
        <v>1312</v>
      </c>
      <c r="B978" t="s">
        <v>410</v>
      </c>
      <c r="C978" t="s">
        <v>14</v>
      </c>
      <c r="D978" t="s">
        <v>36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>
        <v>0.96530000000000005</v>
      </c>
      <c r="K978">
        <v>70000</v>
      </c>
      <c r="L978" s="2">
        <v>45674</v>
      </c>
    </row>
    <row r="979" spans="1:12">
      <c r="A979" t="s">
        <v>1313</v>
      </c>
      <c r="B979" t="s">
        <v>96</v>
      </c>
      <c r="C979" t="s">
        <v>19</v>
      </c>
      <c r="D979" t="s">
        <v>15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>
        <v>0.69869999999999999</v>
      </c>
      <c r="K979">
        <v>75000</v>
      </c>
      <c r="L979" s="2">
        <v>45559</v>
      </c>
    </row>
    <row r="980" spans="1:12">
      <c r="A980" t="s">
        <v>1314</v>
      </c>
      <c r="B980" t="s">
        <v>253</v>
      </c>
      <c r="C980" t="s">
        <v>14</v>
      </c>
      <c r="D980" t="s">
        <v>36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>
        <v>0.69350000000000001</v>
      </c>
      <c r="K980">
        <v>130000</v>
      </c>
      <c r="L980" s="2">
        <v>45975</v>
      </c>
    </row>
    <row r="981" spans="1:12">
      <c r="A981" t="s">
        <v>1315</v>
      </c>
      <c r="B981" t="s">
        <v>213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>
        <v>0.8115</v>
      </c>
      <c r="K981">
        <v>90000</v>
      </c>
      <c r="L981" s="2">
        <v>46014</v>
      </c>
    </row>
    <row r="982" spans="1:12">
      <c r="A982" t="s">
        <v>1316</v>
      </c>
      <c r="B982" t="s">
        <v>166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>
        <v>0.72199999999999998</v>
      </c>
      <c r="K982">
        <v>70000</v>
      </c>
      <c r="L982" s="2">
        <v>46076</v>
      </c>
    </row>
    <row r="983" spans="1:12">
      <c r="A983" t="s">
        <v>1317</v>
      </c>
      <c r="B983" t="s">
        <v>1009</v>
      </c>
      <c r="C983" t="s">
        <v>19</v>
      </c>
      <c r="D983" t="s">
        <v>53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>
        <v>0.65639999999999998</v>
      </c>
      <c r="K983">
        <v>130000</v>
      </c>
      <c r="L983" s="2">
        <v>46201</v>
      </c>
    </row>
    <row r="984" spans="1:12">
      <c r="A984" t="s">
        <v>1318</v>
      </c>
      <c r="B984" t="s">
        <v>98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>
        <v>0.73260000000000003</v>
      </c>
      <c r="K984">
        <v>70000</v>
      </c>
      <c r="L984" s="2">
        <v>45884</v>
      </c>
    </row>
    <row r="985" spans="1:12">
      <c r="A985" t="s">
        <v>1319</v>
      </c>
      <c r="B985" t="s">
        <v>589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>
        <v>0.94850000000000001</v>
      </c>
      <c r="K985">
        <v>75000</v>
      </c>
      <c r="L985" s="2">
        <v>46116</v>
      </c>
    </row>
    <row r="986" spans="1:12">
      <c r="A986" t="s">
        <v>1320</v>
      </c>
      <c r="B986" t="s">
        <v>1321</v>
      </c>
      <c r="C986" t="s">
        <v>19</v>
      </c>
      <c r="D986" t="s">
        <v>36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>
        <v>0.66259999999999997</v>
      </c>
      <c r="K986">
        <v>100000</v>
      </c>
      <c r="L986" s="2">
        <v>46037</v>
      </c>
    </row>
    <row r="987" spans="1:12">
      <c r="A987" t="s">
        <v>1322</v>
      </c>
      <c r="B987" t="s">
        <v>18</v>
      </c>
      <c r="C987" t="s">
        <v>19</v>
      </c>
      <c r="D987" t="s">
        <v>20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>
        <v>0.97289999999999999</v>
      </c>
      <c r="K987">
        <v>85000</v>
      </c>
      <c r="L987" s="2">
        <v>45730</v>
      </c>
    </row>
    <row r="988" spans="1:12">
      <c r="A988" t="s">
        <v>1323</v>
      </c>
      <c r="B988" t="s">
        <v>908</v>
      </c>
      <c r="C988" t="s">
        <v>19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>
        <v>0.77700000000000002</v>
      </c>
      <c r="K988">
        <v>50000</v>
      </c>
      <c r="L988" s="2">
        <v>46127</v>
      </c>
    </row>
    <row r="989" spans="1:12">
      <c r="A989" t="s">
        <v>1324</v>
      </c>
      <c r="B989" t="s">
        <v>575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>
        <v>0.85909999999999997</v>
      </c>
      <c r="K989">
        <v>110000</v>
      </c>
      <c r="L989" s="2">
        <v>45573</v>
      </c>
    </row>
    <row r="990" spans="1:12">
      <c r="A990" t="s">
        <v>1325</v>
      </c>
      <c r="B990" t="s">
        <v>241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>
        <v>0.66690000000000005</v>
      </c>
      <c r="K990">
        <v>70000</v>
      </c>
      <c r="L990" s="2">
        <v>45955</v>
      </c>
    </row>
    <row r="991" spans="1:12">
      <c r="A991" t="s">
        <v>1326</v>
      </c>
      <c r="B991" t="s">
        <v>404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>
        <v>0.90310000000000001</v>
      </c>
      <c r="K991">
        <v>100000</v>
      </c>
      <c r="L991" s="2">
        <v>46194</v>
      </c>
    </row>
    <row r="992" spans="1:12">
      <c r="A992" t="s">
        <v>1327</v>
      </c>
      <c r="B992" t="s">
        <v>632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>
        <v>0.6804</v>
      </c>
      <c r="K992">
        <v>75000</v>
      </c>
      <c r="L992" s="2">
        <v>45997</v>
      </c>
    </row>
    <row r="993" spans="1:12">
      <c r="A993" t="s">
        <v>1328</v>
      </c>
      <c r="B993" t="s">
        <v>218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>
        <v>0.87019999999999997</v>
      </c>
      <c r="K993">
        <v>110000</v>
      </c>
      <c r="L993" s="2">
        <v>46191</v>
      </c>
    </row>
    <row r="994" spans="1:12">
      <c r="A994" t="s">
        <v>1329</v>
      </c>
      <c r="B994" t="s">
        <v>1330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>
        <v>0.87929999999999997</v>
      </c>
      <c r="K994">
        <v>120000</v>
      </c>
      <c r="L994" s="2">
        <v>45575</v>
      </c>
    </row>
    <row r="995" spans="1:12">
      <c r="A995" t="s">
        <v>1331</v>
      </c>
      <c r="B995" t="s">
        <v>382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>
        <v>0.94410000000000005</v>
      </c>
      <c r="K995">
        <v>110000</v>
      </c>
      <c r="L995" s="2">
        <v>45908</v>
      </c>
    </row>
    <row r="996" spans="1:12">
      <c r="A996" t="s">
        <v>1332</v>
      </c>
      <c r="B996" t="s">
        <v>380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>
        <v>0.66180000000000005</v>
      </c>
      <c r="K996">
        <v>130000</v>
      </c>
      <c r="L996" s="2">
        <v>46082</v>
      </c>
    </row>
    <row r="997" spans="1:12">
      <c r="A997" t="s">
        <v>1333</v>
      </c>
      <c r="B997" t="s">
        <v>71</v>
      </c>
      <c r="C997" t="s">
        <v>19</v>
      </c>
      <c r="D997" t="s">
        <v>32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>
        <v>0.63160000000000005</v>
      </c>
      <c r="K997">
        <v>85000</v>
      </c>
      <c r="L997" s="2">
        <v>45985</v>
      </c>
    </row>
    <row r="998" spans="1:12">
      <c r="A998" t="s">
        <v>1334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>
        <v>0.87109999999999999</v>
      </c>
      <c r="K998">
        <v>50000</v>
      </c>
      <c r="L998" s="2">
        <v>46152</v>
      </c>
    </row>
    <row r="999" spans="1:12">
      <c r="A999" t="s">
        <v>1335</v>
      </c>
      <c r="B999" t="s">
        <v>378</v>
      </c>
      <c r="C999" t="s">
        <v>14</v>
      </c>
      <c r="D999" t="s">
        <v>36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>
        <v>0.96430000000000005</v>
      </c>
      <c r="K999">
        <v>85000</v>
      </c>
      <c r="L999" s="2">
        <v>45859</v>
      </c>
    </row>
    <row r="1000" spans="1:12">
      <c r="A1000" t="s">
        <v>1336</v>
      </c>
      <c r="B1000" t="s">
        <v>191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>
        <v>0.64580000000000004</v>
      </c>
      <c r="K1000">
        <v>85000</v>
      </c>
      <c r="L1000" s="2">
        <v>46013</v>
      </c>
    </row>
    <row r="1001" spans="1:12">
      <c r="A1001" t="s">
        <v>1337</v>
      </c>
      <c r="B1001" t="s">
        <v>55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>
        <v>0.90300000000000002</v>
      </c>
      <c r="K1001">
        <v>100000</v>
      </c>
      <c r="L1001" s="2">
        <v>45829</v>
      </c>
    </row>
  </sheetData>
  <mergeCells count="1">
    <mergeCell ref="Q7:U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67D8-579E-4E35-AAFA-5071348602F3}">
  <dimension ref="A1:Q1001"/>
  <sheetViews>
    <sheetView workbookViewId="0">
      <selection activeCell="Q6" sqref="Q6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0" max="10" width="9.140625" style="8"/>
    <col min="11" max="11" width="11.5703125" bestFit="1" customWidth="1"/>
    <col min="12" max="12" width="19.5703125" bestFit="1" customWidth="1"/>
    <col min="17" max="17" width="35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 spans="1:17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8">
        <v>0.91869999999999996</v>
      </c>
      <c r="K2">
        <v>75000</v>
      </c>
      <c r="L2" s="2">
        <v>45854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8">
        <v>0.81930000000000003</v>
      </c>
      <c r="K3">
        <v>90000</v>
      </c>
      <c r="L3" s="2">
        <v>45633</v>
      </c>
    </row>
    <row r="4" spans="1:17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8">
        <v>0.79079999999999995</v>
      </c>
      <c r="K4">
        <v>85000</v>
      </c>
      <c r="L4" s="2">
        <v>45682</v>
      </c>
    </row>
    <row r="5" spans="1:17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8">
        <v>0.76400000000000001</v>
      </c>
      <c r="K5">
        <v>120000</v>
      </c>
      <c r="L5" s="2">
        <v>45844</v>
      </c>
      <c r="Q5" s="5" t="s">
        <v>1338</v>
      </c>
    </row>
    <row r="6" spans="1:17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8">
        <v>0.73070000000000002</v>
      </c>
      <c r="K6">
        <v>70000</v>
      </c>
      <c r="L6" s="2">
        <v>46019</v>
      </c>
      <c r="Q6" s="6">
        <f>COUNTIF(H2:H1001,"&gt;=15")</f>
        <v>341</v>
      </c>
    </row>
    <row r="7" spans="1:17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8">
        <v>0.7429</v>
      </c>
      <c r="K7">
        <v>85000</v>
      </c>
      <c r="L7" s="2">
        <v>45826</v>
      </c>
    </row>
    <row r="8" spans="1:17">
      <c r="A8" t="s">
        <v>34</v>
      </c>
      <c r="B8" t="s">
        <v>35</v>
      </c>
      <c r="C8" t="s">
        <v>14</v>
      </c>
      <c r="D8" t="s">
        <v>36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8">
        <v>0.75839999999999996</v>
      </c>
      <c r="K8">
        <v>60000</v>
      </c>
      <c r="L8" s="2">
        <v>45915</v>
      </c>
      <c r="Q8" s="5" t="s">
        <v>1339</v>
      </c>
    </row>
    <row r="9" spans="1:17">
      <c r="A9" t="s">
        <v>42</v>
      </c>
      <c r="B9" t="s">
        <v>43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8">
        <v>0.95250000000000001</v>
      </c>
      <c r="K9">
        <v>90000</v>
      </c>
      <c r="L9" s="2">
        <v>45901</v>
      </c>
      <c r="Q9" s="6">
        <f>COUNTIF(F2:F1001,"&lt;10")</f>
        <v>192</v>
      </c>
    </row>
    <row r="10" spans="1:17">
      <c r="A10" t="s">
        <v>44</v>
      </c>
      <c r="B10" t="s">
        <v>45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8">
        <v>0.87990000000000002</v>
      </c>
      <c r="K10">
        <v>50000</v>
      </c>
      <c r="L10" s="2">
        <v>45724</v>
      </c>
    </row>
    <row r="11" spans="1:17">
      <c r="A11" t="s">
        <v>46</v>
      </c>
      <c r="B11" t="s">
        <v>47</v>
      </c>
      <c r="C11" t="s">
        <v>14</v>
      </c>
      <c r="D11" t="s">
        <v>36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 s="8">
        <v>0.74860000000000004</v>
      </c>
      <c r="K11">
        <v>80000</v>
      </c>
      <c r="L11" s="2">
        <v>45731</v>
      </c>
      <c r="Q11" s="5" t="s">
        <v>1340</v>
      </c>
    </row>
    <row r="12" spans="1:17">
      <c r="A12" t="s">
        <v>49</v>
      </c>
      <c r="B12" t="s">
        <v>50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8">
        <v>0.78959999999999997</v>
      </c>
      <c r="K12">
        <v>50000</v>
      </c>
      <c r="L12" s="2">
        <v>45834</v>
      </c>
      <c r="Q12" s="6">
        <f>COUNTIF(J2:J1001,"&gt;=90%")</f>
        <v>305</v>
      </c>
    </row>
    <row r="13" spans="1:17">
      <c r="A13" t="s">
        <v>51</v>
      </c>
      <c r="B13" t="s">
        <v>52</v>
      </c>
      <c r="C13" t="s">
        <v>19</v>
      </c>
      <c r="D13" t="s">
        <v>53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8">
        <v>0.9133</v>
      </c>
      <c r="K13">
        <v>75000</v>
      </c>
      <c r="L13" s="2">
        <v>45558</v>
      </c>
    </row>
    <row r="14" spans="1:17">
      <c r="A14" t="s">
        <v>54</v>
      </c>
      <c r="B14" t="s">
        <v>55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8">
        <v>0.87109999999999999</v>
      </c>
      <c r="K14">
        <v>85000</v>
      </c>
      <c r="L14" s="2">
        <v>46015</v>
      </c>
    </row>
    <row r="15" spans="1:17">
      <c r="A15" t="s">
        <v>56</v>
      </c>
      <c r="B15" t="s">
        <v>57</v>
      </c>
      <c r="C15" t="s">
        <v>19</v>
      </c>
      <c r="D15" t="s">
        <v>32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 s="8">
        <v>0.73260000000000003</v>
      </c>
      <c r="K15">
        <v>75000</v>
      </c>
      <c r="L15" s="2">
        <v>45966</v>
      </c>
    </row>
    <row r="16" spans="1:17">
      <c r="A16" t="s">
        <v>58</v>
      </c>
      <c r="B16" t="s">
        <v>59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8">
        <v>0.95089999999999997</v>
      </c>
      <c r="K16">
        <v>80000</v>
      </c>
      <c r="L16" s="2">
        <v>45750</v>
      </c>
    </row>
    <row r="17" spans="1:12">
      <c r="A17" t="s">
        <v>60</v>
      </c>
      <c r="B17" t="s">
        <v>61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8">
        <v>0.79810000000000003</v>
      </c>
      <c r="K17">
        <v>60000</v>
      </c>
      <c r="L17" s="2">
        <v>45797</v>
      </c>
    </row>
    <row r="18" spans="1:12">
      <c r="A18" t="s">
        <v>62</v>
      </c>
      <c r="B18" t="s">
        <v>63</v>
      </c>
      <c r="C18" t="s">
        <v>19</v>
      </c>
      <c r="D18" t="s">
        <v>15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 s="8">
        <v>0.84589999999999999</v>
      </c>
      <c r="K18">
        <v>100000</v>
      </c>
      <c r="L18" s="2">
        <v>45766</v>
      </c>
    </row>
    <row r="19" spans="1:12">
      <c r="A19" t="s">
        <v>64</v>
      </c>
      <c r="B19" t="s">
        <v>65</v>
      </c>
      <c r="C19" t="s">
        <v>14</v>
      </c>
      <c r="D19" t="s">
        <v>15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 s="8">
        <v>0.55000000000000004</v>
      </c>
      <c r="K19">
        <v>110000</v>
      </c>
      <c r="L19" s="2">
        <v>45991</v>
      </c>
    </row>
    <row r="20" spans="1:12">
      <c r="A20" t="s">
        <v>66</v>
      </c>
      <c r="B20" t="s">
        <v>67</v>
      </c>
      <c r="C20" t="s">
        <v>19</v>
      </c>
      <c r="D20" t="s">
        <v>15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 s="8">
        <v>0.55000000000000004</v>
      </c>
      <c r="K20">
        <v>85000</v>
      </c>
      <c r="L20" s="2">
        <v>46067</v>
      </c>
    </row>
    <row r="21" spans="1:12">
      <c r="A21" t="s">
        <v>68</v>
      </c>
      <c r="B21" t="s">
        <v>69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8">
        <v>0.82350000000000001</v>
      </c>
      <c r="K21">
        <v>50000</v>
      </c>
      <c r="L21" s="2">
        <v>45612</v>
      </c>
    </row>
    <row r="22" spans="1:12">
      <c r="A22" t="s">
        <v>70</v>
      </c>
      <c r="B22" t="s">
        <v>71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8">
        <v>0.87709999999999999</v>
      </c>
      <c r="K22">
        <v>50000</v>
      </c>
      <c r="L22" s="2">
        <v>45825</v>
      </c>
    </row>
    <row r="23" spans="1:12">
      <c r="A23" t="s">
        <v>72</v>
      </c>
      <c r="B23" t="s">
        <v>73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8">
        <v>0.83630000000000004</v>
      </c>
      <c r="K23">
        <v>100000</v>
      </c>
      <c r="L23" s="2">
        <v>45545</v>
      </c>
    </row>
    <row r="24" spans="1:12">
      <c r="A24" t="s">
        <v>74</v>
      </c>
      <c r="B24" t="s">
        <v>75</v>
      </c>
      <c r="C24" t="s">
        <v>14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 s="8">
        <v>0.94589999999999996</v>
      </c>
      <c r="K24">
        <v>130000</v>
      </c>
      <c r="L24" s="2">
        <v>45852</v>
      </c>
    </row>
    <row r="25" spans="1:12">
      <c r="A25" t="s">
        <v>76</v>
      </c>
      <c r="B25" t="s">
        <v>77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8">
        <v>0.58579999999999999</v>
      </c>
      <c r="K25">
        <v>120000</v>
      </c>
      <c r="L25" s="2">
        <v>45709</v>
      </c>
    </row>
    <row r="26" spans="1:12">
      <c r="A26" t="s">
        <v>78</v>
      </c>
      <c r="B26" t="s">
        <v>79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8">
        <v>0.9405</v>
      </c>
      <c r="K26">
        <v>80000</v>
      </c>
      <c r="L26" s="2">
        <v>45771</v>
      </c>
    </row>
    <row r="27" spans="1:12">
      <c r="A27" t="s">
        <v>80</v>
      </c>
      <c r="B27" t="s">
        <v>81</v>
      </c>
      <c r="C27" t="s">
        <v>19</v>
      </c>
      <c r="D27" t="s">
        <v>32</v>
      </c>
      <c r="E27" t="s">
        <v>48</v>
      </c>
      <c r="F27">
        <v>18.41</v>
      </c>
      <c r="G27">
        <v>20</v>
      </c>
      <c r="H27">
        <v>14.71</v>
      </c>
      <c r="I27">
        <v>20</v>
      </c>
      <c r="J27" s="8">
        <v>0.81899999999999995</v>
      </c>
      <c r="K27">
        <v>85000</v>
      </c>
      <c r="L27" s="2">
        <v>45855</v>
      </c>
    </row>
    <row r="28" spans="1:12">
      <c r="A28" t="s">
        <v>82</v>
      </c>
      <c r="B28" t="s">
        <v>83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8">
        <v>0.76739999999999997</v>
      </c>
      <c r="K28">
        <v>60000</v>
      </c>
      <c r="L28" s="2">
        <v>45762</v>
      </c>
    </row>
    <row r="29" spans="1:12">
      <c r="A29" t="s">
        <v>84</v>
      </c>
      <c r="B29" t="s">
        <v>85</v>
      </c>
      <c r="C29" t="s">
        <v>19</v>
      </c>
      <c r="D29" t="s">
        <v>53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8">
        <v>0.81159999999999999</v>
      </c>
      <c r="K29">
        <v>50000</v>
      </c>
      <c r="L29" s="2">
        <v>45811</v>
      </c>
    </row>
    <row r="30" spans="1:12">
      <c r="A30" t="s">
        <v>86</v>
      </c>
      <c r="B30" t="s">
        <v>59</v>
      </c>
      <c r="C30" t="s">
        <v>19</v>
      </c>
      <c r="D30" t="s">
        <v>15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 s="8">
        <v>0.97089999999999999</v>
      </c>
      <c r="K30">
        <v>110000</v>
      </c>
      <c r="L30" s="2">
        <v>46071</v>
      </c>
    </row>
    <row r="31" spans="1:12">
      <c r="A31" t="s">
        <v>87</v>
      </c>
      <c r="B31" t="s">
        <v>88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8">
        <v>0.55000000000000004</v>
      </c>
      <c r="K31">
        <v>80000</v>
      </c>
      <c r="L31" s="2">
        <v>46103</v>
      </c>
    </row>
    <row r="32" spans="1:12">
      <c r="A32" t="s">
        <v>89</v>
      </c>
      <c r="B32" t="s">
        <v>90</v>
      </c>
      <c r="C32" t="s">
        <v>14</v>
      </c>
      <c r="D32" t="s">
        <v>36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8">
        <v>0.98560000000000003</v>
      </c>
      <c r="K32">
        <v>85000</v>
      </c>
      <c r="L32" s="2">
        <v>45540</v>
      </c>
    </row>
    <row r="33" spans="1:12">
      <c r="A33" t="s">
        <v>91</v>
      </c>
      <c r="B33" t="s">
        <v>92</v>
      </c>
      <c r="C33" t="s">
        <v>14</v>
      </c>
      <c r="D33" t="s">
        <v>36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8">
        <v>0.93830000000000002</v>
      </c>
      <c r="K33">
        <v>75000</v>
      </c>
      <c r="L33" s="2">
        <v>45800</v>
      </c>
    </row>
    <row r="34" spans="1:12">
      <c r="A34" t="s">
        <v>93</v>
      </c>
      <c r="B34" t="s">
        <v>94</v>
      </c>
      <c r="C34" t="s">
        <v>14</v>
      </c>
      <c r="D34" t="s">
        <v>53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8">
        <v>0.79310000000000003</v>
      </c>
      <c r="K34">
        <v>75000</v>
      </c>
      <c r="L34" s="2">
        <v>46128</v>
      </c>
    </row>
    <row r="35" spans="1:12">
      <c r="A35" t="s">
        <v>95</v>
      </c>
      <c r="B35" t="s">
        <v>96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8">
        <v>0.85240000000000005</v>
      </c>
      <c r="K35">
        <v>130000</v>
      </c>
      <c r="L35" s="2">
        <v>45907</v>
      </c>
    </row>
    <row r="36" spans="1:12">
      <c r="A36" t="s">
        <v>97</v>
      </c>
      <c r="B36" t="s">
        <v>98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8">
        <v>0.75270000000000004</v>
      </c>
      <c r="K36">
        <v>110000</v>
      </c>
      <c r="L36" s="2">
        <v>45679</v>
      </c>
    </row>
    <row r="37" spans="1:12">
      <c r="A37" t="s">
        <v>99</v>
      </c>
      <c r="B37" t="s">
        <v>100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8">
        <v>0.7046</v>
      </c>
      <c r="K37">
        <v>100000</v>
      </c>
      <c r="L37" s="2">
        <v>45951</v>
      </c>
    </row>
    <row r="38" spans="1:12">
      <c r="A38" t="s">
        <v>101</v>
      </c>
      <c r="B38" t="s">
        <v>102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8">
        <v>0.92279999999999995</v>
      </c>
      <c r="K38">
        <v>80000</v>
      </c>
      <c r="L38" s="2">
        <v>45637</v>
      </c>
    </row>
    <row r="39" spans="1:12">
      <c r="A39" t="s">
        <v>103</v>
      </c>
      <c r="B39" t="s">
        <v>104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8">
        <v>0.82920000000000005</v>
      </c>
      <c r="K39">
        <v>100000</v>
      </c>
      <c r="L39" s="2">
        <v>45551</v>
      </c>
    </row>
    <row r="40" spans="1:12">
      <c r="A40" t="s">
        <v>105</v>
      </c>
      <c r="B40" t="s">
        <v>106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8">
        <v>0.92720000000000002</v>
      </c>
      <c r="K40">
        <v>75000</v>
      </c>
      <c r="L40" s="2">
        <v>45978</v>
      </c>
    </row>
    <row r="41" spans="1:12">
      <c r="A41" t="s">
        <v>107</v>
      </c>
      <c r="B41" t="s">
        <v>77</v>
      </c>
      <c r="C41" t="s">
        <v>19</v>
      </c>
      <c r="D41" t="s">
        <v>53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8">
        <v>0.95599999999999996</v>
      </c>
      <c r="K41">
        <v>85000</v>
      </c>
      <c r="L41" s="2">
        <v>45896</v>
      </c>
    </row>
    <row r="42" spans="1:12">
      <c r="A42" t="s">
        <v>108</v>
      </c>
      <c r="B42" t="s">
        <v>109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8">
        <v>0.77600000000000002</v>
      </c>
      <c r="K42">
        <v>60000</v>
      </c>
      <c r="L42" s="2">
        <v>46065</v>
      </c>
    </row>
    <row r="43" spans="1:12">
      <c r="A43" t="s">
        <v>110</v>
      </c>
      <c r="B43" t="s">
        <v>111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8">
        <v>0.90200000000000002</v>
      </c>
      <c r="K43">
        <v>100000</v>
      </c>
      <c r="L43" s="2">
        <v>45777</v>
      </c>
    </row>
    <row r="44" spans="1:12">
      <c r="A44" t="s">
        <v>112</v>
      </c>
      <c r="B44" t="s">
        <v>113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8">
        <v>0.94040000000000001</v>
      </c>
      <c r="K44">
        <v>50000</v>
      </c>
      <c r="L44" s="2">
        <v>46133</v>
      </c>
    </row>
    <row r="45" spans="1:12">
      <c r="A45" t="s">
        <v>114</v>
      </c>
      <c r="B45" t="s">
        <v>115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8">
        <v>0.86899999999999999</v>
      </c>
      <c r="K45">
        <v>100000</v>
      </c>
      <c r="L45" s="2">
        <v>45830</v>
      </c>
    </row>
    <row r="46" spans="1:12">
      <c r="A46" t="s">
        <v>116</v>
      </c>
      <c r="B46" t="s">
        <v>117</v>
      </c>
      <c r="C46" t="s">
        <v>14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 s="8">
        <v>0.91449999999999998</v>
      </c>
      <c r="K46">
        <v>90000</v>
      </c>
      <c r="L46" s="2">
        <v>46052</v>
      </c>
    </row>
    <row r="47" spans="1:12">
      <c r="A47" t="s">
        <v>118</v>
      </c>
      <c r="B47" t="s">
        <v>119</v>
      </c>
      <c r="C47" t="s">
        <v>19</v>
      </c>
      <c r="D47" t="s">
        <v>36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 s="8">
        <v>0.98260000000000003</v>
      </c>
      <c r="K47">
        <v>50000</v>
      </c>
      <c r="L47" s="2">
        <v>45606</v>
      </c>
    </row>
    <row r="48" spans="1:12">
      <c r="A48" t="s">
        <v>120</v>
      </c>
      <c r="B48" t="s">
        <v>121</v>
      </c>
      <c r="C48" t="s">
        <v>14</v>
      </c>
      <c r="D48" t="s">
        <v>53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8">
        <v>0.94130000000000003</v>
      </c>
      <c r="K48">
        <v>85000</v>
      </c>
      <c r="L48" s="2">
        <v>45604</v>
      </c>
    </row>
    <row r="49" spans="1:12">
      <c r="A49" t="s">
        <v>122</v>
      </c>
      <c r="B49" t="s">
        <v>123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8">
        <v>0.93630000000000002</v>
      </c>
      <c r="K49">
        <v>70000</v>
      </c>
      <c r="L49" s="2">
        <v>46083</v>
      </c>
    </row>
    <row r="50" spans="1:12">
      <c r="A50" t="s">
        <v>124</v>
      </c>
      <c r="B50" t="s">
        <v>125</v>
      </c>
      <c r="C50" t="s">
        <v>19</v>
      </c>
      <c r="D50" t="s">
        <v>20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 s="8">
        <v>0.92930000000000001</v>
      </c>
      <c r="K50">
        <v>85000</v>
      </c>
      <c r="L50" s="2">
        <v>46119</v>
      </c>
    </row>
    <row r="51" spans="1:12">
      <c r="A51" t="s">
        <v>126</v>
      </c>
      <c r="B51" t="s">
        <v>127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8">
        <v>0.77490000000000003</v>
      </c>
      <c r="K51">
        <v>50000</v>
      </c>
      <c r="L51" s="2">
        <v>46195</v>
      </c>
    </row>
    <row r="52" spans="1:12">
      <c r="A52" t="s">
        <v>128</v>
      </c>
      <c r="B52" t="s">
        <v>129</v>
      </c>
      <c r="C52" t="s">
        <v>19</v>
      </c>
      <c r="D52" t="s">
        <v>36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 s="8">
        <v>0.95179999999999998</v>
      </c>
      <c r="K52">
        <v>100000</v>
      </c>
      <c r="L52" s="2">
        <v>45763</v>
      </c>
    </row>
    <row r="53" spans="1:12">
      <c r="A53" t="s">
        <v>130</v>
      </c>
      <c r="B53" t="s">
        <v>131</v>
      </c>
      <c r="C53" t="s">
        <v>14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 s="8">
        <v>0.9385</v>
      </c>
      <c r="K53">
        <v>85000</v>
      </c>
      <c r="L53" s="2">
        <v>45551</v>
      </c>
    </row>
    <row r="54" spans="1:12">
      <c r="A54" t="s">
        <v>132</v>
      </c>
      <c r="B54" t="s">
        <v>133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8">
        <v>0.92410000000000003</v>
      </c>
      <c r="K54">
        <v>75000</v>
      </c>
      <c r="L54" s="2">
        <v>46221</v>
      </c>
    </row>
    <row r="55" spans="1:12">
      <c r="A55" t="s">
        <v>134</v>
      </c>
      <c r="B55" t="s">
        <v>135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8">
        <v>0.79700000000000004</v>
      </c>
      <c r="K55">
        <v>120000</v>
      </c>
      <c r="L55" s="2">
        <v>45956</v>
      </c>
    </row>
    <row r="56" spans="1:12">
      <c r="A56" t="s">
        <v>136</v>
      </c>
      <c r="B56" t="s">
        <v>137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8">
        <v>0.80020000000000002</v>
      </c>
      <c r="K56">
        <v>100000</v>
      </c>
      <c r="L56" s="2">
        <v>45708</v>
      </c>
    </row>
    <row r="57" spans="1:12">
      <c r="A57" t="s">
        <v>138</v>
      </c>
      <c r="B57" t="s">
        <v>139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8">
        <v>0.89</v>
      </c>
      <c r="K57">
        <v>90000</v>
      </c>
      <c r="L57" s="2">
        <v>46070</v>
      </c>
    </row>
    <row r="58" spans="1:12">
      <c r="A58" t="s">
        <v>140</v>
      </c>
      <c r="B58" t="s">
        <v>141</v>
      </c>
      <c r="C58" t="s">
        <v>19</v>
      </c>
      <c r="D58" t="s">
        <v>36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8">
        <v>0.74680000000000002</v>
      </c>
      <c r="K58">
        <v>60000</v>
      </c>
      <c r="L58" s="2">
        <v>46168</v>
      </c>
    </row>
    <row r="59" spans="1:12">
      <c r="A59" t="s">
        <v>142</v>
      </c>
      <c r="B59" t="s">
        <v>109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8">
        <v>0.6895</v>
      </c>
      <c r="K59">
        <v>85000</v>
      </c>
      <c r="L59" s="2">
        <v>45735</v>
      </c>
    </row>
    <row r="60" spans="1:12">
      <c r="A60" t="s">
        <v>143</v>
      </c>
      <c r="B60" t="s">
        <v>144</v>
      </c>
      <c r="C60" t="s">
        <v>19</v>
      </c>
      <c r="D60" t="s">
        <v>32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 s="8">
        <v>0.9617</v>
      </c>
      <c r="K60">
        <v>100000</v>
      </c>
      <c r="L60" s="2">
        <v>46074</v>
      </c>
    </row>
    <row r="61" spans="1:12">
      <c r="A61" t="s">
        <v>145</v>
      </c>
      <c r="B61" t="s">
        <v>146</v>
      </c>
      <c r="C61" t="s">
        <v>19</v>
      </c>
      <c r="D61" t="s">
        <v>36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 s="8">
        <v>0.91279999999999994</v>
      </c>
      <c r="K61">
        <v>130000</v>
      </c>
      <c r="L61" s="2">
        <v>46087</v>
      </c>
    </row>
    <row r="62" spans="1:12">
      <c r="A62" t="s">
        <v>147</v>
      </c>
      <c r="B62" t="s">
        <v>148</v>
      </c>
      <c r="C62" t="s">
        <v>19</v>
      </c>
      <c r="D62" t="s">
        <v>20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 s="8">
        <v>0.55000000000000004</v>
      </c>
      <c r="K62">
        <v>90000</v>
      </c>
      <c r="L62" s="2">
        <v>45887</v>
      </c>
    </row>
    <row r="63" spans="1:12">
      <c r="A63" t="s">
        <v>149</v>
      </c>
      <c r="B63" t="s">
        <v>150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8">
        <v>0.95489999999999997</v>
      </c>
      <c r="K63">
        <v>60000</v>
      </c>
      <c r="L63" s="2">
        <v>45978</v>
      </c>
    </row>
    <row r="64" spans="1:12">
      <c r="A64" t="s">
        <v>151</v>
      </c>
      <c r="B64" t="s">
        <v>152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8">
        <v>0.84250000000000003</v>
      </c>
      <c r="K64">
        <v>100000</v>
      </c>
      <c r="L64" s="2">
        <v>45724</v>
      </c>
    </row>
    <row r="65" spans="1:12">
      <c r="A65" t="s">
        <v>153</v>
      </c>
      <c r="B65" t="s">
        <v>52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8">
        <v>0.9204</v>
      </c>
      <c r="K65">
        <v>50000</v>
      </c>
      <c r="L65" s="2">
        <v>46186</v>
      </c>
    </row>
    <row r="66" spans="1:12">
      <c r="A66" t="s">
        <v>154</v>
      </c>
      <c r="B66" t="s">
        <v>155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8">
        <v>0.80159999999999998</v>
      </c>
      <c r="K66">
        <v>75000</v>
      </c>
      <c r="L66" s="2">
        <v>46224</v>
      </c>
    </row>
    <row r="67" spans="1:12">
      <c r="A67" t="s">
        <v>156</v>
      </c>
      <c r="B67" t="s">
        <v>157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8">
        <v>0.87060000000000004</v>
      </c>
      <c r="K67">
        <v>130000</v>
      </c>
      <c r="L67" s="2">
        <v>46222</v>
      </c>
    </row>
    <row r="68" spans="1:12">
      <c r="A68" t="s">
        <v>158</v>
      </c>
      <c r="B68" t="s">
        <v>159</v>
      </c>
      <c r="C68" t="s">
        <v>19</v>
      </c>
      <c r="D68" t="s">
        <v>32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 s="8">
        <v>0.84919999999999995</v>
      </c>
      <c r="K68">
        <v>110000</v>
      </c>
      <c r="L68" s="2">
        <v>46051</v>
      </c>
    </row>
    <row r="69" spans="1:12">
      <c r="A69" t="s">
        <v>160</v>
      </c>
      <c r="B69" t="s">
        <v>161</v>
      </c>
      <c r="C69" t="s">
        <v>14</v>
      </c>
      <c r="D69" t="s">
        <v>36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8">
        <v>0.80720000000000003</v>
      </c>
      <c r="K69">
        <v>120000</v>
      </c>
      <c r="L69" s="2">
        <v>45565</v>
      </c>
    </row>
    <row r="70" spans="1:12">
      <c r="A70" t="s">
        <v>162</v>
      </c>
      <c r="B70" t="s">
        <v>115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8">
        <v>0.86950000000000005</v>
      </c>
      <c r="K70">
        <v>75000</v>
      </c>
      <c r="L70" s="2">
        <v>45792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8">
        <v>0.72430000000000005</v>
      </c>
      <c r="K71">
        <v>100000</v>
      </c>
      <c r="L71" s="2">
        <v>45847</v>
      </c>
    </row>
    <row r="72" spans="1:12">
      <c r="A72" t="s">
        <v>165</v>
      </c>
      <c r="B72" t="s">
        <v>166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8">
        <v>0.7157</v>
      </c>
      <c r="K72">
        <v>100000</v>
      </c>
      <c r="L72" s="2">
        <v>46207</v>
      </c>
    </row>
    <row r="73" spans="1:12">
      <c r="A73" t="s">
        <v>167</v>
      </c>
      <c r="B73" t="s">
        <v>168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8">
        <v>0.88990000000000002</v>
      </c>
      <c r="K73">
        <v>70000</v>
      </c>
      <c r="L73" s="2">
        <v>45918</v>
      </c>
    </row>
    <row r="74" spans="1:12">
      <c r="A74" t="s">
        <v>169</v>
      </c>
      <c r="B74" t="s">
        <v>170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8">
        <v>0.76880000000000004</v>
      </c>
      <c r="K74">
        <v>130000</v>
      </c>
      <c r="L74" s="2">
        <v>45911</v>
      </c>
    </row>
    <row r="75" spans="1:12">
      <c r="A75" t="s">
        <v>171</v>
      </c>
      <c r="B75" t="s">
        <v>133</v>
      </c>
      <c r="C75" t="s">
        <v>14</v>
      </c>
      <c r="D75" t="s">
        <v>36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8">
        <v>0.90290000000000004</v>
      </c>
      <c r="K75">
        <v>130000</v>
      </c>
      <c r="L75" s="2">
        <v>45638</v>
      </c>
    </row>
    <row r="76" spans="1:12">
      <c r="A76" t="s">
        <v>172</v>
      </c>
      <c r="B76" t="s">
        <v>173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8">
        <v>0.96130000000000004</v>
      </c>
      <c r="K76">
        <v>60000</v>
      </c>
      <c r="L76" s="2">
        <v>46091</v>
      </c>
    </row>
    <row r="77" spans="1:12">
      <c r="A77" t="s">
        <v>174</v>
      </c>
      <c r="B77" t="s">
        <v>175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8">
        <v>0.65480000000000005</v>
      </c>
      <c r="K77">
        <v>110000</v>
      </c>
      <c r="L77" s="2">
        <v>45771</v>
      </c>
    </row>
    <row r="78" spans="1:12">
      <c r="A78" t="s">
        <v>176</v>
      </c>
      <c r="B78" t="s">
        <v>109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8">
        <v>0.92200000000000004</v>
      </c>
      <c r="K78">
        <v>80000</v>
      </c>
      <c r="L78" s="2">
        <v>45600</v>
      </c>
    </row>
    <row r="79" spans="1:12">
      <c r="A79" t="s">
        <v>177</v>
      </c>
      <c r="B79" t="s">
        <v>178</v>
      </c>
      <c r="C79" t="s">
        <v>14</v>
      </c>
      <c r="D79" t="s">
        <v>36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8">
        <v>0.83409999999999995</v>
      </c>
      <c r="K79">
        <v>100000</v>
      </c>
      <c r="L79" s="2">
        <v>46227</v>
      </c>
    </row>
    <row r="80" spans="1:12">
      <c r="A80" t="s">
        <v>179</v>
      </c>
      <c r="B80" t="s">
        <v>180</v>
      </c>
      <c r="C80" t="s">
        <v>19</v>
      </c>
      <c r="D80" t="s">
        <v>15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 s="8">
        <v>0.87749999999999995</v>
      </c>
      <c r="K80">
        <v>90000</v>
      </c>
      <c r="L80" s="2">
        <v>45669</v>
      </c>
    </row>
    <row r="81" spans="1:12">
      <c r="A81" t="s">
        <v>181</v>
      </c>
      <c r="B81" t="s">
        <v>182</v>
      </c>
      <c r="C81" t="s">
        <v>19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 s="8">
        <v>0.95140000000000002</v>
      </c>
      <c r="K81">
        <v>70000</v>
      </c>
      <c r="L81" s="2">
        <v>45547</v>
      </c>
    </row>
    <row r="82" spans="1:12">
      <c r="A82" t="s">
        <v>183</v>
      </c>
      <c r="B82" t="s">
        <v>184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8">
        <v>0.84179999999999999</v>
      </c>
      <c r="K82">
        <v>60000</v>
      </c>
      <c r="L82" s="2">
        <v>45590</v>
      </c>
    </row>
    <row r="83" spans="1:12">
      <c r="A83" t="s">
        <v>185</v>
      </c>
      <c r="B83" t="s">
        <v>186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8">
        <v>0.93310000000000004</v>
      </c>
      <c r="K83">
        <v>85000</v>
      </c>
      <c r="L83" s="2">
        <v>45852</v>
      </c>
    </row>
    <row r="84" spans="1:12">
      <c r="A84" t="s">
        <v>187</v>
      </c>
      <c r="B84" t="s">
        <v>188</v>
      </c>
      <c r="C84" t="s">
        <v>14</v>
      </c>
      <c r="D84" t="s">
        <v>53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8">
        <v>0.93730000000000002</v>
      </c>
      <c r="K84">
        <v>120000</v>
      </c>
      <c r="L84" s="2">
        <v>45608</v>
      </c>
    </row>
    <row r="85" spans="1:12">
      <c r="A85" t="s">
        <v>189</v>
      </c>
      <c r="B85" t="s">
        <v>59</v>
      </c>
      <c r="C85" t="s">
        <v>19</v>
      </c>
      <c r="D85" t="s">
        <v>20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 s="8">
        <v>0.83599999999999997</v>
      </c>
      <c r="K85">
        <v>120000</v>
      </c>
      <c r="L85" s="2">
        <v>46125</v>
      </c>
    </row>
    <row r="86" spans="1:12">
      <c r="A86" t="s">
        <v>190</v>
      </c>
      <c r="B86" t="s">
        <v>191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8">
        <v>0.84530000000000005</v>
      </c>
      <c r="K86">
        <v>75000</v>
      </c>
      <c r="L86" s="2">
        <v>45894</v>
      </c>
    </row>
    <row r="87" spans="1:12">
      <c r="A87" t="s">
        <v>192</v>
      </c>
      <c r="B87" t="s">
        <v>79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8">
        <v>0.74470000000000003</v>
      </c>
      <c r="K87">
        <v>120000</v>
      </c>
      <c r="L87" s="2">
        <v>45762</v>
      </c>
    </row>
    <row r="88" spans="1:12">
      <c r="A88" t="s">
        <v>193</v>
      </c>
      <c r="B88" t="s">
        <v>194</v>
      </c>
      <c r="C88" t="s">
        <v>14</v>
      </c>
      <c r="D88" t="s">
        <v>36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8">
        <v>0.67400000000000004</v>
      </c>
      <c r="K88">
        <v>75000</v>
      </c>
      <c r="L88" s="2">
        <v>45538</v>
      </c>
    </row>
    <row r="89" spans="1:12">
      <c r="A89" t="s">
        <v>195</v>
      </c>
      <c r="B89" t="s">
        <v>196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8">
        <v>0.76039999999999996</v>
      </c>
      <c r="K89">
        <v>90000</v>
      </c>
      <c r="L89" s="2">
        <v>45871</v>
      </c>
    </row>
    <row r="90" spans="1:12">
      <c r="A90" t="s">
        <v>197</v>
      </c>
      <c r="B90" t="s">
        <v>198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8">
        <v>0.84550000000000003</v>
      </c>
      <c r="K90">
        <v>75000</v>
      </c>
      <c r="L90" s="2">
        <v>45641</v>
      </c>
    </row>
    <row r="91" spans="1:12">
      <c r="A91" t="s">
        <v>199</v>
      </c>
      <c r="B91" t="s">
        <v>200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8">
        <v>0.67589999999999995</v>
      </c>
      <c r="K91">
        <v>85000</v>
      </c>
      <c r="L91" s="2">
        <v>46220</v>
      </c>
    </row>
    <row r="92" spans="1:12">
      <c r="A92" t="s">
        <v>201</v>
      </c>
      <c r="B92" t="s">
        <v>202</v>
      </c>
      <c r="C92" t="s">
        <v>14</v>
      </c>
      <c r="D92" t="s">
        <v>32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 s="8">
        <v>0.89300000000000002</v>
      </c>
      <c r="K92">
        <v>85000</v>
      </c>
      <c r="L92" s="2">
        <v>45739</v>
      </c>
    </row>
    <row r="93" spans="1:12">
      <c r="A93" t="s">
        <v>203</v>
      </c>
      <c r="B93" t="s">
        <v>204</v>
      </c>
      <c r="C93" t="s">
        <v>19</v>
      </c>
      <c r="D93" t="s">
        <v>53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8">
        <v>0.94669999999999999</v>
      </c>
      <c r="K93">
        <v>100000</v>
      </c>
      <c r="L93" s="2">
        <v>45868</v>
      </c>
    </row>
    <row r="94" spans="1:12">
      <c r="A94" t="s">
        <v>205</v>
      </c>
      <c r="B94" t="s">
        <v>79</v>
      </c>
      <c r="C94" t="s">
        <v>19</v>
      </c>
      <c r="D94" t="s">
        <v>36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 s="8">
        <v>0.82809999999999995</v>
      </c>
      <c r="K94">
        <v>85000</v>
      </c>
      <c r="L94" s="2">
        <v>45549</v>
      </c>
    </row>
    <row r="95" spans="1:12">
      <c r="A95" t="s">
        <v>206</v>
      </c>
      <c r="B95" t="s">
        <v>207</v>
      </c>
      <c r="C95" t="s">
        <v>14</v>
      </c>
      <c r="D95" t="s">
        <v>32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 s="8">
        <v>0.73799999999999999</v>
      </c>
      <c r="K95">
        <v>85000</v>
      </c>
      <c r="L95" s="2">
        <v>45627</v>
      </c>
    </row>
    <row r="96" spans="1:12">
      <c r="A96" t="s">
        <v>208</v>
      </c>
      <c r="B96" t="s">
        <v>96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8">
        <v>0.88939999999999997</v>
      </c>
      <c r="K96">
        <v>100000</v>
      </c>
      <c r="L96" s="2">
        <v>45681</v>
      </c>
    </row>
    <row r="97" spans="1:12">
      <c r="A97" t="s">
        <v>209</v>
      </c>
      <c r="B97" t="s">
        <v>210</v>
      </c>
      <c r="C97" t="s">
        <v>14</v>
      </c>
      <c r="D97" t="s">
        <v>32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 s="8">
        <v>0.83150000000000002</v>
      </c>
      <c r="K97">
        <v>80000</v>
      </c>
      <c r="L97" s="2">
        <v>45572</v>
      </c>
    </row>
    <row r="98" spans="1:12">
      <c r="A98" t="s">
        <v>211</v>
      </c>
      <c r="B98" t="s">
        <v>13</v>
      </c>
      <c r="C98" t="s">
        <v>14</v>
      </c>
      <c r="D98" t="s">
        <v>32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 s="8">
        <v>0.92949999999999999</v>
      </c>
      <c r="K98">
        <v>85000</v>
      </c>
      <c r="L98" s="2">
        <v>46044</v>
      </c>
    </row>
    <row r="99" spans="1:12">
      <c r="A99" t="s">
        <v>212</v>
      </c>
      <c r="B99" t="s">
        <v>213</v>
      </c>
      <c r="C99" t="s">
        <v>19</v>
      </c>
      <c r="D99" t="s">
        <v>28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 s="8">
        <v>0.94189999999999996</v>
      </c>
      <c r="K99">
        <v>50000</v>
      </c>
      <c r="L99" s="2">
        <v>46197</v>
      </c>
    </row>
    <row r="100" spans="1:12">
      <c r="A100" t="s">
        <v>214</v>
      </c>
      <c r="B100" t="s">
        <v>104</v>
      </c>
      <c r="C100" t="s">
        <v>19</v>
      </c>
      <c r="D100" t="s">
        <v>20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 s="8">
        <v>0.92549999999999999</v>
      </c>
      <c r="K100">
        <v>120000</v>
      </c>
      <c r="L100" s="2">
        <v>46225</v>
      </c>
    </row>
    <row r="101" spans="1:12">
      <c r="A101" t="s">
        <v>215</v>
      </c>
      <c r="B101" t="s">
        <v>216</v>
      </c>
      <c r="C101" t="s">
        <v>14</v>
      </c>
      <c r="D101" t="s">
        <v>15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 s="8">
        <v>0.78510000000000002</v>
      </c>
      <c r="K101">
        <v>60000</v>
      </c>
      <c r="L101" s="2">
        <v>45722</v>
      </c>
    </row>
    <row r="102" spans="1:12">
      <c r="A102" t="s">
        <v>217</v>
      </c>
      <c r="B102" t="s">
        <v>218</v>
      </c>
      <c r="C102" t="s">
        <v>19</v>
      </c>
      <c r="D102" t="s">
        <v>53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 s="8">
        <v>0.80259999999999998</v>
      </c>
      <c r="K102">
        <v>120000</v>
      </c>
      <c r="L102" s="2">
        <v>46088</v>
      </c>
    </row>
    <row r="103" spans="1:12">
      <c r="A103" t="s">
        <v>219</v>
      </c>
      <c r="B103" t="s">
        <v>220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 s="8">
        <v>0.79849999999999999</v>
      </c>
      <c r="K103">
        <v>110000</v>
      </c>
      <c r="L103" s="2">
        <v>45888</v>
      </c>
    </row>
    <row r="104" spans="1:12">
      <c r="A104" t="s">
        <v>221</v>
      </c>
      <c r="B104" t="s">
        <v>31</v>
      </c>
      <c r="C104" t="s">
        <v>19</v>
      </c>
      <c r="D104" t="s">
        <v>53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 s="8">
        <v>0.62409999999999999</v>
      </c>
      <c r="K104">
        <v>130000</v>
      </c>
      <c r="L104" s="2">
        <v>45568</v>
      </c>
    </row>
    <row r="105" spans="1:12">
      <c r="A105" t="s">
        <v>222</v>
      </c>
      <c r="B105" t="s">
        <v>178</v>
      </c>
      <c r="C105" t="s">
        <v>14</v>
      </c>
      <c r="D105" t="s">
        <v>36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 s="8">
        <v>0.90580000000000005</v>
      </c>
      <c r="K105">
        <v>50000</v>
      </c>
      <c r="L105" s="2">
        <v>45599</v>
      </c>
    </row>
    <row r="106" spans="1:12">
      <c r="A106" t="s">
        <v>223</v>
      </c>
      <c r="B106" t="s">
        <v>224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 s="8">
        <v>0.6411</v>
      </c>
      <c r="K106">
        <v>70000</v>
      </c>
      <c r="L106" s="2">
        <v>45919</v>
      </c>
    </row>
    <row r="107" spans="1:12">
      <c r="A107" t="s">
        <v>225</v>
      </c>
      <c r="B107" t="s">
        <v>226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 s="8">
        <v>0.89759999999999995</v>
      </c>
      <c r="K107">
        <v>50000</v>
      </c>
      <c r="L107" s="2">
        <v>45832</v>
      </c>
    </row>
    <row r="108" spans="1:12">
      <c r="A108" t="s">
        <v>227</v>
      </c>
      <c r="B108" t="s">
        <v>191</v>
      </c>
      <c r="C108" t="s">
        <v>19</v>
      </c>
      <c r="D108" t="s">
        <v>53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 s="8">
        <v>0.85189999999999999</v>
      </c>
      <c r="K108">
        <v>80000</v>
      </c>
      <c r="L108" s="2">
        <v>45541</v>
      </c>
    </row>
    <row r="109" spans="1:12">
      <c r="A109" t="s">
        <v>228</v>
      </c>
      <c r="B109" t="s">
        <v>229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 s="8">
        <v>0.79859999999999998</v>
      </c>
      <c r="K109">
        <v>120000</v>
      </c>
      <c r="L109" s="2">
        <v>46187</v>
      </c>
    </row>
    <row r="110" spans="1:12">
      <c r="A110" t="s">
        <v>230</v>
      </c>
      <c r="B110" t="s">
        <v>231</v>
      </c>
      <c r="C110" t="s">
        <v>14</v>
      </c>
      <c r="D110" t="s">
        <v>36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 s="8">
        <v>0.98750000000000004</v>
      </c>
      <c r="K110">
        <v>110000</v>
      </c>
      <c r="L110" s="2">
        <v>46047</v>
      </c>
    </row>
    <row r="111" spans="1:12">
      <c r="A111" t="s">
        <v>232</v>
      </c>
      <c r="B111" t="s">
        <v>233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 s="8">
        <v>0.8972</v>
      </c>
      <c r="K111">
        <v>100000</v>
      </c>
      <c r="L111" s="2">
        <v>45887</v>
      </c>
    </row>
    <row r="112" spans="1:12">
      <c r="A112" t="s">
        <v>234</v>
      </c>
      <c r="B112" t="s">
        <v>235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 s="8">
        <v>0.88100000000000001</v>
      </c>
      <c r="K112">
        <v>120000</v>
      </c>
      <c r="L112" s="2">
        <v>46226</v>
      </c>
    </row>
    <row r="113" spans="1:12">
      <c r="A113" t="s">
        <v>236</v>
      </c>
      <c r="B113" t="s">
        <v>237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 s="8">
        <v>0.89270000000000005</v>
      </c>
      <c r="K113">
        <v>50000</v>
      </c>
      <c r="L113" s="2">
        <v>46215</v>
      </c>
    </row>
    <row r="114" spans="1:12">
      <c r="A114" t="s">
        <v>238</v>
      </c>
      <c r="B114" t="s">
        <v>239</v>
      </c>
      <c r="C114" t="s">
        <v>19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 s="8">
        <v>0.84499999999999997</v>
      </c>
      <c r="K114">
        <v>110000</v>
      </c>
      <c r="L114" s="2">
        <v>46217</v>
      </c>
    </row>
    <row r="115" spans="1:12">
      <c r="A115" t="s">
        <v>240</v>
      </c>
      <c r="B115" t="s">
        <v>241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 s="8">
        <v>0.80830000000000002</v>
      </c>
      <c r="K115">
        <v>75000</v>
      </c>
      <c r="L115" s="2">
        <v>45717</v>
      </c>
    </row>
    <row r="116" spans="1:12">
      <c r="A116" t="s">
        <v>242</v>
      </c>
      <c r="B116" t="s">
        <v>243</v>
      </c>
      <c r="C116" t="s">
        <v>19</v>
      </c>
      <c r="D116" t="s">
        <v>53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 s="8">
        <v>0.55089999999999995</v>
      </c>
      <c r="K116">
        <v>100000</v>
      </c>
      <c r="L116" s="2">
        <v>46152</v>
      </c>
    </row>
    <row r="117" spans="1:12">
      <c r="A117" t="s">
        <v>244</v>
      </c>
      <c r="B117" t="s">
        <v>173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 s="8">
        <v>0.91290000000000004</v>
      </c>
      <c r="K117">
        <v>110000</v>
      </c>
      <c r="L117" s="2">
        <v>45889</v>
      </c>
    </row>
    <row r="118" spans="1:12">
      <c r="A118" t="s">
        <v>245</v>
      </c>
      <c r="B118" t="s">
        <v>246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 s="8">
        <v>0.66739999999999999</v>
      </c>
      <c r="K118">
        <v>100000</v>
      </c>
      <c r="L118" s="2">
        <v>46044</v>
      </c>
    </row>
    <row r="119" spans="1:12">
      <c r="A119" t="s">
        <v>247</v>
      </c>
      <c r="B119" t="s">
        <v>248</v>
      </c>
      <c r="C119" t="s">
        <v>14</v>
      </c>
      <c r="D119" t="s">
        <v>53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 s="8">
        <v>0.94169999999999998</v>
      </c>
      <c r="K119">
        <v>80000</v>
      </c>
      <c r="L119" s="2">
        <v>46137</v>
      </c>
    </row>
    <row r="120" spans="1:12">
      <c r="A120" t="s">
        <v>249</v>
      </c>
      <c r="B120" t="s">
        <v>100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 s="8">
        <v>0.82340000000000002</v>
      </c>
      <c r="K120">
        <v>90000</v>
      </c>
      <c r="L120" s="2">
        <v>45650</v>
      </c>
    </row>
    <row r="121" spans="1:12">
      <c r="A121" t="s">
        <v>250</v>
      </c>
      <c r="B121" t="s">
        <v>251</v>
      </c>
      <c r="C121" t="s">
        <v>14</v>
      </c>
      <c r="D121" t="s">
        <v>36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 s="8">
        <v>0.77759999999999996</v>
      </c>
      <c r="K121">
        <v>85000</v>
      </c>
      <c r="L121" s="2">
        <v>45849</v>
      </c>
    </row>
    <row r="122" spans="1:12">
      <c r="A122" t="s">
        <v>252</v>
      </c>
      <c r="B122" t="s">
        <v>253</v>
      </c>
      <c r="C122" t="s">
        <v>14</v>
      </c>
      <c r="D122" t="s">
        <v>53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 s="8">
        <v>0.87290000000000001</v>
      </c>
      <c r="K122">
        <v>90000</v>
      </c>
      <c r="L122" s="2">
        <v>45626</v>
      </c>
    </row>
    <row r="123" spans="1:12">
      <c r="A123" t="s">
        <v>254</v>
      </c>
      <c r="B123" t="s">
        <v>71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 s="8">
        <v>0.83599999999999997</v>
      </c>
      <c r="K123">
        <v>85000</v>
      </c>
      <c r="L123" s="2">
        <v>45731</v>
      </c>
    </row>
    <row r="124" spans="1:12">
      <c r="A124" t="s">
        <v>255</v>
      </c>
      <c r="B124" t="s">
        <v>256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 s="8">
        <v>0.8034</v>
      </c>
      <c r="K124">
        <v>80000</v>
      </c>
      <c r="L124" s="2">
        <v>45825</v>
      </c>
    </row>
    <row r="125" spans="1:12">
      <c r="A125" t="s">
        <v>257</v>
      </c>
      <c r="B125" t="s">
        <v>258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 s="8">
        <v>0.70330000000000004</v>
      </c>
      <c r="K125">
        <v>70000</v>
      </c>
      <c r="L125" s="2">
        <v>46134</v>
      </c>
    </row>
    <row r="126" spans="1:12">
      <c r="A126" t="s">
        <v>259</v>
      </c>
      <c r="B126" t="s">
        <v>260</v>
      </c>
      <c r="C126" t="s">
        <v>19</v>
      </c>
      <c r="D126" t="s">
        <v>53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 s="8">
        <v>0.77380000000000004</v>
      </c>
      <c r="K126">
        <v>80000</v>
      </c>
      <c r="L126" s="2">
        <v>46139</v>
      </c>
    </row>
    <row r="127" spans="1:12">
      <c r="A127" t="s">
        <v>261</v>
      </c>
      <c r="B127" t="s">
        <v>262</v>
      </c>
      <c r="C127" t="s">
        <v>19</v>
      </c>
      <c r="D127" t="s">
        <v>36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 s="8">
        <v>0.82779999999999998</v>
      </c>
      <c r="K127">
        <v>100000</v>
      </c>
      <c r="L127" s="2">
        <v>45808</v>
      </c>
    </row>
    <row r="128" spans="1:12">
      <c r="A128" t="s">
        <v>263</v>
      </c>
      <c r="B128" t="s">
        <v>264</v>
      </c>
      <c r="C128" t="s">
        <v>14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 s="8">
        <v>0.83150000000000002</v>
      </c>
      <c r="K128">
        <v>120000</v>
      </c>
      <c r="L128" s="2">
        <v>45766</v>
      </c>
    </row>
    <row r="129" spans="1:12">
      <c r="A129" t="s">
        <v>265</v>
      </c>
      <c r="B129" t="s">
        <v>123</v>
      </c>
      <c r="C129" t="s">
        <v>19</v>
      </c>
      <c r="D129" t="s">
        <v>36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 s="8">
        <v>0.89610000000000001</v>
      </c>
      <c r="K129">
        <v>60000</v>
      </c>
      <c r="L129" s="2">
        <v>45907</v>
      </c>
    </row>
    <row r="130" spans="1:12">
      <c r="A130" t="s">
        <v>266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 s="8">
        <v>0.75839999999999996</v>
      </c>
      <c r="K130">
        <v>70000</v>
      </c>
      <c r="L130" s="2">
        <v>46174</v>
      </c>
    </row>
    <row r="131" spans="1:12">
      <c r="A131" t="s">
        <v>267</v>
      </c>
      <c r="B131" t="s">
        <v>268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 s="8">
        <v>0.76829999999999998</v>
      </c>
      <c r="K131">
        <v>85000</v>
      </c>
      <c r="L131" s="2">
        <v>46219</v>
      </c>
    </row>
    <row r="132" spans="1:12">
      <c r="A132" t="s">
        <v>269</v>
      </c>
      <c r="B132" t="s">
        <v>270</v>
      </c>
      <c r="C132" t="s">
        <v>19</v>
      </c>
      <c r="D132" t="s">
        <v>53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 s="8">
        <v>0.56440000000000001</v>
      </c>
      <c r="K132">
        <v>100000</v>
      </c>
      <c r="L132" s="2">
        <v>45694</v>
      </c>
    </row>
    <row r="133" spans="1:12">
      <c r="A133" t="s">
        <v>271</v>
      </c>
      <c r="B133" t="s">
        <v>272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 s="8">
        <v>0.71589999999999998</v>
      </c>
      <c r="K133">
        <v>60000</v>
      </c>
      <c r="L133" s="2">
        <v>45666</v>
      </c>
    </row>
    <row r="134" spans="1:12">
      <c r="A134" t="s">
        <v>273</v>
      </c>
      <c r="B134" t="s">
        <v>274</v>
      </c>
      <c r="C134" t="s">
        <v>14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 s="8">
        <v>0.58899999999999997</v>
      </c>
      <c r="K134">
        <v>75000</v>
      </c>
      <c r="L134" s="2">
        <v>46030</v>
      </c>
    </row>
    <row r="135" spans="1:12">
      <c r="A135" t="s">
        <v>275</v>
      </c>
      <c r="B135" t="s">
        <v>18</v>
      </c>
      <c r="C135" t="s">
        <v>19</v>
      </c>
      <c r="D135" t="s">
        <v>28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 s="8">
        <v>0.81699999999999995</v>
      </c>
      <c r="K135">
        <v>50000</v>
      </c>
      <c r="L135" s="2">
        <v>45746</v>
      </c>
    </row>
    <row r="136" spans="1:12">
      <c r="A136" t="s">
        <v>276</v>
      </c>
      <c r="B136" t="s">
        <v>125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 s="8">
        <v>0.95309999999999995</v>
      </c>
      <c r="K136">
        <v>50000</v>
      </c>
      <c r="L136" s="2">
        <v>45675</v>
      </c>
    </row>
    <row r="137" spans="1:12">
      <c r="A137" t="s">
        <v>277</v>
      </c>
      <c r="B137" t="s">
        <v>278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 s="8">
        <v>0.94479999999999997</v>
      </c>
      <c r="K137">
        <v>60000</v>
      </c>
      <c r="L137" s="2">
        <v>45557</v>
      </c>
    </row>
    <row r="138" spans="1:12">
      <c r="A138" t="s">
        <v>279</v>
      </c>
      <c r="B138" t="s">
        <v>280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 s="8">
        <v>0.93310000000000004</v>
      </c>
      <c r="K138">
        <v>110000</v>
      </c>
      <c r="L138" s="2">
        <v>45818</v>
      </c>
    </row>
    <row r="139" spans="1:12">
      <c r="A139" t="s">
        <v>281</v>
      </c>
      <c r="B139" t="s">
        <v>115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 s="8">
        <v>0.79290000000000005</v>
      </c>
      <c r="K139">
        <v>120000</v>
      </c>
      <c r="L139" s="2">
        <v>45810</v>
      </c>
    </row>
    <row r="140" spans="1:12">
      <c r="A140" t="s">
        <v>282</v>
      </c>
      <c r="B140" t="s">
        <v>283</v>
      </c>
      <c r="C140" t="s">
        <v>14</v>
      </c>
      <c r="D140" t="s">
        <v>32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 s="8">
        <v>0.83130000000000004</v>
      </c>
      <c r="K140">
        <v>85000</v>
      </c>
      <c r="L140" s="2">
        <v>45930</v>
      </c>
    </row>
    <row r="141" spans="1:12">
      <c r="A141" t="s">
        <v>284</v>
      </c>
      <c r="B141" t="s">
        <v>285</v>
      </c>
      <c r="C141" t="s">
        <v>14</v>
      </c>
      <c r="D141" t="s">
        <v>53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 s="8">
        <v>0.95430000000000004</v>
      </c>
      <c r="K141">
        <v>60000</v>
      </c>
      <c r="L141" s="2">
        <v>45676</v>
      </c>
    </row>
    <row r="142" spans="1:12">
      <c r="A142" t="s">
        <v>286</v>
      </c>
      <c r="B142" t="s">
        <v>260</v>
      </c>
      <c r="C142" t="s">
        <v>19</v>
      </c>
      <c r="D142" t="s">
        <v>32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 s="8">
        <v>0.80449999999999999</v>
      </c>
      <c r="K142">
        <v>130000</v>
      </c>
      <c r="L142" s="2">
        <v>46036</v>
      </c>
    </row>
    <row r="143" spans="1:12">
      <c r="A143" t="s">
        <v>287</v>
      </c>
      <c r="B143" t="s">
        <v>288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 s="8">
        <v>0.85609999999999997</v>
      </c>
      <c r="K143">
        <v>75000</v>
      </c>
      <c r="L143" s="2">
        <v>46012</v>
      </c>
    </row>
    <row r="144" spans="1:12">
      <c r="A144" t="s">
        <v>289</v>
      </c>
      <c r="B144" t="s">
        <v>196</v>
      </c>
      <c r="C144" t="s">
        <v>14</v>
      </c>
      <c r="D144" t="s">
        <v>32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 s="8">
        <v>0.76539999999999997</v>
      </c>
      <c r="K144">
        <v>60000</v>
      </c>
      <c r="L144" s="2">
        <v>45859</v>
      </c>
    </row>
    <row r="145" spans="1:12">
      <c r="A145" t="s">
        <v>290</v>
      </c>
      <c r="B145" t="s">
        <v>291</v>
      </c>
      <c r="C145" t="s">
        <v>14</v>
      </c>
      <c r="D145" t="s">
        <v>20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 s="8">
        <v>0.8982</v>
      </c>
      <c r="K145">
        <v>60000</v>
      </c>
      <c r="L145" s="2">
        <v>45662</v>
      </c>
    </row>
    <row r="146" spans="1:12">
      <c r="A146" t="s">
        <v>292</v>
      </c>
      <c r="B146" t="s">
        <v>63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 s="8">
        <v>0.72319999999999995</v>
      </c>
      <c r="K146">
        <v>75000</v>
      </c>
      <c r="L146" s="2">
        <v>45890</v>
      </c>
    </row>
    <row r="147" spans="1:12">
      <c r="A147" t="s">
        <v>293</v>
      </c>
      <c r="B147" t="s">
        <v>144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 s="8">
        <v>0.91400000000000003</v>
      </c>
      <c r="K147">
        <v>110000</v>
      </c>
      <c r="L147" s="2">
        <v>46008</v>
      </c>
    </row>
    <row r="148" spans="1:12">
      <c r="A148" t="s">
        <v>294</v>
      </c>
      <c r="B148" t="s">
        <v>295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 s="8">
        <v>0.81269999999999998</v>
      </c>
      <c r="K148">
        <v>80000</v>
      </c>
      <c r="L148" s="2">
        <v>45796</v>
      </c>
    </row>
    <row r="149" spans="1:12">
      <c r="A149" t="s">
        <v>296</v>
      </c>
      <c r="B149" t="s">
        <v>297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 s="8">
        <v>0.94320000000000004</v>
      </c>
      <c r="K149">
        <v>80000</v>
      </c>
      <c r="L149" s="2">
        <v>45720</v>
      </c>
    </row>
    <row r="150" spans="1:12">
      <c r="A150" t="s">
        <v>298</v>
      </c>
      <c r="B150" t="s">
        <v>272</v>
      </c>
      <c r="C150" t="s">
        <v>19</v>
      </c>
      <c r="D150" t="s">
        <v>36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 s="8">
        <v>0.70140000000000002</v>
      </c>
      <c r="K150">
        <v>75000</v>
      </c>
      <c r="L150" s="2">
        <v>45890</v>
      </c>
    </row>
    <row r="151" spans="1:12">
      <c r="A151" t="s">
        <v>299</v>
      </c>
      <c r="B151" t="s">
        <v>35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 s="8">
        <v>0.68049999999999999</v>
      </c>
      <c r="K151">
        <v>130000</v>
      </c>
      <c r="L151" s="2">
        <v>45784</v>
      </c>
    </row>
    <row r="152" spans="1:12">
      <c r="A152" t="s">
        <v>300</v>
      </c>
      <c r="B152" t="s">
        <v>301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 s="8">
        <v>0.81130000000000002</v>
      </c>
      <c r="K152">
        <v>100000</v>
      </c>
      <c r="L152" s="2">
        <v>45816</v>
      </c>
    </row>
    <row r="153" spans="1:12">
      <c r="A153" t="s">
        <v>302</v>
      </c>
      <c r="B153" t="s">
        <v>47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 s="8">
        <v>0.90129999999999999</v>
      </c>
      <c r="K153">
        <v>100000</v>
      </c>
      <c r="L153" s="2">
        <v>45780</v>
      </c>
    </row>
    <row r="154" spans="1:12">
      <c r="A154" t="s">
        <v>303</v>
      </c>
      <c r="B154" t="s">
        <v>180</v>
      </c>
      <c r="C154" t="s">
        <v>19</v>
      </c>
      <c r="D154" t="s">
        <v>20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 s="8">
        <v>0.74870000000000003</v>
      </c>
      <c r="K154">
        <v>80000</v>
      </c>
      <c r="L154" s="2">
        <v>45748</v>
      </c>
    </row>
    <row r="155" spans="1:12">
      <c r="A155" t="s">
        <v>304</v>
      </c>
      <c r="B155" t="s">
        <v>231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 s="8">
        <v>0.84219999999999995</v>
      </c>
      <c r="K155">
        <v>85000</v>
      </c>
      <c r="L155" s="2">
        <v>46037</v>
      </c>
    </row>
    <row r="156" spans="1:12">
      <c r="A156" t="s">
        <v>305</v>
      </c>
      <c r="B156" t="s">
        <v>288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 s="8">
        <v>0.71230000000000004</v>
      </c>
      <c r="K156">
        <v>120000</v>
      </c>
      <c r="L156" s="2">
        <v>45858</v>
      </c>
    </row>
    <row r="157" spans="1:12">
      <c r="A157" t="s">
        <v>306</v>
      </c>
      <c r="B157" t="s">
        <v>307</v>
      </c>
      <c r="C157" t="s">
        <v>19</v>
      </c>
      <c r="D157" t="s">
        <v>36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 s="8">
        <v>0.89759999999999995</v>
      </c>
      <c r="K157">
        <v>100000</v>
      </c>
      <c r="L157" s="2">
        <v>45862</v>
      </c>
    </row>
    <row r="158" spans="1:12">
      <c r="A158" t="s">
        <v>308</v>
      </c>
      <c r="B158" t="s">
        <v>152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 s="8">
        <v>0.92930000000000001</v>
      </c>
      <c r="K158">
        <v>110000</v>
      </c>
      <c r="L158" s="2">
        <v>45993</v>
      </c>
    </row>
    <row r="159" spans="1:12">
      <c r="A159" t="s">
        <v>309</v>
      </c>
      <c r="B159" t="s">
        <v>310</v>
      </c>
      <c r="C159" t="s">
        <v>19</v>
      </c>
      <c r="D159" t="s">
        <v>36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 s="8">
        <v>0.82089999999999996</v>
      </c>
      <c r="K159">
        <v>50000</v>
      </c>
      <c r="L159" s="2">
        <v>45788</v>
      </c>
    </row>
    <row r="160" spans="1:12">
      <c r="A160" t="s">
        <v>311</v>
      </c>
      <c r="B160" t="s">
        <v>224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 s="8">
        <v>0.6431</v>
      </c>
      <c r="K160">
        <v>120000</v>
      </c>
      <c r="L160" s="2">
        <v>45606</v>
      </c>
    </row>
    <row r="161" spans="1:12">
      <c r="A161" t="s">
        <v>312</v>
      </c>
      <c r="B161" t="s">
        <v>313</v>
      </c>
      <c r="C161" t="s">
        <v>19</v>
      </c>
      <c r="D161" t="s">
        <v>36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 s="8">
        <v>0.83650000000000002</v>
      </c>
      <c r="K161">
        <v>130000</v>
      </c>
      <c r="L161" s="2">
        <v>46132</v>
      </c>
    </row>
    <row r="162" spans="1:12">
      <c r="A162" t="s">
        <v>314</v>
      </c>
      <c r="B162" t="s">
        <v>315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 s="8">
        <v>0.91639999999999999</v>
      </c>
      <c r="K162">
        <v>100000</v>
      </c>
      <c r="L162" s="2">
        <v>45574</v>
      </c>
    </row>
    <row r="163" spans="1:12">
      <c r="A163" t="s">
        <v>316</v>
      </c>
      <c r="B163" t="s">
        <v>317</v>
      </c>
      <c r="C163" t="s">
        <v>19</v>
      </c>
      <c r="D163" t="s">
        <v>36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 s="8">
        <v>0.74680000000000002</v>
      </c>
      <c r="K163">
        <v>130000</v>
      </c>
      <c r="L163" s="2">
        <v>45936</v>
      </c>
    </row>
    <row r="164" spans="1:12">
      <c r="A164" t="s">
        <v>318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 s="8">
        <v>0.91080000000000005</v>
      </c>
      <c r="K164">
        <v>90000</v>
      </c>
      <c r="L164" s="2">
        <v>45722</v>
      </c>
    </row>
    <row r="165" spans="1:12">
      <c r="A165" t="s">
        <v>319</v>
      </c>
      <c r="B165" t="s">
        <v>320</v>
      </c>
      <c r="C165" t="s">
        <v>14</v>
      </c>
      <c r="D165" t="s">
        <v>36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 s="8">
        <v>0.9526</v>
      </c>
      <c r="K165">
        <v>75000</v>
      </c>
      <c r="L165" s="2">
        <v>45685</v>
      </c>
    </row>
    <row r="166" spans="1:12">
      <c r="A166" t="s">
        <v>321</v>
      </c>
      <c r="B166" t="s">
        <v>285</v>
      </c>
      <c r="C166" t="s">
        <v>14</v>
      </c>
      <c r="D166" t="s">
        <v>53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 s="8">
        <v>0.55000000000000004</v>
      </c>
      <c r="K166">
        <v>90000</v>
      </c>
      <c r="L166" s="2">
        <v>45565</v>
      </c>
    </row>
    <row r="167" spans="1:12">
      <c r="A167" t="s">
        <v>322</v>
      </c>
      <c r="B167" t="s">
        <v>323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 s="8">
        <v>0.86670000000000003</v>
      </c>
      <c r="K167">
        <v>90000</v>
      </c>
      <c r="L167" s="2">
        <v>46166</v>
      </c>
    </row>
    <row r="168" spans="1:12">
      <c r="A168" t="s">
        <v>324</v>
      </c>
      <c r="B168" t="s">
        <v>325</v>
      </c>
      <c r="C168" t="s">
        <v>14</v>
      </c>
      <c r="D168" t="s">
        <v>36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 s="8">
        <v>0.76029999999999998</v>
      </c>
      <c r="K168">
        <v>60000</v>
      </c>
      <c r="L168" s="2">
        <v>45836</v>
      </c>
    </row>
    <row r="169" spans="1:12">
      <c r="A169" t="s">
        <v>326</v>
      </c>
      <c r="B169" t="s">
        <v>88</v>
      </c>
      <c r="C169" t="s">
        <v>14</v>
      </c>
      <c r="D169" t="s">
        <v>53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 s="8">
        <v>0.93049999999999999</v>
      </c>
      <c r="K169">
        <v>70000</v>
      </c>
      <c r="L169" s="2">
        <v>45775</v>
      </c>
    </row>
    <row r="170" spans="1:12">
      <c r="A170" t="s">
        <v>327</v>
      </c>
      <c r="B170" t="s">
        <v>231</v>
      </c>
      <c r="C170" t="s">
        <v>14</v>
      </c>
      <c r="D170" t="s">
        <v>32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 s="8">
        <v>0.85829999999999995</v>
      </c>
      <c r="K170">
        <v>75000</v>
      </c>
      <c r="L170" s="2">
        <v>46054</v>
      </c>
    </row>
    <row r="171" spans="1:12">
      <c r="A171" t="s">
        <v>328</v>
      </c>
      <c r="B171" t="s">
        <v>329</v>
      </c>
      <c r="C171" t="s">
        <v>14</v>
      </c>
      <c r="D171" t="s">
        <v>53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 s="8">
        <v>0.8236</v>
      </c>
      <c r="K171">
        <v>90000</v>
      </c>
      <c r="L171" s="2">
        <v>45563</v>
      </c>
    </row>
    <row r="172" spans="1:12">
      <c r="A172" t="s">
        <v>330</v>
      </c>
      <c r="B172" t="s">
        <v>331</v>
      </c>
      <c r="C172" t="s">
        <v>14</v>
      </c>
      <c r="D172" t="s">
        <v>32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 s="8">
        <v>0.90839999999999999</v>
      </c>
      <c r="K172">
        <v>60000</v>
      </c>
      <c r="L172" s="2">
        <v>45931</v>
      </c>
    </row>
    <row r="173" spans="1:12">
      <c r="A173" t="s">
        <v>332</v>
      </c>
      <c r="B173" t="s">
        <v>161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 s="8">
        <v>0.91259999999999997</v>
      </c>
      <c r="K173">
        <v>110000</v>
      </c>
      <c r="L173" s="2">
        <v>45882</v>
      </c>
    </row>
    <row r="174" spans="1:12">
      <c r="A174" t="s">
        <v>333</v>
      </c>
      <c r="B174" t="s">
        <v>313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 s="8">
        <v>0.94269999999999998</v>
      </c>
      <c r="K174">
        <v>60000</v>
      </c>
      <c r="L174" s="2">
        <v>45923</v>
      </c>
    </row>
    <row r="175" spans="1:12">
      <c r="A175" t="s">
        <v>334</v>
      </c>
      <c r="B175" t="s">
        <v>119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 s="8">
        <v>0.85809999999999997</v>
      </c>
      <c r="K175">
        <v>130000</v>
      </c>
      <c r="L175" s="2">
        <v>45622</v>
      </c>
    </row>
    <row r="176" spans="1:12">
      <c r="A176" t="s">
        <v>335</v>
      </c>
      <c r="B176" t="s">
        <v>104</v>
      </c>
      <c r="C176" t="s">
        <v>19</v>
      </c>
      <c r="D176" t="s">
        <v>53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 s="8">
        <v>0.71509999999999996</v>
      </c>
      <c r="K176">
        <v>100000</v>
      </c>
      <c r="L176" s="2">
        <v>46202</v>
      </c>
    </row>
    <row r="177" spans="1:12">
      <c r="A177" t="s">
        <v>336</v>
      </c>
      <c r="B177" t="s">
        <v>337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 s="8">
        <v>0.93520000000000003</v>
      </c>
      <c r="K177">
        <v>75000</v>
      </c>
      <c r="L177" s="2">
        <v>45702</v>
      </c>
    </row>
    <row r="178" spans="1:12">
      <c r="A178" t="s">
        <v>338</v>
      </c>
      <c r="B178" t="s">
        <v>146</v>
      </c>
      <c r="C178" t="s">
        <v>19</v>
      </c>
      <c r="D178" t="s">
        <v>36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 s="8">
        <v>0.83160000000000001</v>
      </c>
      <c r="K178">
        <v>80000</v>
      </c>
      <c r="L178" s="2">
        <v>46010</v>
      </c>
    </row>
    <row r="179" spans="1:12">
      <c r="A179" t="s">
        <v>339</v>
      </c>
      <c r="B179" t="s">
        <v>340</v>
      </c>
      <c r="C179" t="s">
        <v>14</v>
      </c>
      <c r="D179" t="s">
        <v>36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 s="8">
        <v>0.91769999999999996</v>
      </c>
      <c r="K179">
        <v>100000</v>
      </c>
      <c r="L179" s="2">
        <v>46058</v>
      </c>
    </row>
    <row r="180" spans="1:12">
      <c r="A180" t="s">
        <v>341</v>
      </c>
      <c r="B180" t="s">
        <v>342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 s="8">
        <v>0.77470000000000006</v>
      </c>
      <c r="K180">
        <v>50000</v>
      </c>
      <c r="L180" s="2">
        <v>45776</v>
      </c>
    </row>
    <row r="181" spans="1:12">
      <c r="A181" t="s">
        <v>343</v>
      </c>
      <c r="B181" t="s">
        <v>344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 s="8">
        <v>0.74880000000000002</v>
      </c>
      <c r="K181">
        <v>100000</v>
      </c>
      <c r="L181" s="2">
        <v>45627</v>
      </c>
    </row>
    <row r="182" spans="1:12">
      <c r="A182" t="s">
        <v>345</v>
      </c>
      <c r="B182" t="s">
        <v>346</v>
      </c>
      <c r="C182" t="s">
        <v>19</v>
      </c>
      <c r="D182" t="s">
        <v>53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 s="8">
        <v>0.74060000000000004</v>
      </c>
      <c r="K182">
        <v>90000</v>
      </c>
      <c r="L182" s="2">
        <v>45743</v>
      </c>
    </row>
    <row r="183" spans="1:12">
      <c r="A183" t="s">
        <v>347</v>
      </c>
      <c r="B183" t="s">
        <v>231</v>
      </c>
      <c r="C183" t="s">
        <v>14</v>
      </c>
      <c r="D183" t="s">
        <v>36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 s="8">
        <v>0.88170000000000004</v>
      </c>
      <c r="K183">
        <v>70000</v>
      </c>
      <c r="L183" s="2">
        <v>46100</v>
      </c>
    </row>
    <row r="184" spans="1:12">
      <c r="A184" t="s">
        <v>348</v>
      </c>
      <c r="B184" t="s">
        <v>235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 s="8">
        <v>0.83099999999999996</v>
      </c>
      <c r="K184">
        <v>120000</v>
      </c>
      <c r="L184" s="2">
        <v>46170</v>
      </c>
    </row>
    <row r="185" spans="1:12">
      <c r="A185" t="s">
        <v>349</v>
      </c>
      <c r="B185" t="s">
        <v>270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 s="8">
        <v>0.90920000000000001</v>
      </c>
      <c r="K185">
        <v>90000</v>
      </c>
      <c r="L185" s="2">
        <v>46191</v>
      </c>
    </row>
    <row r="186" spans="1:12">
      <c r="A186" t="s">
        <v>350</v>
      </c>
      <c r="B186" t="s">
        <v>351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 s="8">
        <v>0.89990000000000003</v>
      </c>
      <c r="K186">
        <v>60000</v>
      </c>
      <c r="L186" s="2">
        <v>45694</v>
      </c>
    </row>
    <row r="187" spans="1:12">
      <c r="A187" t="s">
        <v>352</v>
      </c>
      <c r="B187" t="s">
        <v>115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 s="8">
        <v>0.77890000000000004</v>
      </c>
      <c r="K187">
        <v>100000</v>
      </c>
      <c r="L187" s="2">
        <v>45960</v>
      </c>
    </row>
    <row r="188" spans="1:12">
      <c r="A188" t="s">
        <v>353</v>
      </c>
      <c r="B188" t="s">
        <v>354</v>
      </c>
      <c r="C188" t="s">
        <v>14</v>
      </c>
      <c r="D188" t="s">
        <v>53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 s="8">
        <v>0.77200000000000002</v>
      </c>
      <c r="K188">
        <v>80000</v>
      </c>
      <c r="L188" s="2">
        <v>45641</v>
      </c>
    </row>
    <row r="189" spans="1:12">
      <c r="A189" t="s">
        <v>355</v>
      </c>
      <c r="B189" t="s">
        <v>47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 s="8">
        <v>0.83209999999999995</v>
      </c>
      <c r="K189">
        <v>110000</v>
      </c>
      <c r="L189" s="2">
        <v>46033</v>
      </c>
    </row>
    <row r="190" spans="1:12">
      <c r="A190" t="s">
        <v>356</v>
      </c>
      <c r="B190" t="s">
        <v>357</v>
      </c>
      <c r="C190" t="s">
        <v>14</v>
      </c>
      <c r="D190" t="s">
        <v>28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 s="8">
        <v>0.90059999999999996</v>
      </c>
      <c r="K190">
        <v>85000</v>
      </c>
      <c r="L190" s="2">
        <v>45827</v>
      </c>
    </row>
    <row r="191" spans="1:12">
      <c r="A191" t="s">
        <v>358</v>
      </c>
      <c r="B191" t="s">
        <v>359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 s="8">
        <v>0.96360000000000001</v>
      </c>
      <c r="K191">
        <v>130000</v>
      </c>
      <c r="L191" s="2">
        <v>46035</v>
      </c>
    </row>
    <row r="192" spans="1:12">
      <c r="A192" t="s">
        <v>360</v>
      </c>
      <c r="B192" t="s">
        <v>270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 s="8">
        <v>0.6754</v>
      </c>
      <c r="K192">
        <v>130000</v>
      </c>
      <c r="L192" s="2">
        <v>46015</v>
      </c>
    </row>
    <row r="193" spans="1:12">
      <c r="A193" t="s">
        <v>361</v>
      </c>
      <c r="B193" t="s">
        <v>362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 s="8">
        <v>0.97640000000000005</v>
      </c>
      <c r="K193">
        <v>50000</v>
      </c>
      <c r="L193" s="2">
        <v>46230</v>
      </c>
    </row>
    <row r="194" spans="1:12">
      <c r="A194" t="s">
        <v>363</v>
      </c>
      <c r="B194" t="s">
        <v>127</v>
      </c>
      <c r="C194" t="s">
        <v>19</v>
      </c>
      <c r="D194" t="s">
        <v>15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 s="8">
        <v>0.91849999999999998</v>
      </c>
      <c r="K194">
        <v>80000</v>
      </c>
      <c r="L194" s="2">
        <v>45878</v>
      </c>
    </row>
    <row r="195" spans="1:12">
      <c r="A195" t="s">
        <v>364</v>
      </c>
      <c r="B195" t="s">
        <v>100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 s="8">
        <v>0.72919999999999996</v>
      </c>
      <c r="K195">
        <v>70000</v>
      </c>
      <c r="L195" s="2">
        <v>45775</v>
      </c>
    </row>
    <row r="196" spans="1:12">
      <c r="A196" t="s">
        <v>365</v>
      </c>
      <c r="B196" t="s">
        <v>366</v>
      </c>
      <c r="C196" t="s">
        <v>19</v>
      </c>
      <c r="D196" t="s">
        <v>53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 s="8">
        <v>0.76680000000000004</v>
      </c>
      <c r="K196">
        <v>80000</v>
      </c>
      <c r="L196" s="2">
        <v>45904</v>
      </c>
    </row>
    <row r="197" spans="1:12">
      <c r="A197" t="s">
        <v>367</v>
      </c>
      <c r="B197" t="s">
        <v>331</v>
      </c>
      <c r="C197" t="s">
        <v>14</v>
      </c>
      <c r="D197" t="s">
        <v>36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 s="8">
        <v>0.74980000000000002</v>
      </c>
      <c r="K197">
        <v>60000</v>
      </c>
      <c r="L197" s="2">
        <v>45649</v>
      </c>
    </row>
    <row r="198" spans="1:12">
      <c r="A198" t="s">
        <v>368</v>
      </c>
      <c r="B198" t="s">
        <v>283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 s="8">
        <v>0.8337</v>
      </c>
      <c r="K198">
        <v>85000</v>
      </c>
      <c r="L198" s="2">
        <v>45614</v>
      </c>
    </row>
    <row r="199" spans="1:12">
      <c r="A199" t="s">
        <v>369</v>
      </c>
      <c r="B199" t="s">
        <v>370</v>
      </c>
      <c r="C199" t="s">
        <v>14</v>
      </c>
      <c r="D199" t="s">
        <v>32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 s="8">
        <v>0.94599999999999995</v>
      </c>
      <c r="K199">
        <v>60000</v>
      </c>
      <c r="L199" s="2">
        <v>45899</v>
      </c>
    </row>
    <row r="200" spans="1:12">
      <c r="A200" t="s">
        <v>371</v>
      </c>
      <c r="B200" t="s">
        <v>372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 s="8">
        <v>0.93899999999999995</v>
      </c>
      <c r="K200">
        <v>90000</v>
      </c>
      <c r="L200" s="2">
        <v>46113</v>
      </c>
    </row>
    <row r="201" spans="1:12">
      <c r="A201" t="s">
        <v>373</v>
      </c>
      <c r="B201" t="s">
        <v>272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 s="8">
        <v>0.61180000000000001</v>
      </c>
      <c r="K201">
        <v>80000</v>
      </c>
      <c r="L201" s="2">
        <v>45909</v>
      </c>
    </row>
    <row r="202" spans="1:12">
      <c r="A202" t="s">
        <v>374</v>
      </c>
      <c r="B202" t="s">
        <v>194</v>
      </c>
      <c r="C202" t="s">
        <v>14</v>
      </c>
      <c r="D202" t="s">
        <v>15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 s="8">
        <v>0.67989999999999995</v>
      </c>
      <c r="K202">
        <v>130000</v>
      </c>
      <c r="L202" s="2">
        <v>46083</v>
      </c>
    </row>
    <row r="203" spans="1:12">
      <c r="A203" t="s">
        <v>375</v>
      </c>
      <c r="B203" t="s">
        <v>376</v>
      </c>
      <c r="C203" t="s">
        <v>19</v>
      </c>
      <c r="D203" t="s">
        <v>20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 s="8">
        <v>0.74199999999999999</v>
      </c>
      <c r="K203">
        <v>120000</v>
      </c>
      <c r="L203" s="2">
        <v>45660</v>
      </c>
    </row>
    <row r="204" spans="1:12">
      <c r="A204" t="s">
        <v>377</v>
      </c>
      <c r="B204" t="s">
        <v>378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 s="8">
        <v>0.77929999999999999</v>
      </c>
      <c r="K204">
        <v>90000</v>
      </c>
      <c r="L204" s="2">
        <v>45850</v>
      </c>
    </row>
    <row r="205" spans="1:12">
      <c r="A205" t="s">
        <v>379</v>
      </c>
      <c r="B205" t="s">
        <v>380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 s="8">
        <v>0.89129999999999998</v>
      </c>
      <c r="K205">
        <v>80000</v>
      </c>
      <c r="L205" s="2">
        <v>45965</v>
      </c>
    </row>
    <row r="206" spans="1:12">
      <c r="A206" t="s">
        <v>381</v>
      </c>
      <c r="B206" t="s">
        <v>382</v>
      </c>
      <c r="C206" t="s">
        <v>14</v>
      </c>
      <c r="D206" t="s">
        <v>53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 s="8">
        <v>0.57250000000000001</v>
      </c>
      <c r="K206">
        <v>100000</v>
      </c>
      <c r="L206" s="2">
        <v>45779</v>
      </c>
    </row>
    <row r="207" spans="1:12">
      <c r="A207" t="s">
        <v>383</v>
      </c>
      <c r="B207" t="s">
        <v>378</v>
      </c>
      <c r="C207" t="s">
        <v>14</v>
      </c>
      <c r="D207" t="s">
        <v>15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 s="8">
        <v>0.86299999999999999</v>
      </c>
      <c r="K207">
        <v>100000</v>
      </c>
      <c r="L207" s="2">
        <v>45545</v>
      </c>
    </row>
    <row r="208" spans="1:12">
      <c r="A208" t="s">
        <v>384</v>
      </c>
      <c r="B208" t="s">
        <v>129</v>
      </c>
      <c r="C208" t="s">
        <v>19</v>
      </c>
      <c r="D208" t="s">
        <v>15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 s="8">
        <v>0.97829999999999995</v>
      </c>
      <c r="K208">
        <v>60000</v>
      </c>
      <c r="L208" s="2">
        <v>45587</v>
      </c>
    </row>
    <row r="209" spans="1:12">
      <c r="A209" t="s">
        <v>385</v>
      </c>
      <c r="B209" t="s">
        <v>386</v>
      </c>
      <c r="C209" t="s">
        <v>19</v>
      </c>
      <c r="D209" t="s">
        <v>28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 s="8">
        <v>0.98960000000000004</v>
      </c>
      <c r="K209">
        <v>80000</v>
      </c>
      <c r="L209" s="2">
        <v>46185</v>
      </c>
    </row>
    <row r="210" spans="1:12">
      <c r="A210" t="s">
        <v>387</v>
      </c>
      <c r="B210" t="s">
        <v>388</v>
      </c>
      <c r="C210" t="s">
        <v>14</v>
      </c>
      <c r="D210" t="s">
        <v>53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 s="8">
        <v>0.90839999999999999</v>
      </c>
      <c r="K210">
        <v>130000</v>
      </c>
      <c r="L210" s="2">
        <v>45959</v>
      </c>
    </row>
    <row r="211" spans="1:12">
      <c r="A211" t="s">
        <v>389</v>
      </c>
      <c r="B211" t="s">
        <v>31</v>
      </c>
      <c r="C211" t="s">
        <v>19</v>
      </c>
      <c r="D211" t="s">
        <v>53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 s="8">
        <v>0.64800000000000002</v>
      </c>
      <c r="K211">
        <v>75000</v>
      </c>
      <c r="L211" s="2">
        <v>45721</v>
      </c>
    </row>
    <row r="212" spans="1:12">
      <c r="A212" t="s">
        <v>390</v>
      </c>
      <c r="B212" t="s">
        <v>161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 s="8">
        <v>0.79520000000000002</v>
      </c>
      <c r="K212">
        <v>50000</v>
      </c>
      <c r="L212" s="2">
        <v>45717</v>
      </c>
    </row>
    <row r="213" spans="1:12">
      <c r="A213" t="s">
        <v>391</v>
      </c>
      <c r="B213" t="s">
        <v>392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 s="8">
        <v>0.76449999999999996</v>
      </c>
      <c r="K213">
        <v>120000</v>
      </c>
      <c r="L213" s="2">
        <v>45563</v>
      </c>
    </row>
    <row r="214" spans="1:12">
      <c r="A214" t="s">
        <v>393</v>
      </c>
      <c r="B214" t="s">
        <v>113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 s="8">
        <v>0.84589999999999999</v>
      </c>
      <c r="K214">
        <v>130000</v>
      </c>
      <c r="L214" s="2">
        <v>46197</v>
      </c>
    </row>
    <row r="215" spans="1:12">
      <c r="A215" t="s">
        <v>394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 s="8">
        <v>0.97270000000000001</v>
      </c>
      <c r="K215">
        <v>100000</v>
      </c>
      <c r="L215" s="2">
        <v>45611</v>
      </c>
    </row>
    <row r="216" spans="1:12">
      <c r="A216" t="s">
        <v>395</v>
      </c>
      <c r="B216" t="s">
        <v>81</v>
      </c>
      <c r="C216" t="s">
        <v>19</v>
      </c>
      <c r="D216" t="s">
        <v>36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 s="8">
        <v>0.89070000000000005</v>
      </c>
      <c r="K216">
        <v>90000</v>
      </c>
      <c r="L216" s="2">
        <v>46067</v>
      </c>
    </row>
    <row r="217" spans="1:12">
      <c r="A217" t="s">
        <v>396</v>
      </c>
      <c r="B217" t="s">
        <v>92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 s="8">
        <v>0.79590000000000005</v>
      </c>
      <c r="K217">
        <v>75000</v>
      </c>
      <c r="L217" s="2">
        <v>45704</v>
      </c>
    </row>
    <row r="218" spans="1:12">
      <c r="A218" t="s">
        <v>397</v>
      </c>
      <c r="B218" t="s">
        <v>133</v>
      </c>
      <c r="C218" t="s">
        <v>14</v>
      </c>
      <c r="D218" t="s">
        <v>28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 s="8">
        <v>0.55000000000000004</v>
      </c>
      <c r="K218">
        <v>75000</v>
      </c>
      <c r="L218" s="2">
        <v>45770</v>
      </c>
    </row>
    <row r="219" spans="1:12">
      <c r="A219" t="s">
        <v>398</v>
      </c>
      <c r="B219" t="s">
        <v>274</v>
      </c>
      <c r="C219" t="s">
        <v>14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 s="8">
        <v>0.92500000000000004</v>
      </c>
      <c r="K219">
        <v>130000</v>
      </c>
      <c r="L219" s="2">
        <v>45727</v>
      </c>
    </row>
    <row r="220" spans="1:12">
      <c r="A220" t="s">
        <v>399</v>
      </c>
      <c r="B220" t="s">
        <v>372</v>
      </c>
      <c r="C220" t="s">
        <v>14</v>
      </c>
      <c r="D220" t="s">
        <v>36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 s="8">
        <v>0.86780000000000002</v>
      </c>
      <c r="K220">
        <v>120000</v>
      </c>
      <c r="L220" s="2">
        <v>46113</v>
      </c>
    </row>
    <row r="221" spans="1:12">
      <c r="A221" t="s">
        <v>400</v>
      </c>
      <c r="B221" t="s">
        <v>173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 s="8">
        <v>0.7833</v>
      </c>
      <c r="K221">
        <v>85000</v>
      </c>
      <c r="L221" s="2">
        <v>45558</v>
      </c>
    </row>
    <row r="222" spans="1:12">
      <c r="A222" t="s">
        <v>401</v>
      </c>
      <c r="B222" t="s">
        <v>331</v>
      </c>
      <c r="C222" t="s">
        <v>14</v>
      </c>
      <c r="D222" t="s">
        <v>20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 s="8">
        <v>0.71450000000000002</v>
      </c>
      <c r="K222">
        <v>75000</v>
      </c>
      <c r="L222" s="2">
        <v>45782</v>
      </c>
    </row>
    <row r="223" spans="1:12">
      <c r="A223" t="s">
        <v>402</v>
      </c>
      <c r="B223" t="s">
        <v>202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 s="8">
        <v>0.59699999999999998</v>
      </c>
      <c r="K223">
        <v>70000</v>
      </c>
      <c r="L223" s="2">
        <v>45731</v>
      </c>
    </row>
    <row r="224" spans="1:12">
      <c r="A224" t="s">
        <v>403</v>
      </c>
      <c r="B224" t="s">
        <v>404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 s="8">
        <v>0.76500000000000001</v>
      </c>
      <c r="K224">
        <v>50000</v>
      </c>
      <c r="L224" s="2">
        <v>45727</v>
      </c>
    </row>
    <row r="225" spans="1:12">
      <c r="A225" t="s">
        <v>405</v>
      </c>
      <c r="B225" t="s">
        <v>406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 s="8">
        <v>0.86499999999999999</v>
      </c>
      <c r="K225">
        <v>85000</v>
      </c>
      <c r="L225" s="2">
        <v>45671</v>
      </c>
    </row>
    <row r="226" spans="1:12">
      <c r="A226" t="s">
        <v>407</v>
      </c>
      <c r="B226" t="s">
        <v>408</v>
      </c>
      <c r="C226" t="s">
        <v>19</v>
      </c>
      <c r="D226" t="s">
        <v>53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 s="8">
        <v>0.94030000000000002</v>
      </c>
      <c r="K226">
        <v>90000</v>
      </c>
      <c r="L226" s="2">
        <v>46174</v>
      </c>
    </row>
    <row r="227" spans="1:12">
      <c r="A227" t="s">
        <v>409</v>
      </c>
      <c r="B227" t="s">
        <v>410</v>
      </c>
      <c r="C227" t="s">
        <v>14</v>
      </c>
      <c r="D227" t="s">
        <v>32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 s="8">
        <v>0.67549999999999999</v>
      </c>
      <c r="K227">
        <v>100000</v>
      </c>
      <c r="L227" s="2">
        <v>45801</v>
      </c>
    </row>
    <row r="228" spans="1:12">
      <c r="A228" t="s">
        <v>411</v>
      </c>
      <c r="B228" t="s">
        <v>412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 s="8">
        <v>0.9395</v>
      </c>
      <c r="K228">
        <v>110000</v>
      </c>
      <c r="L228" s="2">
        <v>45828</v>
      </c>
    </row>
    <row r="229" spans="1:12">
      <c r="A229" t="s">
        <v>413</v>
      </c>
      <c r="B229" t="s">
        <v>229</v>
      </c>
      <c r="C229" t="s">
        <v>19</v>
      </c>
      <c r="D229" t="s">
        <v>32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 s="8">
        <v>0.79869999999999997</v>
      </c>
      <c r="K229">
        <v>80000</v>
      </c>
      <c r="L229" s="2">
        <v>45805</v>
      </c>
    </row>
    <row r="230" spans="1:12">
      <c r="A230" t="s">
        <v>414</v>
      </c>
      <c r="B230" t="s">
        <v>415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 s="8">
        <v>0.64900000000000002</v>
      </c>
      <c r="K230">
        <v>60000</v>
      </c>
      <c r="L230" s="2">
        <v>46222</v>
      </c>
    </row>
    <row r="231" spans="1:12">
      <c r="A231" t="s">
        <v>416</v>
      </c>
      <c r="B231" t="s">
        <v>417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 s="8">
        <v>0.79449999999999998</v>
      </c>
      <c r="K231">
        <v>120000</v>
      </c>
      <c r="L231" s="2">
        <v>45773</v>
      </c>
    </row>
    <row r="232" spans="1:12">
      <c r="A232" t="s">
        <v>418</v>
      </c>
      <c r="B232" t="s">
        <v>35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 s="8">
        <v>0.94510000000000005</v>
      </c>
      <c r="K232">
        <v>110000</v>
      </c>
      <c r="L232" s="2">
        <v>45775</v>
      </c>
    </row>
    <row r="233" spans="1:12">
      <c r="A233" t="s">
        <v>419</v>
      </c>
      <c r="B233" t="s">
        <v>420</v>
      </c>
      <c r="C233" t="s">
        <v>19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 s="8">
        <v>0.75680000000000003</v>
      </c>
      <c r="K233">
        <v>85000</v>
      </c>
      <c r="L233" s="2">
        <v>45765</v>
      </c>
    </row>
    <row r="234" spans="1:12">
      <c r="A234" t="s">
        <v>421</v>
      </c>
      <c r="B234" t="s">
        <v>135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 s="8">
        <v>0.55000000000000004</v>
      </c>
      <c r="K234">
        <v>50000</v>
      </c>
      <c r="L234" s="2">
        <v>45764</v>
      </c>
    </row>
    <row r="235" spans="1:12">
      <c r="A235" t="s">
        <v>422</v>
      </c>
      <c r="B235" t="s">
        <v>423</v>
      </c>
      <c r="C235" t="s">
        <v>19</v>
      </c>
      <c r="D235" t="s">
        <v>20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 s="8">
        <v>0.90759999999999996</v>
      </c>
      <c r="K235">
        <v>85000</v>
      </c>
      <c r="L235" s="2">
        <v>45598</v>
      </c>
    </row>
    <row r="236" spans="1:12">
      <c r="A236" t="s">
        <v>424</v>
      </c>
      <c r="B236" t="s">
        <v>425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 s="8">
        <v>0.59889999999999999</v>
      </c>
      <c r="K236">
        <v>90000</v>
      </c>
      <c r="L236" s="2">
        <v>45958</v>
      </c>
    </row>
    <row r="237" spans="1:12">
      <c r="A237" t="s">
        <v>426</v>
      </c>
      <c r="B237" t="s">
        <v>301</v>
      </c>
      <c r="C237" t="s">
        <v>19</v>
      </c>
      <c r="D237" t="s">
        <v>36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 s="8">
        <v>0.69740000000000002</v>
      </c>
      <c r="K237">
        <v>120000</v>
      </c>
      <c r="L237" s="2">
        <v>45553</v>
      </c>
    </row>
    <row r="238" spans="1:12">
      <c r="A238" t="s">
        <v>427</v>
      </c>
      <c r="B238" t="s">
        <v>428</v>
      </c>
      <c r="C238" t="s">
        <v>19</v>
      </c>
      <c r="D238" t="s">
        <v>53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 s="8">
        <v>0.77359999999999995</v>
      </c>
      <c r="K238">
        <v>85000</v>
      </c>
      <c r="L238" s="2">
        <v>45694</v>
      </c>
    </row>
    <row r="239" spans="1:12">
      <c r="A239" t="s">
        <v>429</v>
      </c>
      <c r="B239" t="s">
        <v>354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 s="8">
        <v>0.91810000000000003</v>
      </c>
      <c r="K239">
        <v>85000</v>
      </c>
      <c r="L239" s="2">
        <v>45677</v>
      </c>
    </row>
    <row r="240" spans="1:12">
      <c r="A240" t="s">
        <v>430</v>
      </c>
      <c r="B240" t="s">
        <v>431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 s="8">
        <v>0.8478</v>
      </c>
      <c r="K240">
        <v>80000</v>
      </c>
      <c r="L240" s="2">
        <v>45740</v>
      </c>
    </row>
    <row r="241" spans="1:12">
      <c r="A241" t="s">
        <v>432</v>
      </c>
      <c r="B241" t="s">
        <v>433</v>
      </c>
      <c r="C241" t="s">
        <v>19</v>
      </c>
      <c r="D241" t="s">
        <v>36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 s="8">
        <v>0.93389999999999995</v>
      </c>
      <c r="K241">
        <v>80000</v>
      </c>
      <c r="L241" s="2">
        <v>46065</v>
      </c>
    </row>
    <row r="242" spans="1:12">
      <c r="A242" t="s">
        <v>434</v>
      </c>
      <c r="B242" t="s">
        <v>285</v>
      </c>
      <c r="C242" t="s">
        <v>14</v>
      </c>
      <c r="D242" t="s">
        <v>28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 s="8">
        <v>0.80379999999999996</v>
      </c>
      <c r="K242">
        <v>50000</v>
      </c>
      <c r="L242" s="2">
        <v>45955</v>
      </c>
    </row>
    <row r="243" spans="1:12">
      <c r="A243" t="s">
        <v>435</v>
      </c>
      <c r="B243" t="s">
        <v>436</v>
      </c>
      <c r="C243" t="s">
        <v>19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 s="8">
        <v>0.72509999999999997</v>
      </c>
      <c r="K243">
        <v>60000</v>
      </c>
      <c r="L243" s="2">
        <v>46229</v>
      </c>
    </row>
    <row r="244" spans="1:12">
      <c r="A244" t="s">
        <v>437</v>
      </c>
      <c r="B244" t="s">
        <v>139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 s="8">
        <v>0.87749999999999995</v>
      </c>
      <c r="K244">
        <v>110000</v>
      </c>
      <c r="L244" s="2">
        <v>45781</v>
      </c>
    </row>
    <row r="245" spans="1:12">
      <c r="A245" t="s">
        <v>438</v>
      </c>
      <c r="B245" t="s">
        <v>317</v>
      </c>
      <c r="C245" t="s">
        <v>19</v>
      </c>
      <c r="D245" t="s">
        <v>53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 s="8">
        <v>0.79690000000000005</v>
      </c>
      <c r="K245">
        <v>75000</v>
      </c>
      <c r="L245" s="2">
        <v>46185</v>
      </c>
    </row>
    <row r="246" spans="1:12">
      <c r="A246" t="s">
        <v>439</v>
      </c>
      <c r="B246" t="s">
        <v>111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 s="8">
        <v>0.76190000000000002</v>
      </c>
      <c r="K246">
        <v>120000</v>
      </c>
      <c r="L246" s="2">
        <v>45567</v>
      </c>
    </row>
    <row r="247" spans="1:12">
      <c r="A247" t="s">
        <v>440</v>
      </c>
      <c r="B247" t="s">
        <v>139</v>
      </c>
      <c r="C247" t="s">
        <v>14</v>
      </c>
      <c r="D247" t="s">
        <v>20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 s="8">
        <v>0.95069999999999999</v>
      </c>
      <c r="K247">
        <v>80000</v>
      </c>
      <c r="L247" s="2">
        <v>45888</v>
      </c>
    </row>
    <row r="248" spans="1:12">
      <c r="A248" t="s">
        <v>441</v>
      </c>
      <c r="B248" t="s">
        <v>442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 s="8">
        <v>0.84540000000000004</v>
      </c>
      <c r="K248">
        <v>130000</v>
      </c>
      <c r="L248" s="2">
        <v>46095</v>
      </c>
    </row>
    <row r="249" spans="1:12">
      <c r="A249" t="s">
        <v>443</v>
      </c>
      <c r="B249" t="s">
        <v>444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 s="8">
        <v>0.92369999999999997</v>
      </c>
      <c r="K249">
        <v>60000</v>
      </c>
      <c r="L249" s="2">
        <v>45908</v>
      </c>
    </row>
    <row r="250" spans="1:12">
      <c r="A250" t="s">
        <v>445</v>
      </c>
      <c r="B250" t="s">
        <v>301</v>
      </c>
      <c r="C250" t="s">
        <v>19</v>
      </c>
      <c r="D250" t="s">
        <v>28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 s="8">
        <v>0.87739999999999996</v>
      </c>
      <c r="K250">
        <v>70000</v>
      </c>
      <c r="L250" s="2">
        <v>46189</v>
      </c>
    </row>
    <row r="251" spans="1:12">
      <c r="A251" t="s">
        <v>446</v>
      </c>
      <c r="B251" t="s">
        <v>231</v>
      </c>
      <c r="C251" t="s">
        <v>14</v>
      </c>
      <c r="D251" t="s">
        <v>36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 s="8">
        <v>0.94869999999999999</v>
      </c>
      <c r="K251">
        <v>90000</v>
      </c>
      <c r="L251" s="2">
        <v>45756</v>
      </c>
    </row>
    <row r="252" spans="1:12">
      <c r="A252" t="s">
        <v>447</v>
      </c>
      <c r="B252" t="s">
        <v>431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 s="8">
        <v>0.83479999999999999</v>
      </c>
      <c r="K252">
        <v>110000</v>
      </c>
      <c r="L252" s="2">
        <v>45559</v>
      </c>
    </row>
    <row r="253" spans="1:12">
      <c r="A253" t="s">
        <v>448</v>
      </c>
      <c r="B253" t="s">
        <v>449</v>
      </c>
      <c r="C253" t="s">
        <v>14</v>
      </c>
      <c r="D253" t="s">
        <v>53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 s="8">
        <v>0.91059999999999997</v>
      </c>
      <c r="K253">
        <v>60000</v>
      </c>
      <c r="L253" s="2">
        <v>46077</v>
      </c>
    </row>
    <row r="254" spans="1:12">
      <c r="A254" t="s">
        <v>450</v>
      </c>
      <c r="B254" t="s">
        <v>451</v>
      </c>
      <c r="C254" t="s">
        <v>14</v>
      </c>
      <c r="D254" t="s">
        <v>53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 s="8">
        <v>0.94679999999999997</v>
      </c>
      <c r="K254">
        <v>85000</v>
      </c>
      <c r="L254" s="2">
        <v>45583</v>
      </c>
    </row>
    <row r="255" spans="1:12">
      <c r="A255" t="s">
        <v>452</v>
      </c>
      <c r="B255" t="s">
        <v>453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 s="8">
        <v>0.68320000000000003</v>
      </c>
      <c r="K255">
        <v>70000</v>
      </c>
      <c r="L255" s="2">
        <v>46071</v>
      </c>
    </row>
    <row r="256" spans="1:12">
      <c r="A256" t="s">
        <v>454</v>
      </c>
      <c r="B256" t="s">
        <v>455</v>
      </c>
      <c r="C256" t="s">
        <v>19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 s="8">
        <v>0.96360000000000001</v>
      </c>
      <c r="K256">
        <v>110000</v>
      </c>
      <c r="L256" s="2">
        <v>46049</v>
      </c>
    </row>
    <row r="257" spans="1:12">
      <c r="A257" t="s">
        <v>456</v>
      </c>
      <c r="B257" t="s">
        <v>451</v>
      </c>
      <c r="C257" t="s">
        <v>14</v>
      </c>
      <c r="D257" t="s">
        <v>15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 s="8">
        <v>0.63129999999999997</v>
      </c>
      <c r="K257">
        <v>90000</v>
      </c>
      <c r="L257" s="2">
        <v>46126</v>
      </c>
    </row>
    <row r="258" spans="1:12">
      <c r="A258" t="s">
        <v>457</v>
      </c>
      <c r="B258" t="s">
        <v>458</v>
      </c>
      <c r="C258" t="s">
        <v>19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 s="8">
        <v>0.92749999999999999</v>
      </c>
      <c r="K258">
        <v>100000</v>
      </c>
      <c r="L258" s="2">
        <v>45871</v>
      </c>
    </row>
    <row r="259" spans="1:12">
      <c r="A259" t="s">
        <v>459</v>
      </c>
      <c r="B259" t="s">
        <v>460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 s="8">
        <v>0.79310000000000003</v>
      </c>
      <c r="K259">
        <v>70000</v>
      </c>
      <c r="L259" s="2">
        <v>46162</v>
      </c>
    </row>
    <row r="260" spans="1:12">
      <c r="A260" t="s">
        <v>461</v>
      </c>
      <c r="B260" t="s">
        <v>285</v>
      </c>
      <c r="C260" t="s">
        <v>14</v>
      </c>
      <c r="D260" t="s">
        <v>28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 s="8">
        <v>0.97809999999999997</v>
      </c>
      <c r="K260">
        <v>75000</v>
      </c>
      <c r="L260" s="2">
        <v>45654</v>
      </c>
    </row>
    <row r="261" spans="1:12">
      <c r="A261" t="s">
        <v>462</v>
      </c>
      <c r="B261" t="s">
        <v>310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 s="8">
        <v>0.82909999999999995</v>
      </c>
      <c r="K261">
        <v>100000</v>
      </c>
      <c r="L261" s="2">
        <v>45840</v>
      </c>
    </row>
    <row r="262" spans="1:12">
      <c r="A262" t="s">
        <v>463</v>
      </c>
      <c r="B262" t="s">
        <v>464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 s="8">
        <v>0.83850000000000002</v>
      </c>
      <c r="K262">
        <v>75000</v>
      </c>
      <c r="L262" s="2">
        <v>45621</v>
      </c>
    </row>
    <row r="263" spans="1:12">
      <c r="A263" t="s">
        <v>465</v>
      </c>
      <c r="B263" t="s">
        <v>410</v>
      </c>
      <c r="C263" t="s">
        <v>14</v>
      </c>
      <c r="D263" t="s">
        <v>36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 s="8">
        <v>0.92810000000000004</v>
      </c>
      <c r="K263">
        <v>100000</v>
      </c>
      <c r="L263" s="2">
        <v>46072</v>
      </c>
    </row>
    <row r="264" spans="1:12">
      <c r="A264" t="s">
        <v>466</v>
      </c>
      <c r="B264" t="s">
        <v>467</v>
      </c>
      <c r="C264" t="s">
        <v>14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 s="8">
        <v>0.82140000000000002</v>
      </c>
      <c r="K264">
        <v>60000</v>
      </c>
      <c r="L264" s="2">
        <v>46035</v>
      </c>
    </row>
    <row r="265" spans="1:12">
      <c r="A265" t="s">
        <v>468</v>
      </c>
      <c r="B265" t="s">
        <v>469</v>
      </c>
      <c r="C265" t="s">
        <v>19</v>
      </c>
      <c r="D265" t="s">
        <v>53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 s="8">
        <v>0.93889999999999996</v>
      </c>
      <c r="K265">
        <v>75000</v>
      </c>
      <c r="L265" s="2">
        <v>46100</v>
      </c>
    </row>
    <row r="266" spans="1:12">
      <c r="A266" t="s">
        <v>470</v>
      </c>
      <c r="B266" t="s">
        <v>471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 s="8">
        <v>0.98360000000000003</v>
      </c>
      <c r="K266">
        <v>60000</v>
      </c>
      <c r="L266" s="2">
        <v>46071</v>
      </c>
    </row>
    <row r="267" spans="1:12">
      <c r="A267" t="s">
        <v>472</v>
      </c>
      <c r="B267" t="s">
        <v>98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 s="8">
        <v>0.98909999999999998</v>
      </c>
      <c r="K267">
        <v>50000</v>
      </c>
      <c r="L267" s="2">
        <v>45751</v>
      </c>
    </row>
    <row r="268" spans="1:12">
      <c r="A268" t="s">
        <v>473</v>
      </c>
      <c r="B268" t="s">
        <v>474</v>
      </c>
      <c r="C268" t="s">
        <v>14</v>
      </c>
      <c r="D268" t="s">
        <v>15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 s="8">
        <v>0.9153</v>
      </c>
      <c r="K268">
        <v>70000</v>
      </c>
      <c r="L268" s="2">
        <v>45583</v>
      </c>
    </row>
    <row r="269" spans="1:12">
      <c r="A269" t="s">
        <v>475</v>
      </c>
      <c r="B269" t="s">
        <v>88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 s="8">
        <v>0.67179999999999995</v>
      </c>
      <c r="K269">
        <v>85000</v>
      </c>
      <c r="L269" s="2">
        <v>46186</v>
      </c>
    </row>
    <row r="270" spans="1:12">
      <c r="A270" t="s">
        <v>476</v>
      </c>
      <c r="B270" t="s">
        <v>477</v>
      </c>
      <c r="C270" t="s">
        <v>19</v>
      </c>
      <c r="D270" t="s">
        <v>53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 s="8">
        <v>0.81479999999999997</v>
      </c>
      <c r="K270">
        <v>60000</v>
      </c>
      <c r="L270" s="2">
        <v>45880</v>
      </c>
    </row>
    <row r="271" spans="1:12">
      <c r="A271" t="s">
        <v>478</v>
      </c>
      <c r="B271" t="s">
        <v>479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 s="8">
        <v>0.55000000000000004</v>
      </c>
      <c r="K271">
        <v>60000</v>
      </c>
      <c r="L271" s="2">
        <v>45602</v>
      </c>
    </row>
    <row r="272" spans="1:12">
      <c r="A272" t="s">
        <v>480</v>
      </c>
      <c r="B272" t="s">
        <v>88</v>
      </c>
      <c r="C272" t="s">
        <v>14</v>
      </c>
      <c r="D272" t="s">
        <v>53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 s="8">
        <v>0.83330000000000004</v>
      </c>
      <c r="K272">
        <v>120000</v>
      </c>
      <c r="L272" s="2">
        <v>46184</v>
      </c>
    </row>
    <row r="273" spans="1:12">
      <c r="A273" t="s">
        <v>481</v>
      </c>
      <c r="B273" t="s">
        <v>482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 s="8">
        <v>0.84279999999999999</v>
      </c>
      <c r="K273">
        <v>85000</v>
      </c>
      <c r="L273" s="2">
        <v>46231</v>
      </c>
    </row>
    <row r="274" spans="1:12">
      <c r="A274" t="s">
        <v>483</v>
      </c>
      <c r="B274" t="s">
        <v>135</v>
      </c>
      <c r="C274" t="s">
        <v>14</v>
      </c>
      <c r="D274" t="s">
        <v>53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 s="8">
        <v>0.55000000000000004</v>
      </c>
      <c r="K274">
        <v>100000</v>
      </c>
      <c r="L274" s="2">
        <v>45847</v>
      </c>
    </row>
    <row r="275" spans="1:12">
      <c r="A275" t="s">
        <v>484</v>
      </c>
      <c r="B275" t="s">
        <v>485</v>
      </c>
      <c r="C275" t="s">
        <v>19</v>
      </c>
      <c r="D275" t="s">
        <v>36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 s="8">
        <v>0.62019999999999997</v>
      </c>
      <c r="K275">
        <v>100000</v>
      </c>
      <c r="L275" s="2">
        <v>46075</v>
      </c>
    </row>
    <row r="276" spans="1:12">
      <c r="A276" t="s">
        <v>486</v>
      </c>
      <c r="B276" t="s">
        <v>155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 s="8">
        <v>0.88829999999999998</v>
      </c>
      <c r="K276">
        <v>60000</v>
      </c>
      <c r="L276" s="2">
        <v>45561</v>
      </c>
    </row>
    <row r="277" spans="1:12">
      <c r="A277" t="s">
        <v>487</v>
      </c>
      <c r="B277" t="s">
        <v>453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 s="8">
        <v>0.60209999999999997</v>
      </c>
      <c r="K277">
        <v>90000</v>
      </c>
      <c r="L277" s="2">
        <v>45601</v>
      </c>
    </row>
    <row r="278" spans="1:12">
      <c r="A278" t="s">
        <v>488</v>
      </c>
      <c r="B278" t="s">
        <v>382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 s="8">
        <v>0.83730000000000004</v>
      </c>
      <c r="K278">
        <v>120000</v>
      </c>
      <c r="L278" s="2">
        <v>45729</v>
      </c>
    </row>
    <row r="279" spans="1:12">
      <c r="A279" t="s">
        <v>489</v>
      </c>
      <c r="B279" t="s">
        <v>490</v>
      </c>
      <c r="C279" t="s">
        <v>19</v>
      </c>
      <c r="D279" t="s">
        <v>53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 s="8">
        <v>0.85229999999999995</v>
      </c>
      <c r="K279">
        <v>80000</v>
      </c>
      <c r="L279" s="2">
        <v>45995</v>
      </c>
    </row>
    <row r="280" spans="1:12">
      <c r="A280" t="s">
        <v>491</v>
      </c>
      <c r="B280" t="s">
        <v>492</v>
      </c>
      <c r="C280" t="s">
        <v>14</v>
      </c>
      <c r="D280" t="s">
        <v>53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 s="8">
        <v>0.82589999999999997</v>
      </c>
      <c r="K280">
        <v>120000</v>
      </c>
      <c r="L280" s="2">
        <v>45629</v>
      </c>
    </row>
    <row r="281" spans="1:12">
      <c r="A281" t="s">
        <v>493</v>
      </c>
      <c r="B281" t="s">
        <v>494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 s="8">
        <v>0.88490000000000002</v>
      </c>
      <c r="K281">
        <v>130000</v>
      </c>
      <c r="L281" s="2">
        <v>45559</v>
      </c>
    </row>
    <row r="282" spans="1:12">
      <c r="A282" t="s">
        <v>495</v>
      </c>
      <c r="B282" t="s">
        <v>496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 s="8">
        <v>0.95240000000000002</v>
      </c>
      <c r="K282">
        <v>90000</v>
      </c>
      <c r="L282" s="2">
        <v>46004</v>
      </c>
    </row>
    <row r="283" spans="1:12">
      <c r="A283" t="s">
        <v>497</v>
      </c>
      <c r="B283" t="s">
        <v>453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 s="8">
        <v>0.74180000000000001</v>
      </c>
      <c r="K283">
        <v>60000</v>
      </c>
      <c r="L283" s="2">
        <v>46075</v>
      </c>
    </row>
    <row r="284" spans="1:12">
      <c r="A284" t="s">
        <v>498</v>
      </c>
      <c r="B284" t="s">
        <v>146</v>
      </c>
      <c r="C284" t="s">
        <v>19</v>
      </c>
      <c r="D284" t="s">
        <v>20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 s="8">
        <v>0.95789999999999997</v>
      </c>
      <c r="K284">
        <v>90000</v>
      </c>
      <c r="L284" s="2">
        <v>46053</v>
      </c>
    </row>
    <row r="285" spans="1:12">
      <c r="A285" t="s">
        <v>499</v>
      </c>
      <c r="B285" t="s">
        <v>500</v>
      </c>
      <c r="C285" t="s">
        <v>14</v>
      </c>
      <c r="D285" t="s">
        <v>53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 s="8">
        <v>0.71940000000000004</v>
      </c>
      <c r="K285">
        <v>120000</v>
      </c>
      <c r="L285" s="2">
        <v>46095</v>
      </c>
    </row>
    <row r="286" spans="1:12">
      <c r="A286" t="s">
        <v>501</v>
      </c>
      <c r="B286" t="s">
        <v>288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 s="8">
        <v>0.91659999999999997</v>
      </c>
      <c r="K286">
        <v>90000</v>
      </c>
      <c r="L286" s="2">
        <v>46097</v>
      </c>
    </row>
    <row r="287" spans="1:12">
      <c r="A287" t="s">
        <v>502</v>
      </c>
      <c r="B287" t="s">
        <v>433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 s="8">
        <v>0.83550000000000002</v>
      </c>
      <c r="K287">
        <v>110000</v>
      </c>
      <c r="L287" s="2">
        <v>45957</v>
      </c>
    </row>
    <row r="288" spans="1:12">
      <c r="A288" t="s">
        <v>503</v>
      </c>
      <c r="B288" t="s">
        <v>370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 s="8">
        <v>0.67620000000000002</v>
      </c>
      <c r="K288">
        <v>85000</v>
      </c>
      <c r="L288" s="2">
        <v>45899</v>
      </c>
    </row>
    <row r="289" spans="1:12">
      <c r="A289" t="s">
        <v>504</v>
      </c>
      <c r="B289" t="s">
        <v>55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 s="8">
        <v>0.59109999999999996</v>
      </c>
      <c r="K289">
        <v>80000</v>
      </c>
      <c r="L289" s="2">
        <v>46135</v>
      </c>
    </row>
    <row r="290" spans="1:12">
      <c r="A290" t="s">
        <v>505</v>
      </c>
      <c r="B290" t="s">
        <v>506</v>
      </c>
      <c r="C290" t="s">
        <v>19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 s="8">
        <v>0.91249999999999998</v>
      </c>
      <c r="K290">
        <v>130000</v>
      </c>
      <c r="L290" s="2">
        <v>45779</v>
      </c>
    </row>
    <row r="291" spans="1:12">
      <c r="A291" t="s">
        <v>507</v>
      </c>
      <c r="B291" t="s">
        <v>161</v>
      </c>
      <c r="C291" t="s">
        <v>14</v>
      </c>
      <c r="D291" t="s">
        <v>53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 s="8">
        <v>0.84230000000000005</v>
      </c>
      <c r="K291">
        <v>60000</v>
      </c>
      <c r="L291" s="2">
        <v>45604</v>
      </c>
    </row>
    <row r="292" spans="1:12">
      <c r="A292" t="s">
        <v>508</v>
      </c>
      <c r="B292" t="s">
        <v>509</v>
      </c>
      <c r="C292" t="s">
        <v>19</v>
      </c>
      <c r="D292" t="s">
        <v>36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 s="8">
        <v>0.83460000000000001</v>
      </c>
      <c r="K292">
        <v>80000</v>
      </c>
      <c r="L292" s="2">
        <v>46062</v>
      </c>
    </row>
    <row r="293" spans="1:12">
      <c r="A293" t="s">
        <v>510</v>
      </c>
      <c r="B293" t="s">
        <v>511</v>
      </c>
      <c r="C293" t="s">
        <v>14</v>
      </c>
      <c r="D293" t="s">
        <v>53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 s="8">
        <v>0.88360000000000005</v>
      </c>
      <c r="K293">
        <v>60000</v>
      </c>
      <c r="L293" s="2">
        <v>45729</v>
      </c>
    </row>
    <row r="294" spans="1:12">
      <c r="A294" t="s">
        <v>512</v>
      </c>
      <c r="B294" t="s">
        <v>113</v>
      </c>
      <c r="C294" t="s">
        <v>19</v>
      </c>
      <c r="D294" t="s">
        <v>20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 s="8">
        <v>0.89810000000000001</v>
      </c>
      <c r="K294">
        <v>100000</v>
      </c>
      <c r="L294" s="2">
        <v>46221</v>
      </c>
    </row>
    <row r="295" spans="1:12">
      <c r="A295" t="s">
        <v>513</v>
      </c>
      <c r="B295" t="s">
        <v>514</v>
      </c>
      <c r="C295" t="s">
        <v>14</v>
      </c>
      <c r="D295" t="s">
        <v>36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 s="8">
        <v>0.92490000000000006</v>
      </c>
      <c r="K295">
        <v>130000</v>
      </c>
      <c r="L295" s="2">
        <v>45825</v>
      </c>
    </row>
    <row r="296" spans="1:12">
      <c r="A296" t="s">
        <v>515</v>
      </c>
      <c r="B296" t="s">
        <v>516</v>
      </c>
      <c r="C296" t="s">
        <v>19</v>
      </c>
      <c r="D296" t="s">
        <v>15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 s="8">
        <v>0.87549999999999994</v>
      </c>
      <c r="K296">
        <v>130000</v>
      </c>
      <c r="L296" s="2">
        <v>46132</v>
      </c>
    </row>
    <row r="297" spans="1:12">
      <c r="A297" t="s">
        <v>517</v>
      </c>
      <c r="B297" t="s">
        <v>518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 s="8">
        <v>0.94489999999999996</v>
      </c>
      <c r="K297">
        <v>70000</v>
      </c>
      <c r="L297" s="2">
        <v>45565</v>
      </c>
    </row>
    <row r="298" spans="1:12">
      <c r="A298" t="s">
        <v>519</v>
      </c>
      <c r="B298" t="s">
        <v>191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 s="8">
        <v>0.71930000000000005</v>
      </c>
      <c r="K298">
        <v>110000</v>
      </c>
      <c r="L298" s="2">
        <v>45997</v>
      </c>
    </row>
    <row r="299" spans="1:12">
      <c r="A299" t="s">
        <v>520</v>
      </c>
      <c r="B299" t="s">
        <v>521</v>
      </c>
      <c r="C299" t="s">
        <v>14</v>
      </c>
      <c r="D299" t="s">
        <v>36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 s="8">
        <v>0.78539999999999999</v>
      </c>
      <c r="K299">
        <v>120000</v>
      </c>
      <c r="L299" s="2">
        <v>45849</v>
      </c>
    </row>
    <row r="300" spans="1:12">
      <c r="A300" t="s">
        <v>522</v>
      </c>
      <c r="B300" t="s">
        <v>460</v>
      </c>
      <c r="C300" t="s">
        <v>14</v>
      </c>
      <c r="D300" t="s">
        <v>53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 s="8">
        <v>0.75690000000000002</v>
      </c>
      <c r="K300">
        <v>120000</v>
      </c>
      <c r="L300" s="2">
        <v>45859</v>
      </c>
    </row>
    <row r="301" spans="1:12">
      <c r="A301" t="s">
        <v>523</v>
      </c>
      <c r="B301" t="s">
        <v>83</v>
      </c>
      <c r="C301" t="s">
        <v>14</v>
      </c>
      <c r="D301" t="s">
        <v>36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 s="8">
        <v>0.69230000000000003</v>
      </c>
      <c r="K301">
        <v>85000</v>
      </c>
      <c r="L301" s="2">
        <v>45721</v>
      </c>
    </row>
    <row r="302" spans="1:12">
      <c r="A302" t="s">
        <v>524</v>
      </c>
      <c r="B302" t="s">
        <v>274</v>
      </c>
      <c r="C302" t="s">
        <v>14</v>
      </c>
      <c r="D302" t="s">
        <v>36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 s="8">
        <v>0.97560000000000002</v>
      </c>
      <c r="K302">
        <v>60000</v>
      </c>
      <c r="L302" s="2">
        <v>46215</v>
      </c>
    </row>
    <row r="303" spans="1:12">
      <c r="A303" t="s">
        <v>525</v>
      </c>
      <c r="B303" t="s">
        <v>526</v>
      </c>
      <c r="C303" t="s">
        <v>19</v>
      </c>
      <c r="D303" t="s">
        <v>53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 s="8">
        <v>0.81740000000000002</v>
      </c>
      <c r="K303">
        <v>85000</v>
      </c>
      <c r="L303" s="2">
        <v>45810</v>
      </c>
    </row>
    <row r="304" spans="1:12">
      <c r="A304" t="s">
        <v>527</v>
      </c>
      <c r="B304" t="s">
        <v>528</v>
      </c>
      <c r="C304" t="s">
        <v>14</v>
      </c>
      <c r="D304" t="s">
        <v>53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 s="8">
        <v>0.7198</v>
      </c>
      <c r="K304">
        <v>110000</v>
      </c>
      <c r="L304" s="2">
        <v>46131</v>
      </c>
    </row>
    <row r="305" spans="1:12">
      <c r="A305" t="s">
        <v>529</v>
      </c>
      <c r="B305" t="s">
        <v>61</v>
      </c>
      <c r="C305" t="s">
        <v>19</v>
      </c>
      <c r="D305" t="s">
        <v>20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 s="8">
        <v>0.7026</v>
      </c>
      <c r="K305">
        <v>90000</v>
      </c>
      <c r="L305" s="2">
        <v>45833</v>
      </c>
    </row>
    <row r="306" spans="1:12">
      <c r="A306" t="s">
        <v>530</v>
      </c>
      <c r="B306" t="s">
        <v>125</v>
      </c>
      <c r="C306" t="s">
        <v>19</v>
      </c>
      <c r="D306" t="s">
        <v>53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 s="8">
        <v>0.84230000000000005</v>
      </c>
      <c r="K306">
        <v>80000</v>
      </c>
      <c r="L306" s="2">
        <v>45569</v>
      </c>
    </row>
    <row r="307" spans="1:12">
      <c r="A307" t="s">
        <v>531</v>
      </c>
      <c r="B307" t="s">
        <v>532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 s="8">
        <v>0.55000000000000004</v>
      </c>
      <c r="K307">
        <v>70000</v>
      </c>
      <c r="L307" s="2">
        <v>46151</v>
      </c>
    </row>
    <row r="308" spans="1:12">
      <c r="A308" t="s">
        <v>533</v>
      </c>
      <c r="B308" t="s">
        <v>431</v>
      </c>
      <c r="C308" t="s">
        <v>14</v>
      </c>
      <c r="D308" t="s">
        <v>53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 s="8">
        <v>0.79059999999999997</v>
      </c>
      <c r="K308">
        <v>100000</v>
      </c>
      <c r="L308" s="2">
        <v>45665</v>
      </c>
    </row>
    <row r="309" spans="1:12">
      <c r="A309" t="s">
        <v>534</v>
      </c>
      <c r="B309" t="s">
        <v>535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 s="8">
        <v>0.74919999999999998</v>
      </c>
      <c r="K309">
        <v>80000</v>
      </c>
      <c r="L309" s="2">
        <v>45725</v>
      </c>
    </row>
    <row r="310" spans="1:12">
      <c r="A310" t="s">
        <v>536</v>
      </c>
      <c r="B310" t="s">
        <v>444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 s="8">
        <v>0.77869999999999995</v>
      </c>
      <c r="K310">
        <v>85000</v>
      </c>
      <c r="L310" s="2">
        <v>46138</v>
      </c>
    </row>
    <row r="311" spans="1:12">
      <c r="A311" t="s">
        <v>537</v>
      </c>
      <c r="B311" t="s">
        <v>372</v>
      </c>
      <c r="C311" t="s">
        <v>14</v>
      </c>
      <c r="D311" t="s">
        <v>53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 s="8">
        <v>0.64239999999999997</v>
      </c>
      <c r="K311">
        <v>130000</v>
      </c>
      <c r="L311" s="2">
        <v>46161</v>
      </c>
    </row>
    <row r="312" spans="1:12">
      <c r="A312" t="s">
        <v>538</v>
      </c>
      <c r="B312" t="s">
        <v>539</v>
      </c>
      <c r="C312" t="s">
        <v>19</v>
      </c>
      <c r="D312" t="s">
        <v>53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 s="8">
        <v>0.91190000000000004</v>
      </c>
      <c r="K312">
        <v>50000</v>
      </c>
      <c r="L312" s="2">
        <v>46177</v>
      </c>
    </row>
    <row r="313" spans="1:12">
      <c r="A313" t="s">
        <v>540</v>
      </c>
      <c r="B313" t="s">
        <v>541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 s="8">
        <v>0.8952</v>
      </c>
      <c r="K313">
        <v>70000</v>
      </c>
      <c r="L313" s="2">
        <v>45834</v>
      </c>
    </row>
    <row r="314" spans="1:12">
      <c r="A314" t="s">
        <v>542</v>
      </c>
      <c r="B314" t="s">
        <v>543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 s="8">
        <v>0.88970000000000005</v>
      </c>
      <c r="K314">
        <v>130000</v>
      </c>
      <c r="L314" s="2">
        <v>46065</v>
      </c>
    </row>
    <row r="315" spans="1:12">
      <c r="A315" t="s">
        <v>544</v>
      </c>
      <c r="B315" t="s">
        <v>511</v>
      </c>
      <c r="C315" t="s">
        <v>14</v>
      </c>
      <c r="D315" t="s">
        <v>53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 s="8">
        <v>0.78210000000000002</v>
      </c>
      <c r="K315">
        <v>130000</v>
      </c>
      <c r="L315" s="2">
        <v>45765</v>
      </c>
    </row>
    <row r="316" spans="1:12">
      <c r="A316" t="s">
        <v>545</v>
      </c>
      <c r="B316" t="s">
        <v>246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 s="8">
        <v>0.78939999999999999</v>
      </c>
      <c r="K316">
        <v>75000</v>
      </c>
      <c r="L316" s="2">
        <v>46054</v>
      </c>
    </row>
    <row r="317" spans="1:12">
      <c r="A317" t="s">
        <v>546</v>
      </c>
      <c r="B317" t="s">
        <v>256</v>
      </c>
      <c r="C317" t="s">
        <v>19</v>
      </c>
      <c r="D317" t="s">
        <v>28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 s="8">
        <v>0.60060000000000002</v>
      </c>
      <c r="K317">
        <v>130000</v>
      </c>
      <c r="L317" s="2">
        <v>45887</v>
      </c>
    </row>
    <row r="318" spans="1:12">
      <c r="A318" t="s">
        <v>547</v>
      </c>
      <c r="B318" t="s">
        <v>423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 s="8">
        <v>0.86739999999999995</v>
      </c>
      <c r="K318">
        <v>70000</v>
      </c>
      <c r="L318" s="2">
        <v>45572</v>
      </c>
    </row>
    <row r="319" spans="1:12">
      <c r="A319" t="s">
        <v>548</v>
      </c>
      <c r="B319" t="s">
        <v>539</v>
      </c>
      <c r="C319" t="s">
        <v>19</v>
      </c>
      <c r="D319" t="s">
        <v>36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 s="8">
        <v>0.98650000000000004</v>
      </c>
      <c r="K319">
        <v>50000</v>
      </c>
      <c r="L319" s="2">
        <v>45828</v>
      </c>
    </row>
    <row r="320" spans="1:12">
      <c r="A320" t="s">
        <v>549</v>
      </c>
      <c r="B320" t="s">
        <v>550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 s="8">
        <v>0.87139999999999995</v>
      </c>
      <c r="K320">
        <v>75000</v>
      </c>
      <c r="L320" s="2">
        <v>45863</v>
      </c>
    </row>
    <row r="321" spans="1:12">
      <c r="A321" t="s">
        <v>551</v>
      </c>
      <c r="B321" t="s">
        <v>552</v>
      </c>
      <c r="C321" t="s">
        <v>19</v>
      </c>
      <c r="D321" t="s">
        <v>20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 s="8">
        <v>0.96179999999999999</v>
      </c>
      <c r="K321">
        <v>85000</v>
      </c>
      <c r="L321" s="2">
        <v>45716</v>
      </c>
    </row>
    <row r="322" spans="1:12">
      <c r="A322" t="s">
        <v>553</v>
      </c>
      <c r="B322" t="s">
        <v>175</v>
      </c>
      <c r="C322" t="s">
        <v>14</v>
      </c>
      <c r="D322" t="s">
        <v>32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 s="8">
        <v>0.55000000000000004</v>
      </c>
      <c r="K322">
        <v>50000</v>
      </c>
      <c r="L322" s="2">
        <v>45798</v>
      </c>
    </row>
    <row r="323" spans="1:12">
      <c r="A323" t="s">
        <v>554</v>
      </c>
      <c r="B323" t="s">
        <v>555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 s="8">
        <v>0.67400000000000004</v>
      </c>
      <c r="K323">
        <v>60000</v>
      </c>
      <c r="L323" s="2">
        <v>45887</v>
      </c>
    </row>
    <row r="324" spans="1:12">
      <c r="A324" t="s">
        <v>556</v>
      </c>
      <c r="B324" t="s">
        <v>557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 s="8">
        <v>0.8901</v>
      </c>
      <c r="K324">
        <v>110000</v>
      </c>
      <c r="L324" s="2">
        <v>45570</v>
      </c>
    </row>
    <row r="325" spans="1:12">
      <c r="A325" t="s">
        <v>558</v>
      </c>
      <c r="B325" t="s">
        <v>182</v>
      </c>
      <c r="C325" t="s">
        <v>19</v>
      </c>
      <c r="D325" t="s">
        <v>36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 s="8">
        <v>0.66690000000000005</v>
      </c>
      <c r="K325">
        <v>90000</v>
      </c>
      <c r="L325" s="2">
        <v>45642</v>
      </c>
    </row>
    <row r="326" spans="1:12">
      <c r="A326" t="s">
        <v>559</v>
      </c>
      <c r="B326" t="s">
        <v>79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 s="8">
        <v>0.92649999999999999</v>
      </c>
      <c r="K326">
        <v>90000</v>
      </c>
      <c r="L326" s="2">
        <v>46072</v>
      </c>
    </row>
    <row r="327" spans="1:12">
      <c r="A327" t="s">
        <v>560</v>
      </c>
      <c r="B327" t="s">
        <v>69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 s="8">
        <v>0.9254</v>
      </c>
      <c r="K327">
        <v>130000</v>
      </c>
      <c r="L327" s="2">
        <v>45782</v>
      </c>
    </row>
    <row r="328" spans="1:12">
      <c r="A328" t="s">
        <v>561</v>
      </c>
      <c r="B328" t="s">
        <v>562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 s="8">
        <v>0.89339999999999997</v>
      </c>
      <c r="K328">
        <v>70000</v>
      </c>
      <c r="L328" s="2">
        <v>45961</v>
      </c>
    </row>
    <row r="329" spans="1:12">
      <c r="A329" t="s">
        <v>563</v>
      </c>
      <c r="B329" t="s">
        <v>564</v>
      </c>
      <c r="C329" t="s">
        <v>14</v>
      </c>
      <c r="D329" t="s">
        <v>53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 s="8">
        <v>0.80220000000000002</v>
      </c>
      <c r="K329">
        <v>120000</v>
      </c>
      <c r="L329" s="2">
        <v>45932</v>
      </c>
    </row>
    <row r="330" spans="1:12">
      <c r="A330" t="s">
        <v>565</v>
      </c>
      <c r="B330" t="s">
        <v>382</v>
      </c>
      <c r="C330" t="s">
        <v>14</v>
      </c>
      <c r="D330" t="s">
        <v>53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 s="8">
        <v>0.67269999999999996</v>
      </c>
      <c r="K330">
        <v>75000</v>
      </c>
      <c r="L330" s="2">
        <v>45921</v>
      </c>
    </row>
    <row r="331" spans="1:12">
      <c r="A331" t="s">
        <v>566</v>
      </c>
      <c r="B331" t="s">
        <v>552</v>
      </c>
      <c r="C331" t="s">
        <v>19</v>
      </c>
      <c r="D331" t="s">
        <v>36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 s="8">
        <v>0.85360000000000003</v>
      </c>
      <c r="K331">
        <v>130000</v>
      </c>
      <c r="L331" s="2">
        <v>45825</v>
      </c>
    </row>
    <row r="332" spans="1:12">
      <c r="A332" t="s">
        <v>567</v>
      </c>
      <c r="B332" t="s">
        <v>270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 s="8">
        <v>0.78349999999999997</v>
      </c>
      <c r="K332">
        <v>110000</v>
      </c>
      <c r="L332" s="2">
        <v>45874</v>
      </c>
    </row>
    <row r="333" spans="1:12">
      <c r="A333" t="s">
        <v>568</v>
      </c>
      <c r="B333" t="s">
        <v>453</v>
      </c>
      <c r="C333" t="s">
        <v>14</v>
      </c>
      <c r="D333" t="s">
        <v>15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 s="8">
        <v>0.83299999999999996</v>
      </c>
      <c r="K333">
        <v>70000</v>
      </c>
      <c r="L333" s="2">
        <v>46112</v>
      </c>
    </row>
    <row r="334" spans="1:12">
      <c r="A334" t="s">
        <v>569</v>
      </c>
      <c r="B334" t="s">
        <v>220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 s="8">
        <v>0.95879999999999999</v>
      </c>
      <c r="K334">
        <v>70000</v>
      </c>
      <c r="L334" s="2">
        <v>46211</v>
      </c>
    </row>
    <row r="335" spans="1:12">
      <c r="A335" t="s">
        <v>570</v>
      </c>
      <c r="B335" t="s">
        <v>111</v>
      </c>
      <c r="C335" t="s">
        <v>19</v>
      </c>
      <c r="D335" t="s">
        <v>53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 s="8">
        <v>0.95950000000000002</v>
      </c>
      <c r="K335">
        <v>85000</v>
      </c>
      <c r="L335" s="2">
        <v>45715</v>
      </c>
    </row>
    <row r="336" spans="1:12">
      <c r="A336" t="s">
        <v>571</v>
      </c>
      <c r="B336" t="s">
        <v>320</v>
      </c>
      <c r="C336" t="s">
        <v>14</v>
      </c>
      <c r="D336" t="s">
        <v>53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 s="8">
        <v>0.93059999999999998</v>
      </c>
      <c r="K336">
        <v>85000</v>
      </c>
      <c r="L336" s="2">
        <v>46004</v>
      </c>
    </row>
    <row r="337" spans="1:12">
      <c r="A337" t="s">
        <v>572</v>
      </c>
      <c r="B337" t="s">
        <v>477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 s="8">
        <v>0.84789999999999999</v>
      </c>
      <c r="K337">
        <v>70000</v>
      </c>
      <c r="L337" s="2">
        <v>46214</v>
      </c>
    </row>
    <row r="338" spans="1:12">
      <c r="A338" t="s">
        <v>573</v>
      </c>
      <c r="B338" t="s">
        <v>485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 s="8">
        <v>0.8589</v>
      </c>
      <c r="K338">
        <v>70000</v>
      </c>
      <c r="L338" s="2">
        <v>45541</v>
      </c>
    </row>
    <row r="339" spans="1:12">
      <c r="A339" t="s">
        <v>574</v>
      </c>
      <c r="B339" t="s">
        <v>575</v>
      </c>
      <c r="C339" t="s">
        <v>14</v>
      </c>
      <c r="D339" t="s">
        <v>36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 s="8">
        <v>0.73309999999999997</v>
      </c>
      <c r="K339">
        <v>120000</v>
      </c>
      <c r="L339" s="2">
        <v>46085</v>
      </c>
    </row>
    <row r="340" spans="1:12">
      <c r="A340" t="s">
        <v>576</v>
      </c>
      <c r="B340" t="s">
        <v>170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 s="8">
        <v>0.80679999999999996</v>
      </c>
      <c r="K340">
        <v>110000</v>
      </c>
      <c r="L340" s="2">
        <v>45883</v>
      </c>
    </row>
    <row r="341" spans="1:12">
      <c r="A341" t="s">
        <v>577</v>
      </c>
      <c r="B341" t="s">
        <v>578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 s="8">
        <v>0.95840000000000003</v>
      </c>
      <c r="K341">
        <v>70000</v>
      </c>
      <c r="L341" s="2">
        <v>46213</v>
      </c>
    </row>
    <row r="342" spans="1:12">
      <c r="A342" t="s">
        <v>579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 s="8">
        <v>0.93799999999999994</v>
      </c>
      <c r="K342">
        <v>100000</v>
      </c>
      <c r="L342" s="2">
        <v>45940</v>
      </c>
    </row>
    <row r="343" spans="1:12">
      <c r="A343" t="s">
        <v>580</v>
      </c>
      <c r="B343" t="s">
        <v>581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 s="8">
        <v>0.81640000000000001</v>
      </c>
      <c r="K343">
        <v>60000</v>
      </c>
      <c r="L343" s="2">
        <v>46122</v>
      </c>
    </row>
    <row r="344" spans="1:12">
      <c r="A344" t="s">
        <v>582</v>
      </c>
      <c r="B344" t="s">
        <v>243</v>
      </c>
      <c r="C344" t="s">
        <v>19</v>
      </c>
      <c r="D344" t="s">
        <v>20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 s="8">
        <v>0.67269999999999996</v>
      </c>
      <c r="K344">
        <v>80000</v>
      </c>
      <c r="L344" s="2">
        <v>45652</v>
      </c>
    </row>
    <row r="345" spans="1:12">
      <c r="A345" t="s">
        <v>583</v>
      </c>
      <c r="B345" t="s">
        <v>539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 s="8">
        <v>0.82779999999999998</v>
      </c>
      <c r="K345">
        <v>50000</v>
      </c>
      <c r="L345" s="2">
        <v>45635</v>
      </c>
    </row>
    <row r="346" spans="1:12">
      <c r="A346" t="s">
        <v>584</v>
      </c>
      <c r="B346" t="s">
        <v>585</v>
      </c>
      <c r="C346" t="s">
        <v>19</v>
      </c>
      <c r="D346" t="s">
        <v>53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 s="8">
        <v>0.79369999999999996</v>
      </c>
      <c r="K346">
        <v>100000</v>
      </c>
      <c r="L346" s="2">
        <v>46184</v>
      </c>
    </row>
    <row r="347" spans="1:12">
      <c r="A347" t="s">
        <v>586</v>
      </c>
      <c r="B347" t="s">
        <v>378</v>
      </c>
      <c r="C347" t="s">
        <v>14</v>
      </c>
      <c r="D347" t="s">
        <v>53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 s="8">
        <v>0.85799999999999998</v>
      </c>
      <c r="K347">
        <v>70000</v>
      </c>
      <c r="L347" s="2">
        <v>45904</v>
      </c>
    </row>
    <row r="348" spans="1:12">
      <c r="A348" t="s">
        <v>587</v>
      </c>
      <c r="B348" t="s">
        <v>310</v>
      </c>
      <c r="C348" t="s">
        <v>19</v>
      </c>
      <c r="D348" t="s">
        <v>36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 s="8">
        <v>0.86880000000000002</v>
      </c>
      <c r="K348">
        <v>70000</v>
      </c>
      <c r="L348" s="2">
        <v>45926</v>
      </c>
    </row>
    <row r="349" spans="1:12">
      <c r="A349" t="s">
        <v>588</v>
      </c>
      <c r="B349" t="s">
        <v>589</v>
      </c>
      <c r="C349" t="s">
        <v>19</v>
      </c>
      <c r="D349" t="s">
        <v>53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 s="8">
        <v>0.80469999999999997</v>
      </c>
      <c r="K349">
        <v>70000</v>
      </c>
      <c r="L349" s="2">
        <v>45654</v>
      </c>
    </row>
    <row r="350" spans="1:12">
      <c r="A350" t="s">
        <v>590</v>
      </c>
      <c r="B350" t="s">
        <v>45</v>
      </c>
      <c r="C350" t="s">
        <v>14</v>
      </c>
      <c r="D350" t="s">
        <v>36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 s="8">
        <v>0.9738</v>
      </c>
      <c r="K350">
        <v>70000</v>
      </c>
      <c r="L350" s="2">
        <v>45694</v>
      </c>
    </row>
    <row r="351" spans="1:12">
      <c r="A351" t="s">
        <v>591</v>
      </c>
      <c r="B351" t="s">
        <v>202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 s="8">
        <v>0.58009999999999995</v>
      </c>
      <c r="K351">
        <v>50000</v>
      </c>
      <c r="L351" s="2">
        <v>46108</v>
      </c>
    </row>
    <row r="352" spans="1:12">
      <c r="A352" t="s">
        <v>592</v>
      </c>
      <c r="B352" t="s">
        <v>479</v>
      </c>
      <c r="C352" t="s">
        <v>19</v>
      </c>
      <c r="D352" t="s">
        <v>53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 s="8">
        <v>0.83930000000000005</v>
      </c>
      <c r="K352">
        <v>90000</v>
      </c>
      <c r="L352" s="2">
        <v>45748</v>
      </c>
    </row>
    <row r="353" spans="1:12">
      <c r="A353" t="s">
        <v>593</v>
      </c>
      <c r="B353" t="s">
        <v>594</v>
      </c>
      <c r="C353" t="s">
        <v>14</v>
      </c>
      <c r="D353" t="s">
        <v>36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 s="8">
        <v>0.85319999999999996</v>
      </c>
      <c r="K353">
        <v>120000</v>
      </c>
      <c r="L353" s="2">
        <v>45944</v>
      </c>
    </row>
    <row r="354" spans="1:12">
      <c r="A354" t="s">
        <v>595</v>
      </c>
      <c r="B354" t="s">
        <v>65</v>
      </c>
      <c r="C354" t="s">
        <v>14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 s="8">
        <v>0.84409999999999996</v>
      </c>
      <c r="K354">
        <v>75000</v>
      </c>
      <c r="L354" s="2">
        <v>45757</v>
      </c>
    </row>
    <row r="355" spans="1:12">
      <c r="A355" t="s">
        <v>596</v>
      </c>
      <c r="B355" t="s">
        <v>378</v>
      </c>
      <c r="C355" t="s">
        <v>14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 s="8">
        <v>0.83609999999999995</v>
      </c>
      <c r="K355">
        <v>110000</v>
      </c>
      <c r="L355" s="2">
        <v>45720</v>
      </c>
    </row>
    <row r="356" spans="1:12">
      <c r="A356" t="s">
        <v>597</v>
      </c>
      <c r="B356" t="s">
        <v>256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 s="8">
        <v>0.82279999999999998</v>
      </c>
      <c r="K356">
        <v>85000</v>
      </c>
      <c r="L356" s="2">
        <v>45652</v>
      </c>
    </row>
    <row r="357" spans="1:12">
      <c r="A357" t="s">
        <v>598</v>
      </c>
      <c r="B357" t="s">
        <v>113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 s="8">
        <v>0.90110000000000001</v>
      </c>
      <c r="K357">
        <v>70000</v>
      </c>
      <c r="L357" s="2">
        <v>46186</v>
      </c>
    </row>
    <row r="358" spans="1:12">
      <c r="A358" t="s">
        <v>599</v>
      </c>
      <c r="B358" t="s">
        <v>600</v>
      </c>
      <c r="C358" t="s">
        <v>14</v>
      </c>
      <c r="D358" t="s">
        <v>32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 s="8">
        <v>0.84319999999999995</v>
      </c>
      <c r="K358">
        <v>50000</v>
      </c>
      <c r="L358" s="2">
        <v>46194</v>
      </c>
    </row>
    <row r="359" spans="1:12">
      <c r="A359" t="s">
        <v>601</v>
      </c>
      <c r="B359" t="s">
        <v>119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 s="8">
        <v>0.94010000000000005</v>
      </c>
      <c r="K359">
        <v>110000</v>
      </c>
      <c r="L359" s="2">
        <v>45616</v>
      </c>
    </row>
    <row r="360" spans="1:12">
      <c r="A360" t="s">
        <v>602</v>
      </c>
      <c r="B360" t="s">
        <v>340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 s="8">
        <v>0.87829999999999997</v>
      </c>
      <c r="K360">
        <v>50000</v>
      </c>
      <c r="L360" s="2">
        <v>45783</v>
      </c>
    </row>
    <row r="361" spans="1:12">
      <c r="A361" t="s">
        <v>603</v>
      </c>
      <c r="B361" t="s">
        <v>146</v>
      </c>
      <c r="C361" t="s">
        <v>19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 s="8">
        <v>0.9587</v>
      </c>
      <c r="K361">
        <v>80000</v>
      </c>
      <c r="L361" s="2">
        <v>45930</v>
      </c>
    </row>
    <row r="362" spans="1:12">
      <c r="A362" t="s">
        <v>604</v>
      </c>
      <c r="B362" t="s">
        <v>233</v>
      </c>
      <c r="C362" t="s">
        <v>19</v>
      </c>
      <c r="D362" t="s">
        <v>32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 s="8">
        <v>0.76790000000000003</v>
      </c>
      <c r="K362">
        <v>50000</v>
      </c>
      <c r="L362" s="2">
        <v>45804</v>
      </c>
    </row>
    <row r="363" spans="1:12">
      <c r="A363" t="s">
        <v>605</v>
      </c>
      <c r="B363" t="s">
        <v>81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 s="8">
        <v>0.80830000000000002</v>
      </c>
      <c r="K363">
        <v>110000</v>
      </c>
      <c r="L363" s="2">
        <v>46040</v>
      </c>
    </row>
    <row r="364" spans="1:12">
      <c r="A364" t="s">
        <v>606</v>
      </c>
      <c r="B364" t="s">
        <v>607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 s="8">
        <v>0.87450000000000006</v>
      </c>
      <c r="K364">
        <v>130000</v>
      </c>
      <c r="L364" s="2">
        <v>45718</v>
      </c>
    </row>
    <row r="365" spans="1:12">
      <c r="A365" t="s">
        <v>608</v>
      </c>
      <c r="B365" t="s">
        <v>464</v>
      </c>
      <c r="C365" t="s">
        <v>19</v>
      </c>
      <c r="D365" t="s">
        <v>20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 s="8">
        <v>0.79049999999999998</v>
      </c>
      <c r="K365">
        <v>75000</v>
      </c>
      <c r="L365" s="2">
        <v>45577</v>
      </c>
    </row>
    <row r="366" spans="1:12">
      <c r="A366" t="s">
        <v>609</v>
      </c>
      <c r="B366" t="s">
        <v>357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 s="8">
        <v>0.75980000000000003</v>
      </c>
      <c r="K366">
        <v>75000</v>
      </c>
      <c r="L366" s="2">
        <v>45771</v>
      </c>
    </row>
    <row r="367" spans="1:12">
      <c r="A367" t="s">
        <v>610</v>
      </c>
      <c r="B367" t="s">
        <v>611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 s="8">
        <v>0.80969999999999998</v>
      </c>
      <c r="K367">
        <v>90000</v>
      </c>
      <c r="L367" s="2">
        <v>45954</v>
      </c>
    </row>
    <row r="368" spans="1:12">
      <c r="A368" t="s">
        <v>612</v>
      </c>
      <c r="B368" t="s">
        <v>600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 s="8">
        <v>0.8569</v>
      </c>
      <c r="K368">
        <v>85000</v>
      </c>
      <c r="L368" s="2">
        <v>45662</v>
      </c>
    </row>
    <row r="369" spans="1:12">
      <c r="A369" t="s">
        <v>613</v>
      </c>
      <c r="B369" t="s">
        <v>65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 s="8">
        <v>0.93240000000000001</v>
      </c>
      <c r="K369">
        <v>80000</v>
      </c>
      <c r="L369" s="2">
        <v>46107</v>
      </c>
    </row>
    <row r="370" spans="1:12">
      <c r="A370" t="s">
        <v>614</v>
      </c>
      <c r="B370" t="s">
        <v>188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 s="8">
        <v>0.72989999999999999</v>
      </c>
      <c r="K370">
        <v>80000</v>
      </c>
      <c r="L370" s="2">
        <v>45544</v>
      </c>
    </row>
    <row r="371" spans="1:12">
      <c r="A371" t="s">
        <v>615</v>
      </c>
      <c r="B371" t="s">
        <v>272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 s="8">
        <v>0.98099999999999998</v>
      </c>
      <c r="K371">
        <v>70000</v>
      </c>
      <c r="L371" s="2">
        <v>45583</v>
      </c>
    </row>
    <row r="372" spans="1:12">
      <c r="A372" t="s">
        <v>616</v>
      </c>
      <c r="B372" t="s">
        <v>194</v>
      </c>
      <c r="C372" t="s">
        <v>14</v>
      </c>
      <c r="D372" t="s">
        <v>28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 s="8">
        <v>0.66879999999999995</v>
      </c>
      <c r="K372">
        <v>70000</v>
      </c>
      <c r="L372" s="2">
        <v>45892</v>
      </c>
    </row>
    <row r="373" spans="1:12">
      <c r="A373" t="s">
        <v>617</v>
      </c>
      <c r="B373" t="s">
        <v>618</v>
      </c>
      <c r="C373" t="s">
        <v>19</v>
      </c>
      <c r="D373" t="s">
        <v>53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 s="8">
        <v>0.88249999999999995</v>
      </c>
      <c r="K373">
        <v>90000</v>
      </c>
      <c r="L373" s="2">
        <v>45894</v>
      </c>
    </row>
    <row r="374" spans="1:12">
      <c r="A374" t="s">
        <v>619</v>
      </c>
      <c r="B374" t="s">
        <v>620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 s="8">
        <v>0.69179999999999997</v>
      </c>
      <c r="K374">
        <v>110000</v>
      </c>
      <c r="L374" s="2">
        <v>45742</v>
      </c>
    </row>
    <row r="375" spans="1:12">
      <c r="A375" t="s">
        <v>621</v>
      </c>
      <c r="B375" t="s">
        <v>444</v>
      </c>
      <c r="C375" t="s">
        <v>14</v>
      </c>
      <c r="D375" t="s">
        <v>53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 s="8">
        <v>0.89070000000000005</v>
      </c>
      <c r="K375">
        <v>110000</v>
      </c>
      <c r="L375" s="2">
        <v>45716</v>
      </c>
    </row>
    <row r="376" spans="1:12">
      <c r="A376" t="s">
        <v>622</v>
      </c>
      <c r="B376" t="s">
        <v>623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 s="8">
        <v>0.64280000000000004</v>
      </c>
      <c r="K376">
        <v>85000</v>
      </c>
      <c r="L376" s="2">
        <v>45584</v>
      </c>
    </row>
    <row r="377" spans="1:12">
      <c r="A377" t="s">
        <v>624</v>
      </c>
      <c r="B377" t="s">
        <v>625</v>
      </c>
      <c r="C377" t="s">
        <v>14</v>
      </c>
      <c r="D377" t="s">
        <v>36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 s="8">
        <v>0.95150000000000001</v>
      </c>
      <c r="K377">
        <v>110000</v>
      </c>
      <c r="L377" s="2">
        <v>46000</v>
      </c>
    </row>
    <row r="378" spans="1:12">
      <c r="A378" t="s">
        <v>626</v>
      </c>
      <c r="B378" t="s">
        <v>627</v>
      </c>
      <c r="C378" t="s">
        <v>19</v>
      </c>
      <c r="D378" t="s">
        <v>28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 s="8">
        <v>0.90229999999999999</v>
      </c>
      <c r="K378">
        <v>90000</v>
      </c>
      <c r="L378" s="2">
        <v>45801</v>
      </c>
    </row>
    <row r="379" spans="1:12">
      <c r="A379" t="s">
        <v>628</v>
      </c>
      <c r="B379" t="s">
        <v>589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 s="8">
        <v>0.84560000000000002</v>
      </c>
      <c r="K379">
        <v>75000</v>
      </c>
      <c r="L379" s="2">
        <v>45619</v>
      </c>
    </row>
    <row r="380" spans="1:12">
      <c r="A380" t="s">
        <v>629</v>
      </c>
      <c r="B380" t="s">
        <v>630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 s="8">
        <v>0.96209999999999996</v>
      </c>
      <c r="K380">
        <v>75000</v>
      </c>
      <c r="L380" s="2">
        <v>45815</v>
      </c>
    </row>
    <row r="381" spans="1:12">
      <c r="A381" t="s">
        <v>631</v>
      </c>
      <c r="B381" t="s">
        <v>632</v>
      </c>
      <c r="C381" t="s">
        <v>14</v>
      </c>
      <c r="D381" t="s">
        <v>36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 s="8">
        <v>0.67779999999999996</v>
      </c>
      <c r="K381">
        <v>85000</v>
      </c>
      <c r="L381" s="2">
        <v>46191</v>
      </c>
    </row>
    <row r="382" spans="1:12">
      <c r="A382" t="s">
        <v>633</v>
      </c>
      <c r="B382" t="s">
        <v>135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 s="8">
        <v>0.9073</v>
      </c>
      <c r="K382">
        <v>75000</v>
      </c>
      <c r="L382" s="2">
        <v>45718</v>
      </c>
    </row>
    <row r="383" spans="1:12">
      <c r="A383" t="s">
        <v>634</v>
      </c>
      <c r="B383" t="s">
        <v>509</v>
      </c>
      <c r="C383" t="s">
        <v>19</v>
      </c>
      <c r="D383" t="s">
        <v>36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 s="8">
        <v>0.65949999999999998</v>
      </c>
      <c r="K383">
        <v>110000</v>
      </c>
      <c r="L383" s="2">
        <v>46162</v>
      </c>
    </row>
    <row r="384" spans="1:12">
      <c r="A384" t="s">
        <v>635</v>
      </c>
      <c r="B384" t="s">
        <v>636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 s="8">
        <v>0.80689999999999995</v>
      </c>
      <c r="K384">
        <v>70000</v>
      </c>
      <c r="L384" s="2">
        <v>45717</v>
      </c>
    </row>
    <row r="385" spans="1:12">
      <c r="A385" t="s">
        <v>637</v>
      </c>
      <c r="B385" t="s">
        <v>75</v>
      </c>
      <c r="C385" t="s">
        <v>14</v>
      </c>
      <c r="D385" t="s">
        <v>28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 s="8">
        <v>0.87890000000000001</v>
      </c>
      <c r="K385">
        <v>50000</v>
      </c>
      <c r="L385" s="2">
        <v>45666</v>
      </c>
    </row>
    <row r="386" spans="1:12">
      <c r="A386" t="s">
        <v>638</v>
      </c>
      <c r="B386" t="s">
        <v>157</v>
      </c>
      <c r="C386" t="s">
        <v>14</v>
      </c>
      <c r="D386" t="s">
        <v>28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 s="8">
        <v>0.73029999999999995</v>
      </c>
      <c r="K386">
        <v>85000</v>
      </c>
      <c r="L386" s="2">
        <v>45718</v>
      </c>
    </row>
    <row r="387" spans="1:12">
      <c r="A387" t="s">
        <v>639</v>
      </c>
      <c r="B387" t="s">
        <v>640</v>
      </c>
      <c r="C387" t="s">
        <v>14</v>
      </c>
      <c r="D387" t="s">
        <v>36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 s="8">
        <v>0.9486</v>
      </c>
      <c r="K387">
        <v>50000</v>
      </c>
      <c r="L387" s="2">
        <v>45762</v>
      </c>
    </row>
    <row r="388" spans="1:12">
      <c r="A388" t="s">
        <v>641</v>
      </c>
      <c r="B388" t="s">
        <v>248</v>
      </c>
      <c r="C388" t="s">
        <v>14</v>
      </c>
      <c r="D388" t="s">
        <v>36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 s="8">
        <v>0.60780000000000001</v>
      </c>
      <c r="K388">
        <v>70000</v>
      </c>
      <c r="L388" s="2">
        <v>45620</v>
      </c>
    </row>
    <row r="389" spans="1:12">
      <c r="A389" t="s">
        <v>642</v>
      </c>
      <c r="B389" t="s">
        <v>552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 s="8">
        <v>0.86929999999999996</v>
      </c>
      <c r="K389">
        <v>80000</v>
      </c>
      <c r="L389" s="2">
        <v>45947</v>
      </c>
    </row>
    <row r="390" spans="1:12">
      <c r="A390" t="s">
        <v>643</v>
      </c>
      <c r="B390" t="s">
        <v>262</v>
      </c>
      <c r="C390" t="s">
        <v>19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 s="8">
        <v>0.9224</v>
      </c>
      <c r="K390">
        <v>50000</v>
      </c>
      <c r="L390" s="2">
        <v>45769</v>
      </c>
    </row>
    <row r="391" spans="1:12">
      <c r="A391" t="s">
        <v>644</v>
      </c>
      <c r="B391" t="s">
        <v>370</v>
      </c>
      <c r="C391" t="s">
        <v>14</v>
      </c>
      <c r="D391" t="s">
        <v>53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 s="8">
        <v>0.78449999999999998</v>
      </c>
      <c r="K391">
        <v>70000</v>
      </c>
      <c r="L391" s="2">
        <v>46038</v>
      </c>
    </row>
    <row r="392" spans="1:12">
      <c r="A392" t="s">
        <v>645</v>
      </c>
      <c r="B392" t="s">
        <v>646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 s="8">
        <v>0.92059999999999997</v>
      </c>
      <c r="K392">
        <v>85000</v>
      </c>
      <c r="L392" s="2">
        <v>45879</v>
      </c>
    </row>
    <row r="393" spans="1:12">
      <c r="A393" t="s">
        <v>647</v>
      </c>
      <c r="B393" t="s">
        <v>202</v>
      </c>
      <c r="C393" t="s">
        <v>14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 s="8">
        <v>0.82630000000000003</v>
      </c>
      <c r="K393">
        <v>80000</v>
      </c>
      <c r="L393" s="2">
        <v>45845</v>
      </c>
    </row>
    <row r="394" spans="1:12">
      <c r="A394" t="s">
        <v>648</v>
      </c>
      <c r="B394" t="s">
        <v>649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 s="8">
        <v>0.94930000000000003</v>
      </c>
      <c r="K394">
        <v>120000</v>
      </c>
      <c r="L394" s="2">
        <v>45865</v>
      </c>
    </row>
    <row r="395" spans="1:12">
      <c r="A395" t="s">
        <v>650</v>
      </c>
      <c r="B395" t="s">
        <v>651</v>
      </c>
      <c r="C395" t="s">
        <v>19</v>
      </c>
      <c r="D395" t="s">
        <v>53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 s="8">
        <v>0.55000000000000004</v>
      </c>
      <c r="K395">
        <v>60000</v>
      </c>
      <c r="L395" s="2">
        <v>45645</v>
      </c>
    </row>
    <row r="396" spans="1:12">
      <c r="A396" t="s">
        <v>652</v>
      </c>
      <c r="B396" t="s">
        <v>653</v>
      </c>
      <c r="C396" t="s">
        <v>19</v>
      </c>
      <c r="D396" t="s">
        <v>36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 s="8">
        <v>0.89339999999999997</v>
      </c>
      <c r="K396">
        <v>100000</v>
      </c>
      <c r="L396" s="2">
        <v>46035</v>
      </c>
    </row>
    <row r="397" spans="1:12">
      <c r="A397" t="s">
        <v>654</v>
      </c>
      <c r="B397" t="s">
        <v>655</v>
      </c>
      <c r="C397" t="s">
        <v>19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 s="8">
        <v>0.95520000000000005</v>
      </c>
      <c r="K397">
        <v>90000</v>
      </c>
      <c r="L397" s="2">
        <v>45608</v>
      </c>
    </row>
    <row r="398" spans="1:12">
      <c r="A398" t="s">
        <v>656</v>
      </c>
      <c r="B398" t="s">
        <v>657</v>
      </c>
      <c r="C398" t="s">
        <v>14</v>
      </c>
      <c r="D398" t="s">
        <v>28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 s="8">
        <v>0.81210000000000004</v>
      </c>
      <c r="K398">
        <v>100000</v>
      </c>
      <c r="L398" s="2">
        <v>46041</v>
      </c>
    </row>
    <row r="399" spans="1:12">
      <c r="A399" t="s">
        <v>658</v>
      </c>
      <c r="B399" t="s">
        <v>659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 s="8">
        <v>0.86140000000000005</v>
      </c>
      <c r="K399">
        <v>100000</v>
      </c>
      <c r="L399" s="2">
        <v>46235</v>
      </c>
    </row>
    <row r="400" spans="1:12">
      <c r="A400" t="s">
        <v>660</v>
      </c>
      <c r="B400" t="s">
        <v>514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 s="8">
        <v>0.76500000000000001</v>
      </c>
      <c r="K400">
        <v>50000</v>
      </c>
      <c r="L400" s="2">
        <v>46070</v>
      </c>
    </row>
    <row r="401" spans="1:12">
      <c r="A401" t="s">
        <v>661</v>
      </c>
      <c r="B401" t="s">
        <v>662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 s="8">
        <v>0.94640000000000002</v>
      </c>
      <c r="K401">
        <v>110000</v>
      </c>
      <c r="L401" s="2">
        <v>45854</v>
      </c>
    </row>
    <row r="402" spans="1:12">
      <c r="A402" t="s">
        <v>663</v>
      </c>
      <c r="B402" t="s">
        <v>79</v>
      </c>
      <c r="C402" t="s">
        <v>19</v>
      </c>
      <c r="D402" t="s">
        <v>36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 s="8">
        <v>0.96989999999999998</v>
      </c>
      <c r="K402">
        <v>75000</v>
      </c>
      <c r="L402" s="2">
        <v>45756</v>
      </c>
    </row>
    <row r="403" spans="1:12">
      <c r="A403" t="s">
        <v>664</v>
      </c>
      <c r="B403" t="s">
        <v>362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 s="8">
        <v>0.84499999999999997</v>
      </c>
      <c r="K403">
        <v>100000</v>
      </c>
      <c r="L403" s="2">
        <v>46146</v>
      </c>
    </row>
    <row r="404" spans="1:12">
      <c r="A404" t="s">
        <v>665</v>
      </c>
      <c r="B404" t="s">
        <v>258</v>
      </c>
      <c r="C404" t="s">
        <v>14</v>
      </c>
      <c r="D404" t="s">
        <v>36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 s="8">
        <v>0.91410000000000002</v>
      </c>
      <c r="K404">
        <v>75000</v>
      </c>
      <c r="L404" s="2">
        <v>45716</v>
      </c>
    </row>
    <row r="405" spans="1:12">
      <c r="A405" t="s">
        <v>666</v>
      </c>
      <c r="B405" t="s">
        <v>667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 s="8">
        <v>0.66739999999999999</v>
      </c>
      <c r="K405">
        <v>80000</v>
      </c>
      <c r="L405" s="2">
        <v>45873</v>
      </c>
    </row>
    <row r="406" spans="1:12">
      <c r="A406" t="s">
        <v>668</v>
      </c>
      <c r="B406" t="s">
        <v>669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 s="8">
        <v>0.80230000000000001</v>
      </c>
      <c r="K406">
        <v>100000</v>
      </c>
      <c r="L406" s="2">
        <v>46075</v>
      </c>
    </row>
    <row r="407" spans="1:12">
      <c r="A407" t="s">
        <v>670</v>
      </c>
      <c r="B407" t="s">
        <v>671</v>
      </c>
      <c r="C407" t="s">
        <v>19</v>
      </c>
      <c r="D407" t="s">
        <v>53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 s="8">
        <v>0.92069999999999996</v>
      </c>
      <c r="K407">
        <v>130000</v>
      </c>
      <c r="L407" s="2">
        <v>46181</v>
      </c>
    </row>
    <row r="408" spans="1:12">
      <c r="A408" t="s">
        <v>672</v>
      </c>
      <c r="B408" t="s">
        <v>337</v>
      </c>
      <c r="C408" t="s">
        <v>14</v>
      </c>
      <c r="D408" t="s">
        <v>36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 s="8">
        <v>0.87849999999999995</v>
      </c>
      <c r="K408">
        <v>120000</v>
      </c>
      <c r="L408" s="2">
        <v>46180</v>
      </c>
    </row>
    <row r="409" spans="1:12">
      <c r="A409" t="s">
        <v>673</v>
      </c>
      <c r="B409" t="s">
        <v>291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 s="8">
        <v>0.66169999999999995</v>
      </c>
      <c r="K409">
        <v>100000</v>
      </c>
      <c r="L409" s="2">
        <v>45597</v>
      </c>
    </row>
    <row r="410" spans="1:12">
      <c r="A410" t="s">
        <v>674</v>
      </c>
      <c r="B410" t="s">
        <v>675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 s="8">
        <v>0.86729999999999996</v>
      </c>
      <c r="K410">
        <v>85000</v>
      </c>
      <c r="L410" s="2">
        <v>46164</v>
      </c>
    </row>
    <row r="411" spans="1:12">
      <c r="A411" t="s">
        <v>676</v>
      </c>
      <c r="B411" t="s">
        <v>417</v>
      </c>
      <c r="C411" t="s">
        <v>14</v>
      </c>
      <c r="D411" t="s">
        <v>15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 s="8">
        <v>0.80100000000000005</v>
      </c>
      <c r="K411">
        <v>85000</v>
      </c>
      <c r="L411" s="2">
        <v>45615</v>
      </c>
    </row>
    <row r="412" spans="1:12">
      <c r="A412" t="s">
        <v>677</v>
      </c>
      <c r="B412" t="s">
        <v>564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 s="8">
        <v>0.77969999999999995</v>
      </c>
      <c r="K412">
        <v>130000</v>
      </c>
      <c r="L412" s="2">
        <v>45945</v>
      </c>
    </row>
    <row r="413" spans="1:12">
      <c r="A413" t="s">
        <v>678</v>
      </c>
      <c r="B413" t="s">
        <v>679</v>
      </c>
      <c r="C413" t="s">
        <v>14</v>
      </c>
      <c r="D413" t="s">
        <v>53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 s="8">
        <v>0.6956</v>
      </c>
      <c r="K413">
        <v>70000</v>
      </c>
      <c r="L413" s="2">
        <v>46186</v>
      </c>
    </row>
    <row r="414" spans="1:12">
      <c r="A414" t="s">
        <v>680</v>
      </c>
      <c r="B414" t="s">
        <v>555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 s="8">
        <v>0.95930000000000004</v>
      </c>
      <c r="K414">
        <v>130000</v>
      </c>
      <c r="L414" s="2">
        <v>45994</v>
      </c>
    </row>
    <row r="415" spans="1:12">
      <c r="A415" t="s">
        <v>681</v>
      </c>
      <c r="B415" t="s">
        <v>117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 s="8">
        <v>0.72550000000000003</v>
      </c>
      <c r="K415">
        <v>100000</v>
      </c>
      <c r="L415" s="2">
        <v>46199</v>
      </c>
    </row>
    <row r="416" spans="1:12">
      <c r="A416" t="s">
        <v>682</v>
      </c>
      <c r="B416" t="s">
        <v>683</v>
      </c>
      <c r="C416" t="s">
        <v>14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 s="8">
        <v>0.77539999999999998</v>
      </c>
      <c r="K416">
        <v>90000</v>
      </c>
      <c r="L416" s="2">
        <v>45777</v>
      </c>
    </row>
    <row r="417" spans="1:12">
      <c r="A417" t="s">
        <v>684</v>
      </c>
      <c r="B417" t="s">
        <v>148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 s="8">
        <v>0.80400000000000005</v>
      </c>
      <c r="K417">
        <v>90000</v>
      </c>
      <c r="L417" s="2">
        <v>45756</v>
      </c>
    </row>
    <row r="418" spans="1:12">
      <c r="A418" t="s">
        <v>685</v>
      </c>
      <c r="B418" t="s">
        <v>346</v>
      </c>
      <c r="C418" t="s">
        <v>19</v>
      </c>
      <c r="D418" t="s">
        <v>36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 s="8">
        <v>0.88229999999999997</v>
      </c>
      <c r="K418">
        <v>110000</v>
      </c>
      <c r="L418" s="2">
        <v>45764</v>
      </c>
    </row>
    <row r="419" spans="1:12">
      <c r="A419" t="s">
        <v>686</v>
      </c>
      <c r="B419" t="s">
        <v>251</v>
      </c>
      <c r="C419" t="s">
        <v>14</v>
      </c>
      <c r="D419" t="s">
        <v>32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 s="8">
        <v>0.61419999999999997</v>
      </c>
      <c r="K419">
        <v>100000</v>
      </c>
      <c r="L419" s="2">
        <v>45784</v>
      </c>
    </row>
    <row r="420" spans="1:12">
      <c r="A420" t="s">
        <v>687</v>
      </c>
      <c r="B420" t="s">
        <v>372</v>
      </c>
      <c r="C420" t="s">
        <v>14</v>
      </c>
      <c r="D420" t="s">
        <v>28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 s="8">
        <v>0.75819999999999999</v>
      </c>
      <c r="K420">
        <v>60000</v>
      </c>
      <c r="L420" s="2">
        <v>46013</v>
      </c>
    </row>
    <row r="421" spans="1:12">
      <c r="A421" t="s">
        <v>688</v>
      </c>
      <c r="B421" t="s">
        <v>270</v>
      </c>
      <c r="C421" t="s">
        <v>19</v>
      </c>
      <c r="D421" t="s">
        <v>20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 s="8">
        <v>0.89410000000000001</v>
      </c>
      <c r="K421">
        <v>110000</v>
      </c>
      <c r="L421" s="2">
        <v>45852</v>
      </c>
    </row>
    <row r="422" spans="1:12">
      <c r="A422" t="s">
        <v>689</v>
      </c>
      <c r="B422" t="s">
        <v>690</v>
      </c>
      <c r="C422" t="s">
        <v>19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 s="8">
        <v>0.6915</v>
      </c>
      <c r="K422">
        <v>110000</v>
      </c>
      <c r="L422" s="2">
        <v>46052</v>
      </c>
    </row>
    <row r="423" spans="1:12">
      <c r="A423" t="s">
        <v>691</v>
      </c>
      <c r="B423" t="s">
        <v>477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 s="8">
        <v>0.8911</v>
      </c>
      <c r="K423">
        <v>130000</v>
      </c>
      <c r="L423" s="2">
        <v>45827</v>
      </c>
    </row>
    <row r="424" spans="1:12">
      <c r="A424" t="s">
        <v>692</v>
      </c>
      <c r="B424" t="s">
        <v>655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 s="8">
        <v>0.83109999999999995</v>
      </c>
      <c r="K424">
        <v>130000</v>
      </c>
      <c r="L424" s="2">
        <v>45751</v>
      </c>
    </row>
    <row r="425" spans="1:12">
      <c r="A425" t="s">
        <v>693</v>
      </c>
      <c r="B425" t="s">
        <v>455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 s="8">
        <v>0.75629999999999997</v>
      </c>
      <c r="K425">
        <v>130000</v>
      </c>
      <c r="L425" s="2">
        <v>45669</v>
      </c>
    </row>
    <row r="426" spans="1:12">
      <c r="A426" t="s">
        <v>694</v>
      </c>
      <c r="B426" t="s">
        <v>555</v>
      </c>
      <c r="C426" t="s">
        <v>14</v>
      </c>
      <c r="D426" t="s">
        <v>32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 s="8">
        <v>0.61680000000000001</v>
      </c>
      <c r="K426">
        <v>50000</v>
      </c>
      <c r="L426" s="2">
        <v>45921</v>
      </c>
    </row>
    <row r="427" spans="1:12">
      <c r="A427" t="s">
        <v>695</v>
      </c>
      <c r="B427" t="s">
        <v>264</v>
      </c>
      <c r="C427" t="s">
        <v>14</v>
      </c>
      <c r="D427" t="s">
        <v>53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 s="8">
        <v>0.90069999999999995</v>
      </c>
      <c r="K427">
        <v>90000</v>
      </c>
      <c r="L427" s="2">
        <v>46164</v>
      </c>
    </row>
    <row r="428" spans="1:12">
      <c r="A428" t="s">
        <v>696</v>
      </c>
      <c r="B428" t="s">
        <v>697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 s="8">
        <v>0.89200000000000002</v>
      </c>
      <c r="K428">
        <v>130000</v>
      </c>
      <c r="L428" s="2">
        <v>46137</v>
      </c>
    </row>
    <row r="429" spans="1:12">
      <c r="A429" t="s">
        <v>698</v>
      </c>
      <c r="B429" t="s">
        <v>699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 s="8">
        <v>0.89590000000000003</v>
      </c>
      <c r="K429">
        <v>130000</v>
      </c>
      <c r="L429" s="2">
        <v>45713</v>
      </c>
    </row>
    <row r="430" spans="1:12">
      <c r="A430" t="s">
        <v>700</v>
      </c>
      <c r="B430" t="s">
        <v>258</v>
      </c>
      <c r="C430" t="s">
        <v>14</v>
      </c>
      <c r="D430" t="s">
        <v>36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 s="8">
        <v>0.74160000000000004</v>
      </c>
      <c r="K430">
        <v>90000</v>
      </c>
      <c r="L430" s="2">
        <v>45870</v>
      </c>
    </row>
    <row r="431" spans="1:12">
      <c r="A431" t="s">
        <v>701</v>
      </c>
      <c r="B431" t="s">
        <v>380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 s="8">
        <v>0.626</v>
      </c>
      <c r="K431">
        <v>130000</v>
      </c>
      <c r="L431" s="2">
        <v>46029</v>
      </c>
    </row>
    <row r="432" spans="1:12">
      <c r="A432" t="s">
        <v>702</v>
      </c>
      <c r="B432" t="s">
        <v>467</v>
      </c>
      <c r="C432" t="s">
        <v>14</v>
      </c>
      <c r="D432" t="s">
        <v>15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 s="8">
        <v>0.67689999999999995</v>
      </c>
      <c r="K432">
        <v>120000</v>
      </c>
      <c r="L432" s="2">
        <v>45964</v>
      </c>
    </row>
    <row r="433" spans="1:12">
      <c r="A433" t="s">
        <v>703</v>
      </c>
      <c r="B433" t="s">
        <v>412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 s="8">
        <v>0.76980000000000004</v>
      </c>
      <c r="K433">
        <v>50000</v>
      </c>
      <c r="L433" s="2">
        <v>45583</v>
      </c>
    </row>
    <row r="434" spans="1:12">
      <c r="A434" t="s">
        <v>704</v>
      </c>
      <c r="B434" t="s">
        <v>412</v>
      </c>
      <c r="C434" t="s">
        <v>19</v>
      </c>
      <c r="D434" t="s">
        <v>32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 s="8">
        <v>0.55000000000000004</v>
      </c>
      <c r="K434">
        <v>120000</v>
      </c>
      <c r="L434" s="2">
        <v>45949</v>
      </c>
    </row>
    <row r="435" spans="1:12">
      <c r="A435" t="s">
        <v>705</v>
      </c>
      <c r="B435" t="s">
        <v>683</v>
      </c>
      <c r="C435" t="s">
        <v>14</v>
      </c>
      <c r="D435" t="s">
        <v>28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 s="8">
        <v>0.877</v>
      </c>
      <c r="K435">
        <v>100000</v>
      </c>
      <c r="L435" s="2">
        <v>45563</v>
      </c>
    </row>
    <row r="436" spans="1:12">
      <c r="A436" t="s">
        <v>706</v>
      </c>
      <c r="B436" t="s">
        <v>157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 s="8">
        <v>0.77610000000000001</v>
      </c>
      <c r="K436">
        <v>90000</v>
      </c>
      <c r="L436" s="2">
        <v>45617</v>
      </c>
    </row>
    <row r="437" spans="1:12">
      <c r="A437" t="s">
        <v>707</v>
      </c>
      <c r="B437" t="s">
        <v>92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 s="8">
        <v>0.7661</v>
      </c>
      <c r="K437">
        <v>60000</v>
      </c>
      <c r="L437" s="2">
        <v>45993</v>
      </c>
    </row>
    <row r="438" spans="1:12">
      <c r="A438" t="s">
        <v>708</v>
      </c>
      <c r="B438" t="s">
        <v>408</v>
      </c>
      <c r="C438" t="s">
        <v>19</v>
      </c>
      <c r="D438" t="s">
        <v>32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 s="8">
        <v>0.55000000000000004</v>
      </c>
      <c r="K438">
        <v>130000</v>
      </c>
      <c r="L438" s="2">
        <v>45607</v>
      </c>
    </row>
    <row r="439" spans="1:12">
      <c r="A439" t="s">
        <v>709</v>
      </c>
      <c r="B439" t="s">
        <v>710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 s="8">
        <v>0.71079999999999999</v>
      </c>
      <c r="K439">
        <v>75000</v>
      </c>
      <c r="L439" s="2">
        <v>45773</v>
      </c>
    </row>
    <row r="440" spans="1:12">
      <c r="A440" t="s">
        <v>711</v>
      </c>
      <c r="B440" t="s">
        <v>712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 s="8">
        <v>0.89910000000000001</v>
      </c>
      <c r="K440">
        <v>80000</v>
      </c>
      <c r="L440" s="2">
        <v>45947</v>
      </c>
    </row>
    <row r="441" spans="1:12">
      <c r="A441" t="s">
        <v>713</v>
      </c>
      <c r="B441" t="s">
        <v>378</v>
      </c>
      <c r="C441" t="s">
        <v>14</v>
      </c>
      <c r="D441" t="s">
        <v>53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 s="8">
        <v>0.98099999999999998</v>
      </c>
      <c r="K441">
        <v>75000</v>
      </c>
      <c r="L441" s="2">
        <v>45994</v>
      </c>
    </row>
    <row r="442" spans="1:12">
      <c r="A442" t="s">
        <v>714</v>
      </c>
      <c r="B442" t="s">
        <v>52</v>
      </c>
      <c r="C442" t="s">
        <v>19</v>
      </c>
      <c r="D442" t="s">
        <v>53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 s="8">
        <v>0.55000000000000004</v>
      </c>
      <c r="K442">
        <v>130000</v>
      </c>
      <c r="L442" s="2">
        <v>45848</v>
      </c>
    </row>
    <row r="443" spans="1:12">
      <c r="A443" t="s">
        <v>715</v>
      </c>
      <c r="B443" t="s">
        <v>632</v>
      </c>
      <c r="C443" t="s">
        <v>14</v>
      </c>
      <c r="D443" t="s">
        <v>28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 s="8">
        <v>0.84509999999999996</v>
      </c>
      <c r="K443">
        <v>85000</v>
      </c>
      <c r="L443" s="2">
        <v>45601</v>
      </c>
    </row>
    <row r="444" spans="1:12">
      <c r="A444" t="s">
        <v>716</v>
      </c>
      <c r="B444" t="s">
        <v>135</v>
      </c>
      <c r="C444" t="s">
        <v>14</v>
      </c>
      <c r="D444" t="s">
        <v>15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 s="8">
        <v>0.69399999999999995</v>
      </c>
      <c r="K444">
        <v>60000</v>
      </c>
      <c r="L444" s="2">
        <v>46095</v>
      </c>
    </row>
    <row r="445" spans="1:12">
      <c r="A445" t="s">
        <v>717</v>
      </c>
      <c r="B445" t="s">
        <v>718</v>
      </c>
      <c r="C445" t="s">
        <v>14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 s="8">
        <v>0.89570000000000005</v>
      </c>
      <c r="K445">
        <v>50000</v>
      </c>
      <c r="L445" s="2">
        <v>46200</v>
      </c>
    </row>
    <row r="446" spans="1:12">
      <c r="A446" t="s">
        <v>719</v>
      </c>
      <c r="B446" t="s">
        <v>720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 s="8">
        <v>0.87239999999999995</v>
      </c>
      <c r="K446">
        <v>130000</v>
      </c>
      <c r="L446" s="2">
        <v>46158</v>
      </c>
    </row>
    <row r="447" spans="1:12">
      <c r="A447" t="s">
        <v>721</v>
      </c>
      <c r="B447" t="s">
        <v>98</v>
      </c>
      <c r="C447" t="s">
        <v>19</v>
      </c>
      <c r="D447" t="s">
        <v>53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 s="8">
        <v>0.71199999999999997</v>
      </c>
      <c r="K447">
        <v>70000</v>
      </c>
      <c r="L447" s="2">
        <v>46059</v>
      </c>
    </row>
    <row r="448" spans="1:12">
      <c r="A448" t="s">
        <v>722</v>
      </c>
      <c r="B448" t="s">
        <v>410</v>
      </c>
      <c r="C448" t="s">
        <v>14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 s="8">
        <v>0.72119999999999995</v>
      </c>
      <c r="K448">
        <v>110000</v>
      </c>
      <c r="L448" s="2">
        <v>45817</v>
      </c>
    </row>
    <row r="449" spans="1:12">
      <c r="A449" t="s">
        <v>723</v>
      </c>
      <c r="B449" t="s">
        <v>724</v>
      </c>
      <c r="C449" t="s">
        <v>19</v>
      </c>
      <c r="D449" t="s">
        <v>53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 s="8">
        <v>0.82889999999999997</v>
      </c>
      <c r="K449">
        <v>50000</v>
      </c>
      <c r="L449" s="2">
        <v>46149</v>
      </c>
    </row>
    <row r="450" spans="1:12">
      <c r="A450" t="s">
        <v>725</v>
      </c>
      <c r="B450" t="s">
        <v>380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 s="8">
        <v>0.6764</v>
      </c>
      <c r="K450">
        <v>120000</v>
      </c>
      <c r="L450" s="2">
        <v>45877</v>
      </c>
    </row>
    <row r="451" spans="1:12">
      <c r="A451" t="s">
        <v>726</v>
      </c>
      <c r="B451" t="s">
        <v>581</v>
      </c>
      <c r="C451" t="s">
        <v>14</v>
      </c>
      <c r="D451" t="s">
        <v>36</v>
      </c>
      <c r="E451" t="s">
        <v>29</v>
      </c>
      <c r="F451">
        <v>20</v>
      </c>
      <c r="G451">
        <v>20</v>
      </c>
      <c r="H451">
        <v>20</v>
      </c>
      <c r="I451">
        <v>20</v>
      </c>
      <c r="J451" s="8">
        <v>0.55000000000000004</v>
      </c>
      <c r="K451">
        <v>100000</v>
      </c>
      <c r="L451" s="2">
        <v>45631</v>
      </c>
    </row>
    <row r="452" spans="1:12">
      <c r="A452" t="s">
        <v>727</v>
      </c>
      <c r="B452" t="s">
        <v>50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 s="8">
        <v>0.91100000000000003</v>
      </c>
      <c r="K452">
        <v>70000</v>
      </c>
      <c r="L452" s="2">
        <v>46131</v>
      </c>
    </row>
    <row r="453" spans="1:12">
      <c r="A453" t="s">
        <v>728</v>
      </c>
      <c r="B453" t="s">
        <v>729</v>
      </c>
      <c r="C453" t="s">
        <v>19</v>
      </c>
      <c r="D453" t="s">
        <v>32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 s="8">
        <v>0.9627</v>
      </c>
      <c r="K453">
        <v>120000</v>
      </c>
      <c r="L453" s="2">
        <v>45760</v>
      </c>
    </row>
    <row r="454" spans="1:12">
      <c r="A454" t="s">
        <v>730</v>
      </c>
      <c r="B454" t="s">
        <v>731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 s="8">
        <v>0.68140000000000001</v>
      </c>
      <c r="K454">
        <v>75000</v>
      </c>
      <c r="L454" s="2">
        <v>46193</v>
      </c>
    </row>
    <row r="455" spans="1:12">
      <c r="A455" t="s">
        <v>732</v>
      </c>
      <c r="B455" t="s">
        <v>640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 s="8">
        <v>0.86570000000000003</v>
      </c>
      <c r="K455">
        <v>130000</v>
      </c>
      <c r="L455" s="2">
        <v>45793</v>
      </c>
    </row>
    <row r="456" spans="1:12">
      <c r="A456" t="s">
        <v>733</v>
      </c>
      <c r="B456" t="s">
        <v>734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 s="8">
        <v>0.93779999999999997</v>
      </c>
      <c r="K456">
        <v>90000</v>
      </c>
      <c r="L456" s="2">
        <v>46144</v>
      </c>
    </row>
    <row r="457" spans="1:12">
      <c r="A457" t="s">
        <v>735</v>
      </c>
      <c r="B457" t="s">
        <v>104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 s="8">
        <v>0.68189999999999995</v>
      </c>
      <c r="K457">
        <v>80000</v>
      </c>
      <c r="L457" s="2">
        <v>45912</v>
      </c>
    </row>
    <row r="458" spans="1:12">
      <c r="A458" t="s">
        <v>736</v>
      </c>
      <c r="B458" t="s">
        <v>737</v>
      </c>
      <c r="C458" t="s">
        <v>14</v>
      </c>
      <c r="D458" t="s">
        <v>28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 s="8">
        <v>0.67410000000000003</v>
      </c>
      <c r="K458">
        <v>50000</v>
      </c>
      <c r="L458" s="2">
        <v>45863</v>
      </c>
    </row>
    <row r="459" spans="1:12">
      <c r="A459" t="s">
        <v>738</v>
      </c>
      <c r="B459" t="s">
        <v>218</v>
      </c>
      <c r="C459" t="s">
        <v>19</v>
      </c>
      <c r="D459" t="s">
        <v>36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 s="8">
        <v>0.86150000000000004</v>
      </c>
      <c r="K459">
        <v>70000</v>
      </c>
      <c r="L459" s="2">
        <v>45743</v>
      </c>
    </row>
    <row r="460" spans="1:12">
      <c r="A460" t="s">
        <v>739</v>
      </c>
      <c r="B460" t="s">
        <v>471</v>
      </c>
      <c r="C460" t="s">
        <v>19</v>
      </c>
      <c r="D460" t="s">
        <v>36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 s="8">
        <v>0.55000000000000004</v>
      </c>
      <c r="K460">
        <v>50000</v>
      </c>
      <c r="L460" s="2">
        <v>46120</v>
      </c>
    </row>
    <row r="461" spans="1:12">
      <c r="A461" t="s">
        <v>740</v>
      </c>
      <c r="B461" t="s">
        <v>285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 s="8">
        <v>0.99160000000000004</v>
      </c>
      <c r="K461">
        <v>120000</v>
      </c>
      <c r="L461" s="2">
        <v>45578</v>
      </c>
    </row>
    <row r="462" spans="1:12">
      <c r="A462" t="s">
        <v>741</v>
      </c>
      <c r="B462" t="s">
        <v>148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 s="8">
        <v>0.55000000000000004</v>
      </c>
      <c r="K462">
        <v>60000</v>
      </c>
      <c r="L462" s="2">
        <v>45864</v>
      </c>
    </row>
    <row r="463" spans="1:12">
      <c r="A463" t="s">
        <v>742</v>
      </c>
      <c r="B463" t="s">
        <v>600</v>
      </c>
      <c r="C463" t="s">
        <v>14</v>
      </c>
      <c r="D463" t="s">
        <v>36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 s="8">
        <v>0.83799999999999997</v>
      </c>
      <c r="K463">
        <v>60000</v>
      </c>
      <c r="L463" s="2">
        <v>45794</v>
      </c>
    </row>
    <row r="464" spans="1:12">
      <c r="A464" t="s">
        <v>743</v>
      </c>
      <c r="B464" t="s">
        <v>744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 s="8">
        <v>0.98150000000000004</v>
      </c>
      <c r="K464">
        <v>60000</v>
      </c>
      <c r="L464" s="2">
        <v>45916</v>
      </c>
    </row>
    <row r="465" spans="1:12">
      <c r="A465" t="s">
        <v>745</v>
      </c>
      <c r="B465" t="s">
        <v>137</v>
      </c>
      <c r="C465" t="s">
        <v>14</v>
      </c>
      <c r="D465" t="s">
        <v>32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 s="8">
        <v>0.89729999999999999</v>
      </c>
      <c r="K465">
        <v>130000</v>
      </c>
      <c r="L465" s="2">
        <v>45714</v>
      </c>
    </row>
    <row r="466" spans="1:12">
      <c r="A466" t="s">
        <v>746</v>
      </c>
      <c r="B466" t="s">
        <v>13</v>
      </c>
      <c r="C466" t="s">
        <v>14</v>
      </c>
      <c r="D466" t="s">
        <v>53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 s="8">
        <v>0.82530000000000003</v>
      </c>
      <c r="K466">
        <v>130000</v>
      </c>
      <c r="L466" s="2">
        <v>46001</v>
      </c>
    </row>
    <row r="467" spans="1:12">
      <c r="A467" t="s">
        <v>747</v>
      </c>
      <c r="B467" t="s">
        <v>748</v>
      </c>
      <c r="C467" t="s">
        <v>19</v>
      </c>
      <c r="D467" t="s">
        <v>53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 s="8">
        <v>0.78610000000000002</v>
      </c>
      <c r="K467">
        <v>100000</v>
      </c>
      <c r="L467" s="2">
        <v>45806</v>
      </c>
    </row>
    <row r="468" spans="1:12">
      <c r="A468" t="s">
        <v>749</v>
      </c>
      <c r="B468" t="s">
        <v>532</v>
      </c>
      <c r="C468" t="s">
        <v>14</v>
      </c>
      <c r="D468" t="s">
        <v>36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 s="8">
        <v>0.74929999999999997</v>
      </c>
      <c r="K468">
        <v>50000</v>
      </c>
      <c r="L468" s="2">
        <v>45667</v>
      </c>
    </row>
    <row r="469" spans="1:12">
      <c r="A469" t="s">
        <v>750</v>
      </c>
      <c r="B469" t="s">
        <v>751</v>
      </c>
      <c r="C469" t="s">
        <v>19</v>
      </c>
      <c r="D469" t="s">
        <v>28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 s="8">
        <v>0.94889999999999997</v>
      </c>
      <c r="K469">
        <v>85000</v>
      </c>
      <c r="L469" s="2">
        <v>45673</v>
      </c>
    </row>
    <row r="470" spans="1:12">
      <c r="A470" t="s">
        <v>752</v>
      </c>
      <c r="B470" t="s">
        <v>155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 s="8">
        <v>0.93579999999999997</v>
      </c>
      <c r="K470">
        <v>130000</v>
      </c>
      <c r="L470" s="2">
        <v>46023</v>
      </c>
    </row>
    <row r="471" spans="1:12">
      <c r="A471" t="s">
        <v>753</v>
      </c>
      <c r="B471" t="s">
        <v>744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 s="8">
        <v>0.97750000000000004</v>
      </c>
      <c r="K471">
        <v>60000</v>
      </c>
      <c r="L471" s="2">
        <v>45719</v>
      </c>
    </row>
    <row r="472" spans="1:12">
      <c r="A472" t="s">
        <v>754</v>
      </c>
      <c r="B472" t="s">
        <v>310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 s="8">
        <v>0.72319999999999995</v>
      </c>
      <c r="K472">
        <v>110000</v>
      </c>
      <c r="L472" s="2">
        <v>45751</v>
      </c>
    </row>
    <row r="473" spans="1:12">
      <c r="A473" t="s">
        <v>755</v>
      </c>
      <c r="B473" t="s">
        <v>125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 s="8">
        <v>0.86040000000000005</v>
      </c>
      <c r="K473">
        <v>50000</v>
      </c>
      <c r="L473" s="2">
        <v>45974</v>
      </c>
    </row>
    <row r="474" spans="1:12">
      <c r="A474" t="s">
        <v>756</v>
      </c>
      <c r="B474" t="s">
        <v>757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 s="8">
        <v>0.93049999999999999</v>
      </c>
      <c r="K474">
        <v>110000</v>
      </c>
      <c r="L474" s="2">
        <v>45766</v>
      </c>
    </row>
    <row r="475" spans="1:12">
      <c r="A475" t="s">
        <v>758</v>
      </c>
      <c r="B475" t="s">
        <v>759</v>
      </c>
      <c r="C475" t="s">
        <v>14</v>
      </c>
      <c r="D475" t="s">
        <v>36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 s="8">
        <v>0.85699999999999998</v>
      </c>
      <c r="K475">
        <v>85000</v>
      </c>
      <c r="L475" s="2">
        <v>45807</v>
      </c>
    </row>
    <row r="476" spans="1:12">
      <c r="A476" t="s">
        <v>760</v>
      </c>
      <c r="B476" t="s">
        <v>761</v>
      </c>
      <c r="C476" t="s">
        <v>19</v>
      </c>
      <c r="D476" t="s">
        <v>32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 s="8">
        <v>0.70750000000000002</v>
      </c>
      <c r="K476">
        <v>120000</v>
      </c>
      <c r="L476" s="2">
        <v>45707</v>
      </c>
    </row>
    <row r="477" spans="1:12">
      <c r="A477" t="s">
        <v>762</v>
      </c>
      <c r="B477" t="s">
        <v>618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 s="8">
        <v>0.9546</v>
      </c>
      <c r="K477">
        <v>80000</v>
      </c>
      <c r="L477" s="2">
        <v>45777</v>
      </c>
    </row>
    <row r="478" spans="1:12">
      <c r="A478" t="s">
        <v>763</v>
      </c>
      <c r="B478" t="s">
        <v>173</v>
      </c>
      <c r="C478" t="s">
        <v>19</v>
      </c>
      <c r="D478" t="s">
        <v>53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 s="8">
        <v>0.74709999999999999</v>
      </c>
      <c r="K478">
        <v>110000</v>
      </c>
      <c r="L478" s="2">
        <v>46020</v>
      </c>
    </row>
    <row r="479" spans="1:12">
      <c r="A479" t="s">
        <v>764</v>
      </c>
      <c r="B479" t="s">
        <v>607</v>
      </c>
      <c r="C479" t="s">
        <v>14</v>
      </c>
      <c r="D479" t="s">
        <v>36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 s="8">
        <v>0.75880000000000003</v>
      </c>
      <c r="K479">
        <v>120000</v>
      </c>
      <c r="L479" s="2">
        <v>45909</v>
      </c>
    </row>
    <row r="480" spans="1:12">
      <c r="A480" t="s">
        <v>765</v>
      </c>
      <c r="B480" t="s">
        <v>50</v>
      </c>
      <c r="C480" t="s">
        <v>19</v>
      </c>
      <c r="D480" t="s">
        <v>28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 s="8">
        <v>0.8881</v>
      </c>
      <c r="K480">
        <v>75000</v>
      </c>
      <c r="L480" s="2">
        <v>46234</v>
      </c>
    </row>
    <row r="481" spans="1:12">
      <c r="A481" t="s">
        <v>766</v>
      </c>
      <c r="B481" t="s">
        <v>220</v>
      </c>
      <c r="C481" t="s">
        <v>14</v>
      </c>
      <c r="D481" t="s">
        <v>28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 s="8">
        <v>0.87219999999999998</v>
      </c>
      <c r="K481">
        <v>100000</v>
      </c>
      <c r="L481" s="2">
        <v>46076</v>
      </c>
    </row>
    <row r="482" spans="1:12">
      <c r="A482" t="s">
        <v>767</v>
      </c>
      <c r="B482" t="s">
        <v>178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 s="8">
        <v>0.89580000000000004</v>
      </c>
      <c r="K482">
        <v>85000</v>
      </c>
      <c r="L482" s="2">
        <v>45547</v>
      </c>
    </row>
    <row r="483" spans="1:12">
      <c r="A483" t="s">
        <v>768</v>
      </c>
      <c r="B483" t="s">
        <v>611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 s="8">
        <v>0.83789999999999998</v>
      </c>
      <c r="K483">
        <v>80000</v>
      </c>
      <c r="L483" s="2">
        <v>45801</v>
      </c>
    </row>
    <row r="484" spans="1:12">
      <c r="A484" t="s">
        <v>769</v>
      </c>
      <c r="B484" t="s">
        <v>770</v>
      </c>
      <c r="C484" t="s">
        <v>14</v>
      </c>
      <c r="D484" t="s">
        <v>36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 s="8">
        <v>0.61839999999999995</v>
      </c>
      <c r="K484">
        <v>110000</v>
      </c>
      <c r="L484" s="2">
        <v>45738</v>
      </c>
    </row>
    <row r="485" spans="1:12">
      <c r="A485" t="s">
        <v>771</v>
      </c>
      <c r="B485" t="s">
        <v>243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 s="8">
        <v>0.68830000000000002</v>
      </c>
      <c r="K485">
        <v>70000</v>
      </c>
      <c r="L485" s="2">
        <v>45947</v>
      </c>
    </row>
    <row r="486" spans="1:12">
      <c r="A486" t="s">
        <v>772</v>
      </c>
      <c r="B486" t="s">
        <v>106</v>
      </c>
      <c r="C486" t="s">
        <v>14</v>
      </c>
      <c r="D486" t="s">
        <v>20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 s="8">
        <v>0.73089999999999999</v>
      </c>
      <c r="K486">
        <v>60000</v>
      </c>
      <c r="L486" s="2">
        <v>45721</v>
      </c>
    </row>
    <row r="487" spans="1:12">
      <c r="A487" t="s">
        <v>773</v>
      </c>
      <c r="B487" t="s">
        <v>372</v>
      </c>
      <c r="C487" t="s">
        <v>14</v>
      </c>
      <c r="D487" t="s">
        <v>53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 s="8">
        <v>0.97099999999999997</v>
      </c>
      <c r="K487">
        <v>85000</v>
      </c>
      <c r="L487" s="2">
        <v>46212</v>
      </c>
    </row>
    <row r="488" spans="1:12">
      <c r="A488" t="s">
        <v>774</v>
      </c>
      <c r="B488" t="s">
        <v>340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 s="8">
        <v>0.55000000000000004</v>
      </c>
      <c r="K488">
        <v>120000</v>
      </c>
      <c r="L488" s="2">
        <v>45745</v>
      </c>
    </row>
    <row r="489" spans="1:12">
      <c r="A489" t="s">
        <v>775</v>
      </c>
      <c r="B489" t="s">
        <v>71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 s="8">
        <v>0.87280000000000002</v>
      </c>
      <c r="K489">
        <v>60000</v>
      </c>
      <c r="L489" s="2">
        <v>45901</v>
      </c>
    </row>
    <row r="490" spans="1:12">
      <c r="A490" t="s">
        <v>776</v>
      </c>
      <c r="B490" t="s">
        <v>777</v>
      </c>
      <c r="C490" t="s">
        <v>19</v>
      </c>
      <c r="D490" t="s">
        <v>53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 s="8">
        <v>0.55000000000000004</v>
      </c>
      <c r="K490">
        <v>75000</v>
      </c>
      <c r="L490" s="2">
        <v>45622</v>
      </c>
    </row>
    <row r="491" spans="1:12">
      <c r="A491" t="s">
        <v>778</v>
      </c>
      <c r="B491" t="s">
        <v>43</v>
      </c>
      <c r="C491" t="s">
        <v>19</v>
      </c>
      <c r="D491" t="s">
        <v>53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 s="8">
        <v>0.75860000000000005</v>
      </c>
      <c r="K491">
        <v>100000</v>
      </c>
      <c r="L491" s="2">
        <v>46172</v>
      </c>
    </row>
    <row r="492" spans="1:12">
      <c r="A492" t="s">
        <v>779</v>
      </c>
      <c r="B492" t="s">
        <v>653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 s="8">
        <v>0.59540000000000004</v>
      </c>
      <c r="K492">
        <v>85000</v>
      </c>
      <c r="L492" s="2">
        <v>46174</v>
      </c>
    </row>
    <row r="493" spans="1:12">
      <c r="A493" t="s">
        <v>780</v>
      </c>
      <c r="B493" t="s">
        <v>781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 s="8">
        <v>0.89380000000000004</v>
      </c>
      <c r="K493">
        <v>90000</v>
      </c>
      <c r="L493" s="2">
        <v>46091</v>
      </c>
    </row>
    <row r="494" spans="1:12">
      <c r="A494" t="s">
        <v>782</v>
      </c>
      <c r="B494" t="s">
        <v>729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 s="8">
        <v>0.81130000000000002</v>
      </c>
      <c r="K494">
        <v>85000</v>
      </c>
      <c r="L494" s="2">
        <v>45782</v>
      </c>
    </row>
    <row r="495" spans="1:12">
      <c r="A495" t="s">
        <v>783</v>
      </c>
      <c r="B495" t="s">
        <v>224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 s="8">
        <v>0.92859999999999998</v>
      </c>
      <c r="K495">
        <v>110000</v>
      </c>
      <c r="L495" s="2">
        <v>45577</v>
      </c>
    </row>
    <row r="496" spans="1:12">
      <c r="A496" t="s">
        <v>784</v>
      </c>
      <c r="B496" t="s">
        <v>106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 s="8">
        <v>0.81899999999999995</v>
      </c>
      <c r="K496">
        <v>120000</v>
      </c>
      <c r="L496" s="2">
        <v>46033</v>
      </c>
    </row>
    <row r="497" spans="1:12">
      <c r="A497" t="s">
        <v>785</v>
      </c>
      <c r="B497" t="s">
        <v>251</v>
      </c>
      <c r="C497" t="s">
        <v>14</v>
      </c>
      <c r="D497" t="s">
        <v>53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 s="8">
        <v>0.80289999999999995</v>
      </c>
      <c r="K497">
        <v>80000</v>
      </c>
      <c r="L497" s="2">
        <v>45836</v>
      </c>
    </row>
    <row r="498" spans="1:12">
      <c r="A498" t="s">
        <v>786</v>
      </c>
      <c r="B498" t="s">
        <v>683</v>
      </c>
      <c r="C498" t="s">
        <v>14</v>
      </c>
      <c r="D498" t="s">
        <v>53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 s="8">
        <v>0.80859999999999999</v>
      </c>
      <c r="K498">
        <v>80000</v>
      </c>
      <c r="L498" s="2">
        <v>46229</v>
      </c>
    </row>
    <row r="499" spans="1:12">
      <c r="A499" t="s">
        <v>787</v>
      </c>
      <c r="B499" t="s">
        <v>100</v>
      </c>
      <c r="C499" t="s">
        <v>14</v>
      </c>
      <c r="D499" t="s">
        <v>53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 s="8">
        <v>0.95950000000000002</v>
      </c>
      <c r="K499">
        <v>75000</v>
      </c>
      <c r="L499" s="2">
        <v>46024</v>
      </c>
    </row>
    <row r="500" spans="1:12">
      <c r="A500" t="s">
        <v>788</v>
      </c>
      <c r="B500" t="s">
        <v>270</v>
      </c>
      <c r="C500" t="s">
        <v>19</v>
      </c>
      <c r="D500" t="s">
        <v>53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 s="8">
        <v>0.90559999999999996</v>
      </c>
      <c r="K500">
        <v>80000</v>
      </c>
      <c r="L500" s="2">
        <v>45913</v>
      </c>
    </row>
    <row r="501" spans="1:12">
      <c r="A501" t="s">
        <v>789</v>
      </c>
      <c r="B501" t="s">
        <v>372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 s="8">
        <v>0.86729999999999996</v>
      </c>
      <c r="K501">
        <v>120000</v>
      </c>
      <c r="L501" s="2">
        <v>46226</v>
      </c>
    </row>
    <row r="502" spans="1:12">
      <c r="A502" t="s">
        <v>790</v>
      </c>
      <c r="B502" t="s">
        <v>295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 s="8">
        <v>0.85519999999999996</v>
      </c>
      <c r="K502">
        <v>85000</v>
      </c>
      <c r="L502" s="2">
        <v>46096</v>
      </c>
    </row>
    <row r="503" spans="1:12">
      <c r="A503" t="s">
        <v>791</v>
      </c>
      <c r="B503" t="s">
        <v>237</v>
      </c>
      <c r="C503" t="s">
        <v>19</v>
      </c>
      <c r="D503" t="s">
        <v>53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 s="8">
        <v>0.75849999999999995</v>
      </c>
      <c r="K503">
        <v>100000</v>
      </c>
      <c r="L503" s="2">
        <v>45856</v>
      </c>
    </row>
    <row r="504" spans="1:12">
      <c r="A504" t="s">
        <v>792</v>
      </c>
      <c r="B504" t="s">
        <v>793</v>
      </c>
      <c r="C504" t="s">
        <v>19</v>
      </c>
      <c r="D504" t="s">
        <v>53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 s="8">
        <v>0.71250000000000002</v>
      </c>
      <c r="K504">
        <v>80000</v>
      </c>
      <c r="L504" s="2">
        <v>45549</v>
      </c>
    </row>
    <row r="505" spans="1:12">
      <c r="A505" t="s">
        <v>794</v>
      </c>
      <c r="B505" t="s">
        <v>63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 s="8">
        <v>0.55000000000000004</v>
      </c>
      <c r="K505">
        <v>100000</v>
      </c>
      <c r="L505" s="2">
        <v>45600</v>
      </c>
    </row>
    <row r="506" spans="1:12">
      <c r="A506" t="s">
        <v>795</v>
      </c>
      <c r="B506" t="s">
        <v>248</v>
      </c>
      <c r="C506" t="s">
        <v>14</v>
      </c>
      <c r="D506" t="s">
        <v>36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 s="8">
        <v>0.73099999999999998</v>
      </c>
      <c r="K506">
        <v>100000</v>
      </c>
      <c r="L506" s="2">
        <v>45846</v>
      </c>
    </row>
    <row r="507" spans="1:12">
      <c r="A507" t="s">
        <v>796</v>
      </c>
      <c r="B507" t="s">
        <v>770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 s="8">
        <v>0.55000000000000004</v>
      </c>
      <c r="K507">
        <v>85000</v>
      </c>
      <c r="L507" s="2">
        <v>45929</v>
      </c>
    </row>
    <row r="508" spans="1:12">
      <c r="A508" t="s">
        <v>797</v>
      </c>
      <c r="B508" t="s">
        <v>404</v>
      </c>
      <c r="C508" t="s">
        <v>19</v>
      </c>
      <c r="D508" t="s">
        <v>53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 s="8">
        <v>0.79430000000000001</v>
      </c>
      <c r="K508">
        <v>130000</v>
      </c>
      <c r="L508" s="2">
        <v>45557</v>
      </c>
    </row>
    <row r="509" spans="1:12">
      <c r="A509" t="s">
        <v>798</v>
      </c>
      <c r="B509" t="s">
        <v>620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 s="8">
        <v>0.87590000000000001</v>
      </c>
      <c r="K509">
        <v>120000</v>
      </c>
      <c r="L509" s="2">
        <v>45624</v>
      </c>
    </row>
    <row r="510" spans="1:12">
      <c r="A510" t="s">
        <v>799</v>
      </c>
      <c r="B510" t="s">
        <v>194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 s="8">
        <v>0.89390000000000003</v>
      </c>
      <c r="K510">
        <v>60000</v>
      </c>
      <c r="L510" s="2">
        <v>46029</v>
      </c>
    </row>
    <row r="511" spans="1:12">
      <c r="A511" t="s">
        <v>800</v>
      </c>
      <c r="B511" t="s">
        <v>532</v>
      </c>
      <c r="C511" t="s">
        <v>14</v>
      </c>
      <c r="D511" t="s">
        <v>32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 s="8">
        <v>0.90200000000000002</v>
      </c>
      <c r="K511">
        <v>70000</v>
      </c>
      <c r="L511" s="2">
        <v>46062</v>
      </c>
    </row>
    <row r="512" spans="1:12">
      <c r="A512" t="s">
        <v>801</v>
      </c>
      <c r="B512" t="s">
        <v>541</v>
      </c>
      <c r="C512" t="s">
        <v>19</v>
      </c>
      <c r="D512" t="s">
        <v>36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 s="8">
        <v>0.84670000000000001</v>
      </c>
      <c r="K512">
        <v>130000</v>
      </c>
      <c r="L512" s="2">
        <v>45556</v>
      </c>
    </row>
    <row r="513" spans="1:12">
      <c r="A513" t="s">
        <v>802</v>
      </c>
      <c r="B513" t="s">
        <v>803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 s="8">
        <v>0.95030000000000003</v>
      </c>
      <c r="K513">
        <v>80000</v>
      </c>
      <c r="L513" s="2">
        <v>45891</v>
      </c>
    </row>
    <row r="514" spans="1:12">
      <c r="A514" t="s">
        <v>804</v>
      </c>
      <c r="B514" t="s">
        <v>805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 s="8">
        <v>0.64149999999999996</v>
      </c>
      <c r="K514">
        <v>75000</v>
      </c>
      <c r="L514" s="2">
        <v>45592</v>
      </c>
    </row>
    <row r="515" spans="1:12">
      <c r="A515" t="s">
        <v>806</v>
      </c>
      <c r="B515" t="s">
        <v>96</v>
      </c>
      <c r="C515" t="s">
        <v>19</v>
      </c>
      <c r="D515" t="s">
        <v>36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 s="8">
        <v>0.79949999999999999</v>
      </c>
      <c r="K515">
        <v>110000</v>
      </c>
      <c r="L515" s="2">
        <v>46042</v>
      </c>
    </row>
    <row r="516" spans="1:12">
      <c r="A516" t="s">
        <v>807</v>
      </c>
      <c r="B516" t="s">
        <v>342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 s="8">
        <v>0.90680000000000005</v>
      </c>
      <c r="K516">
        <v>90000</v>
      </c>
      <c r="L516" s="2">
        <v>46119</v>
      </c>
    </row>
    <row r="517" spans="1:12">
      <c r="A517" t="s">
        <v>808</v>
      </c>
      <c r="B517" t="s">
        <v>737</v>
      </c>
      <c r="C517" t="s">
        <v>14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 s="8">
        <v>0.81320000000000003</v>
      </c>
      <c r="K517">
        <v>60000</v>
      </c>
      <c r="L517" s="2">
        <v>46144</v>
      </c>
    </row>
    <row r="518" spans="1:12">
      <c r="A518" t="s">
        <v>809</v>
      </c>
      <c r="B518" t="s">
        <v>204</v>
      </c>
      <c r="C518" t="s">
        <v>19</v>
      </c>
      <c r="D518" t="s">
        <v>36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 s="8">
        <v>0.86909999999999998</v>
      </c>
      <c r="K518">
        <v>60000</v>
      </c>
      <c r="L518" s="2">
        <v>45954</v>
      </c>
    </row>
    <row r="519" spans="1:12">
      <c r="A519" t="s">
        <v>810</v>
      </c>
      <c r="B519" t="s">
        <v>492</v>
      </c>
      <c r="C519" t="s">
        <v>14</v>
      </c>
      <c r="D519" t="s">
        <v>36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 s="8">
        <v>0.94379999999999997</v>
      </c>
      <c r="K519">
        <v>110000</v>
      </c>
      <c r="L519" s="2">
        <v>45976</v>
      </c>
    </row>
    <row r="520" spans="1:12">
      <c r="A520" t="s">
        <v>811</v>
      </c>
      <c r="B520" t="s">
        <v>467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 s="8">
        <v>0.71540000000000004</v>
      </c>
      <c r="K520">
        <v>110000</v>
      </c>
      <c r="L520" s="2">
        <v>46184</v>
      </c>
    </row>
    <row r="521" spans="1:12">
      <c r="A521" t="s">
        <v>812</v>
      </c>
      <c r="B521" t="s">
        <v>270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 s="8">
        <v>0.58179999999999998</v>
      </c>
      <c r="K521">
        <v>75000</v>
      </c>
      <c r="L521" s="2">
        <v>45964</v>
      </c>
    </row>
    <row r="522" spans="1:12">
      <c r="A522" t="s">
        <v>813</v>
      </c>
      <c r="B522" t="s">
        <v>291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 s="8">
        <v>0.92800000000000005</v>
      </c>
      <c r="K522">
        <v>120000</v>
      </c>
      <c r="L522" s="2">
        <v>45848</v>
      </c>
    </row>
    <row r="523" spans="1:12">
      <c r="A523" t="s">
        <v>814</v>
      </c>
      <c r="B523" t="s">
        <v>274</v>
      </c>
      <c r="C523" t="s">
        <v>14</v>
      </c>
      <c r="D523" t="s">
        <v>28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 s="8">
        <v>0.94699999999999995</v>
      </c>
      <c r="K523">
        <v>60000</v>
      </c>
      <c r="L523" s="2">
        <v>46064</v>
      </c>
    </row>
    <row r="524" spans="1:12">
      <c r="A524" t="s">
        <v>815</v>
      </c>
      <c r="B524" t="s">
        <v>581</v>
      </c>
      <c r="C524" t="s">
        <v>14</v>
      </c>
      <c r="D524" t="s">
        <v>20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 s="8">
        <v>0.82799999999999996</v>
      </c>
      <c r="K524">
        <v>120000</v>
      </c>
      <c r="L524" s="2">
        <v>45949</v>
      </c>
    </row>
    <row r="525" spans="1:12">
      <c r="A525" t="s">
        <v>816</v>
      </c>
      <c r="B525" t="s">
        <v>200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 s="8">
        <v>0.91100000000000003</v>
      </c>
      <c r="K525">
        <v>50000</v>
      </c>
      <c r="L525" s="2">
        <v>46125</v>
      </c>
    </row>
    <row r="526" spans="1:12">
      <c r="A526" t="s">
        <v>817</v>
      </c>
      <c r="B526" t="s">
        <v>562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 s="8">
        <v>0.75600000000000001</v>
      </c>
      <c r="K526">
        <v>90000</v>
      </c>
      <c r="L526" s="2">
        <v>45903</v>
      </c>
    </row>
    <row r="527" spans="1:12">
      <c r="A527" t="s">
        <v>818</v>
      </c>
      <c r="B527" t="s">
        <v>137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 s="8">
        <v>0.92679999999999996</v>
      </c>
      <c r="K527">
        <v>120000</v>
      </c>
      <c r="L527" s="2">
        <v>46144</v>
      </c>
    </row>
    <row r="528" spans="1:12">
      <c r="A528" t="s">
        <v>819</v>
      </c>
      <c r="B528" t="s">
        <v>820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 s="8">
        <v>0.89890000000000003</v>
      </c>
      <c r="K528">
        <v>90000</v>
      </c>
      <c r="L528" s="2">
        <v>45567</v>
      </c>
    </row>
    <row r="529" spans="1:12">
      <c r="A529" t="s">
        <v>821</v>
      </c>
      <c r="B529" t="s">
        <v>822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 s="8">
        <v>0.84360000000000002</v>
      </c>
      <c r="K529">
        <v>110000</v>
      </c>
      <c r="L529" s="2">
        <v>45561</v>
      </c>
    </row>
    <row r="530" spans="1:12">
      <c r="A530" t="s">
        <v>823</v>
      </c>
      <c r="B530" t="s">
        <v>344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 s="8">
        <v>0.68110000000000004</v>
      </c>
      <c r="K530">
        <v>75000</v>
      </c>
      <c r="L530" s="2">
        <v>45605</v>
      </c>
    </row>
    <row r="531" spans="1:12">
      <c r="A531" t="s">
        <v>824</v>
      </c>
      <c r="B531" t="s">
        <v>825</v>
      </c>
      <c r="C531" t="s">
        <v>19</v>
      </c>
      <c r="D531" t="s">
        <v>15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 s="8">
        <v>0.81059999999999999</v>
      </c>
      <c r="K531">
        <v>75000</v>
      </c>
      <c r="L531" s="2">
        <v>45925</v>
      </c>
    </row>
    <row r="532" spans="1:12">
      <c r="A532" t="s">
        <v>826</v>
      </c>
      <c r="B532" t="s">
        <v>729</v>
      </c>
      <c r="C532" t="s">
        <v>19</v>
      </c>
      <c r="D532" t="s">
        <v>15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 s="8">
        <v>0.61350000000000005</v>
      </c>
      <c r="K532">
        <v>70000</v>
      </c>
      <c r="L532" s="2">
        <v>46032</v>
      </c>
    </row>
    <row r="533" spans="1:12">
      <c r="A533" t="s">
        <v>827</v>
      </c>
      <c r="B533" t="s">
        <v>564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 s="8">
        <v>0.89029999999999998</v>
      </c>
      <c r="K533">
        <v>60000</v>
      </c>
      <c r="L533" s="2">
        <v>45687</v>
      </c>
    </row>
    <row r="534" spans="1:12">
      <c r="A534" t="s">
        <v>828</v>
      </c>
      <c r="B534" t="s">
        <v>329</v>
      </c>
      <c r="C534" t="s">
        <v>14</v>
      </c>
      <c r="D534" t="s">
        <v>53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 s="8">
        <v>0.9899</v>
      </c>
      <c r="K534">
        <v>75000</v>
      </c>
      <c r="L534" s="2">
        <v>45645</v>
      </c>
    </row>
    <row r="535" spans="1:12">
      <c r="A535" t="s">
        <v>829</v>
      </c>
      <c r="B535" t="s">
        <v>175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 s="8">
        <v>0.64270000000000005</v>
      </c>
      <c r="K535">
        <v>70000</v>
      </c>
      <c r="L535" s="2">
        <v>46138</v>
      </c>
    </row>
    <row r="536" spans="1:12">
      <c r="A536" t="s">
        <v>830</v>
      </c>
      <c r="B536" t="s">
        <v>262</v>
      </c>
      <c r="C536" t="s">
        <v>19</v>
      </c>
      <c r="D536" t="s">
        <v>36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 s="8">
        <v>0.55000000000000004</v>
      </c>
      <c r="K536">
        <v>110000</v>
      </c>
      <c r="L536" s="2">
        <v>46061</v>
      </c>
    </row>
    <row r="537" spans="1:12">
      <c r="A537" t="s">
        <v>831</v>
      </c>
      <c r="B537" t="s">
        <v>492</v>
      </c>
      <c r="C537" t="s">
        <v>14</v>
      </c>
      <c r="D537" t="s">
        <v>53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 s="8">
        <v>0.97529999999999994</v>
      </c>
      <c r="K537">
        <v>70000</v>
      </c>
      <c r="L537" s="2">
        <v>45989</v>
      </c>
    </row>
    <row r="538" spans="1:12">
      <c r="A538" t="s">
        <v>832</v>
      </c>
      <c r="B538" t="s">
        <v>833</v>
      </c>
      <c r="C538" t="s">
        <v>14</v>
      </c>
      <c r="D538" t="s">
        <v>28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 s="8">
        <v>0.55000000000000004</v>
      </c>
      <c r="K538">
        <v>60000</v>
      </c>
      <c r="L538" s="2">
        <v>45877</v>
      </c>
    </row>
    <row r="539" spans="1:12">
      <c r="A539" t="s">
        <v>834</v>
      </c>
      <c r="B539" t="s">
        <v>354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 s="8">
        <v>0.86860000000000004</v>
      </c>
      <c r="K539">
        <v>110000</v>
      </c>
      <c r="L539" s="2">
        <v>45830</v>
      </c>
    </row>
    <row r="540" spans="1:12">
      <c r="A540" t="s">
        <v>835</v>
      </c>
      <c r="B540" t="s">
        <v>380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 s="8">
        <v>0.97550000000000003</v>
      </c>
      <c r="K540">
        <v>85000</v>
      </c>
      <c r="L540" s="2">
        <v>45550</v>
      </c>
    </row>
    <row r="541" spans="1:12">
      <c r="A541" t="s">
        <v>836</v>
      </c>
      <c r="B541" t="s">
        <v>382</v>
      </c>
      <c r="C541" t="s">
        <v>14</v>
      </c>
      <c r="D541" t="s">
        <v>53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 s="8">
        <v>0.92479999999999996</v>
      </c>
      <c r="K541">
        <v>70000</v>
      </c>
      <c r="L541" s="2">
        <v>45667</v>
      </c>
    </row>
    <row r="542" spans="1:12">
      <c r="A542" t="s">
        <v>837</v>
      </c>
      <c r="B542" t="s">
        <v>218</v>
      </c>
      <c r="C542" t="s">
        <v>19</v>
      </c>
      <c r="D542" t="s">
        <v>53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 s="8">
        <v>0.88629999999999998</v>
      </c>
      <c r="K542">
        <v>100000</v>
      </c>
      <c r="L542" s="2">
        <v>46163</v>
      </c>
    </row>
    <row r="543" spans="1:12">
      <c r="A543" t="s">
        <v>838</v>
      </c>
      <c r="B543" t="s">
        <v>241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 s="8">
        <v>0.88</v>
      </c>
      <c r="K543">
        <v>70000</v>
      </c>
      <c r="L543" s="2">
        <v>45773</v>
      </c>
    </row>
    <row r="544" spans="1:12">
      <c r="A544" t="s">
        <v>839</v>
      </c>
      <c r="B544" t="s">
        <v>451</v>
      </c>
      <c r="C544" t="s">
        <v>14</v>
      </c>
      <c r="D544" t="s">
        <v>53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 s="8">
        <v>0.91969999999999996</v>
      </c>
      <c r="K544">
        <v>110000</v>
      </c>
      <c r="L544" s="2">
        <v>46029</v>
      </c>
    </row>
    <row r="545" spans="1:12">
      <c r="A545" t="s">
        <v>840</v>
      </c>
      <c r="B545" t="s">
        <v>133</v>
      </c>
      <c r="C545" t="s">
        <v>14</v>
      </c>
      <c r="D545" t="s">
        <v>53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 s="8">
        <v>0.96040000000000003</v>
      </c>
      <c r="K545">
        <v>50000</v>
      </c>
      <c r="L545" s="2">
        <v>46028</v>
      </c>
    </row>
    <row r="546" spans="1:12">
      <c r="A546" t="s">
        <v>841</v>
      </c>
      <c r="B546" t="s">
        <v>191</v>
      </c>
      <c r="C546" t="s">
        <v>19</v>
      </c>
      <c r="D546" t="s">
        <v>53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 s="8">
        <v>0.65920000000000001</v>
      </c>
      <c r="K546">
        <v>90000</v>
      </c>
      <c r="L546" s="2">
        <v>45752</v>
      </c>
    </row>
    <row r="547" spans="1:12">
      <c r="A547" t="s">
        <v>842</v>
      </c>
      <c r="B547" t="s">
        <v>202</v>
      </c>
      <c r="C547" t="s">
        <v>14</v>
      </c>
      <c r="D547" t="s">
        <v>32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 s="8">
        <v>0.87029999999999996</v>
      </c>
      <c r="K547">
        <v>90000</v>
      </c>
      <c r="L547" s="2">
        <v>45679</v>
      </c>
    </row>
    <row r="548" spans="1:12">
      <c r="A548" t="s">
        <v>843</v>
      </c>
      <c r="B548" t="s">
        <v>657</v>
      </c>
      <c r="C548" t="s">
        <v>14</v>
      </c>
      <c r="D548" t="s">
        <v>36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 s="8">
        <v>0.86019999999999996</v>
      </c>
      <c r="K548">
        <v>80000</v>
      </c>
      <c r="L548" s="2">
        <v>46020</v>
      </c>
    </row>
    <row r="549" spans="1:12">
      <c r="A549" t="s">
        <v>844</v>
      </c>
      <c r="B549" t="s">
        <v>111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 s="8">
        <v>0.89280000000000004</v>
      </c>
      <c r="K549">
        <v>100000</v>
      </c>
      <c r="L549" s="2">
        <v>45601</v>
      </c>
    </row>
    <row r="550" spans="1:12">
      <c r="A550" t="s">
        <v>845</v>
      </c>
      <c r="B550" t="s">
        <v>180</v>
      </c>
      <c r="C550" t="s">
        <v>19</v>
      </c>
      <c r="D550" t="s">
        <v>53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 s="8">
        <v>0.96479999999999999</v>
      </c>
      <c r="K550">
        <v>80000</v>
      </c>
      <c r="L550" s="2">
        <v>45882</v>
      </c>
    </row>
    <row r="551" spans="1:12">
      <c r="A551" t="s">
        <v>846</v>
      </c>
      <c r="B551" t="s">
        <v>344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 s="8">
        <v>0.71599999999999997</v>
      </c>
      <c r="K551">
        <v>100000</v>
      </c>
      <c r="L551" s="2">
        <v>46157</v>
      </c>
    </row>
    <row r="552" spans="1:12">
      <c r="A552" t="s">
        <v>847</v>
      </c>
      <c r="B552" t="s">
        <v>458</v>
      </c>
      <c r="C552" t="s">
        <v>19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 s="8">
        <v>0.94040000000000001</v>
      </c>
      <c r="K552">
        <v>70000</v>
      </c>
      <c r="L552" s="2">
        <v>46033</v>
      </c>
    </row>
    <row r="553" spans="1:12">
      <c r="A553" t="s">
        <v>848</v>
      </c>
      <c r="B553" t="s">
        <v>194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 s="8">
        <v>0.86550000000000005</v>
      </c>
      <c r="K553">
        <v>90000</v>
      </c>
      <c r="L553" s="2">
        <v>46070</v>
      </c>
    </row>
    <row r="554" spans="1:12">
      <c r="A554" t="s">
        <v>849</v>
      </c>
      <c r="B554" t="s">
        <v>539</v>
      </c>
      <c r="C554" t="s">
        <v>19</v>
      </c>
      <c r="D554" t="s">
        <v>53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 s="8">
        <v>0.75460000000000005</v>
      </c>
      <c r="K554">
        <v>110000</v>
      </c>
      <c r="L554" s="2">
        <v>45594</v>
      </c>
    </row>
    <row r="555" spans="1:12">
      <c r="A555" t="s">
        <v>850</v>
      </c>
      <c r="B555" t="s">
        <v>406</v>
      </c>
      <c r="C555" t="s">
        <v>14</v>
      </c>
      <c r="D555" t="s">
        <v>53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 s="8">
        <v>0.88370000000000004</v>
      </c>
      <c r="K555">
        <v>130000</v>
      </c>
      <c r="L555" s="2">
        <v>45675</v>
      </c>
    </row>
    <row r="556" spans="1:12">
      <c r="A556" t="s">
        <v>851</v>
      </c>
      <c r="B556" t="s">
        <v>376</v>
      </c>
      <c r="C556" t="s">
        <v>19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 s="8">
        <v>0.89329999999999998</v>
      </c>
      <c r="K556">
        <v>75000</v>
      </c>
      <c r="L556" s="2">
        <v>45728</v>
      </c>
    </row>
    <row r="557" spans="1:12">
      <c r="A557" t="s">
        <v>852</v>
      </c>
      <c r="B557" t="s">
        <v>853</v>
      </c>
      <c r="C557" t="s">
        <v>19</v>
      </c>
      <c r="D557" t="s">
        <v>15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 s="8">
        <v>0.80640000000000001</v>
      </c>
      <c r="K557">
        <v>85000</v>
      </c>
      <c r="L557" s="2">
        <v>45740</v>
      </c>
    </row>
    <row r="558" spans="1:12">
      <c r="A558" t="s">
        <v>854</v>
      </c>
      <c r="B558" t="s">
        <v>262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 s="8">
        <v>0.85580000000000001</v>
      </c>
      <c r="K558">
        <v>85000</v>
      </c>
      <c r="L558" s="2">
        <v>45671</v>
      </c>
    </row>
    <row r="559" spans="1:12">
      <c r="A559" t="s">
        <v>855</v>
      </c>
      <c r="B559" t="s">
        <v>392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 s="8">
        <v>0.93220000000000003</v>
      </c>
      <c r="K559">
        <v>120000</v>
      </c>
      <c r="L559" s="2">
        <v>46216</v>
      </c>
    </row>
    <row r="560" spans="1:12">
      <c r="A560" t="s">
        <v>856</v>
      </c>
      <c r="B560" t="s">
        <v>699</v>
      </c>
      <c r="C560" t="s">
        <v>19</v>
      </c>
      <c r="D560" t="s">
        <v>28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 s="8">
        <v>0.86670000000000003</v>
      </c>
      <c r="K560">
        <v>130000</v>
      </c>
      <c r="L560" s="2">
        <v>45651</v>
      </c>
    </row>
    <row r="561" spans="1:12">
      <c r="A561" t="s">
        <v>857</v>
      </c>
      <c r="B561" t="s">
        <v>858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 s="8">
        <v>0.8669</v>
      </c>
      <c r="K561">
        <v>100000</v>
      </c>
      <c r="L561" s="2">
        <v>46031</v>
      </c>
    </row>
    <row r="562" spans="1:12">
      <c r="A562" t="s">
        <v>859</v>
      </c>
      <c r="B562" t="s">
        <v>256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 s="8">
        <v>0.91290000000000004</v>
      </c>
      <c r="K562">
        <v>120000</v>
      </c>
      <c r="L562" s="2">
        <v>45946</v>
      </c>
    </row>
    <row r="563" spans="1:12">
      <c r="A563" t="s">
        <v>860</v>
      </c>
      <c r="B563" t="s">
        <v>640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 s="8">
        <v>0.7671</v>
      </c>
      <c r="K563">
        <v>50000</v>
      </c>
      <c r="L563" s="2">
        <v>45963</v>
      </c>
    </row>
    <row r="564" spans="1:12">
      <c r="A564" t="s">
        <v>861</v>
      </c>
      <c r="B564" t="s">
        <v>662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 s="8">
        <v>0.76170000000000004</v>
      </c>
      <c r="K564">
        <v>110000</v>
      </c>
      <c r="L564" s="2">
        <v>45686</v>
      </c>
    </row>
    <row r="565" spans="1:12">
      <c r="A565" t="s">
        <v>862</v>
      </c>
      <c r="B565" t="s">
        <v>737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 s="8">
        <v>0.90059999999999996</v>
      </c>
      <c r="K565">
        <v>110000</v>
      </c>
      <c r="L565" s="2">
        <v>45751</v>
      </c>
    </row>
    <row r="566" spans="1:12">
      <c r="A566" t="s">
        <v>863</v>
      </c>
      <c r="B566" t="s">
        <v>315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 s="8">
        <v>0.76729999999999998</v>
      </c>
      <c r="K566">
        <v>100000</v>
      </c>
      <c r="L566" s="2">
        <v>45960</v>
      </c>
    </row>
    <row r="567" spans="1:12">
      <c r="A567" t="s">
        <v>864</v>
      </c>
      <c r="B567" t="s">
        <v>865</v>
      </c>
      <c r="C567" t="s">
        <v>14</v>
      </c>
      <c r="D567" t="s">
        <v>15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 s="8">
        <v>0.89539999999999997</v>
      </c>
      <c r="K567">
        <v>90000</v>
      </c>
      <c r="L567" s="2">
        <v>45745</v>
      </c>
    </row>
    <row r="568" spans="1:12">
      <c r="A568" t="s">
        <v>866</v>
      </c>
      <c r="B568" t="s">
        <v>329</v>
      </c>
      <c r="C568" t="s">
        <v>14</v>
      </c>
      <c r="D568" t="s">
        <v>53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 s="8">
        <v>0.91439999999999999</v>
      </c>
      <c r="K568">
        <v>120000</v>
      </c>
      <c r="L568" s="2">
        <v>46021</v>
      </c>
    </row>
    <row r="569" spans="1:12">
      <c r="A569" t="s">
        <v>867</v>
      </c>
      <c r="B569" t="s">
        <v>528</v>
      </c>
      <c r="C569" t="s">
        <v>14</v>
      </c>
      <c r="D569" t="s">
        <v>36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 s="8">
        <v>0.6361</v>
      </c>
      <c r="K569">
        <v>100000</v>
      </c>
      <c r="L569" s="2">
        <v>45563</v>
      </c>
    </row>
    <row r="570" spans="1:12">
      <c r="A570" t="s">
        <v>868</v>
      </c>
      <c r="B570" t="s">
        <v>102</v>
      </c>
      <c r="C570" t="s">
        <v>19</v>
      </c>
      <c r="D570" t="s">
        <v>15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 s="8">
        <v>0.79779999999999995</v>
      </c>
      <c r="K570">
        <v>120000</v>
      </c>
      <c r="L570" s="2">
        <v>45586</v>
      </c>
    </row>
    <row r="571" spans="1:12">
      <c r="A571" t="s">
        <v>869</v>
      </c>
      <c r="B571" t="s">
        <v>825</v>
      </c>
      <c r="C571" t="s">
        <v>19</v>
      </c>
      <c r="D571" t="s">
        <v>20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 s="8">
        <v>0.91149999999999998</v>
      </c>
      <c r="K571">
        <v>60000</v>
      </c>
      <c r="L571" s="2">
        <v>46045</v>
      </c>
    </row>
    <row r="572" spans="1:12">
      <c r="A572" t="s">
        <v>870</v>
      </c>
      <c r="B572" t="s">
        <v>611</v>
      </c>
      <c r="C572" t="s">
        <v>19</v>
      </c>
      <c r="D572" t="s">
        <v>36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 s="8">
        <v>0.67059999999999997</v>
      </c>
      <c r="K572">
        <v>100000</v>
      </c>
      <c r="L572" s="2">
        <v>45967</v>
      </c>
    </row>
    <row r="573" spans="1:12">
      <c r="A573" t="s">
        <v>871</v>
      </c>
      <c r="B573" t="s">
        <v>872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 s="8">
        <v>0.97309999999999997</v>
      </c>
      <c r="K573">
        <v>80000</v>
      </c>
      <c r="L573" s="2">
        <v>45566</v>
      </c>
    </row>
    <row r="574" spans="1:12">
      <c r="A574" t="s">
        <v>873</v>
      </c>
      <c r="B574" t="s">
        <v>109</v>
      </c>
      <c r="C574" t="s">
        <v>14</v>
      </c>
      <c r="D574" t="s">
        <v>36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 s="8">
        <v>0.84619999999999995</v>
      </c>
      <c r="K574">
        <v>120000</v>
      </c>
      <c r="L574" s="2">
        <v>46165</v>
      </c>
    </row>
    <row r="575" spans="1:12">
      <c r="A575" t="s">
        <v>874</v>
      </c>
      <c r="B575" t="s">
        <v>875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 s="8">
        <v>0.78520000000000001</v>
      </c>
      <c r="K575">
        <v>120000</v>
      </c>
      <c r="L575" s="2">
        <v>45539</v>
      </c>
    </row>
    <row r="576" spans="1:12">
      <c r="A576" t="s">
        <v>876</v>
      </c>
      <c r="B576" t="s">
        <v>482</v>
      </c>
      <c r="C576" t="s">
        <v>14</v>
      </c>
      <c r="D576" t="s">
        <v>53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 s="8">
        <v>0.72130000000000005</v>
      </c>
      <c r="K576">
        <v>120000</v>
      </c>
      <c r="L576" s="2">
        <v>46204</v>
      </c>
    </row>
    <row r="577" spans="1:12">
      <c r="A577" t="s">
        <v>877</v>
      </c>
      <c r="B577" t="s">
        <v>878</v>
      </c>
      <c r="C577" t="s">
        <v>14</v>
      </c>
      <c r="D577" t="s">
        <v>53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 s="8">
        <v>0.72009999999999996</v>
      </c>
      <c r="K577">
        <v>70000</v>
      </c>
      <c r="L577" s="2">
        <v>46046</v>
      </c>
    </row>
    <row r="578" spans="1:12">
      <c r="A578" t="s">
        <v>879</v>
      </c>
      <c r="B578" t="s">
        <v>880</v>
      </c>
      <c r="C578" t="s">
        <v>19</v>
      </c>
      <c r="D578" t="s">
        <v>53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 s="8">
        <v>0.61860000000000004</v>
      </c>
      <c r="K578">
        <v>85000</v>
      </c>
      <c r="L578" s="2">
        <v>46227</v>
      </c>
    </row>
    <row r="579" spans="1:12">
      <c r="A579" t="s">
        <v>881</v>
      </c>
      <c r="B579" t="s">
        <v>490</v>
      </c>
      <c r="C579" t="s">
        <v>19</v>
      </c>
      <c r="D579" t="s">
        <v>36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 s="8">
        <v>0.88939999999999997</v>
      </c>
      <c r="K579">
        <v>50000</v>
      </c>
      <c r="L579" s="2">
        <v>46200</v>
      </c>
    </row>
    <row r="580" spans="1:12">
      <c r="A580" t="s">
        <v>882</v>
      </c>
      <c r="B580" t="s">
        <v>200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 s="8">
        <v>0.99139999999999995</v>
      </c>
      <c r="K580">
        <v>130000</v>
      </c>
      <c r="L580" s="2">
        <v>45755</v>
      </c>
    </row>
    <row r="581" spans="1:12">
      <c r="A581" t="s">
        <v>883</v>
      </c>
      <c r="B581" t="s">
        <v>532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 s="8">
        <v>0.75329999999999997</v>
      </c>
      <c r="K581">
        <v>70000</v>
      </c>
      <c r="L581" s="2">
        <v>46065</v>
      </c>
    </row>
    <row r="582" spans="1:12">
      <c r="A582" t="s">
        <v>884</v>
      </c>
      <c r="B582" t="s">
        <v>431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 s="8">
        <v>0.68700000000000006</v>
      </c>
      <c r="K582">
        <v>90000</v>
      </c>
      <c r="L582" s="2">
        <v>45683</v>
      </c>
    </row>
    <row r="583" spans="1:12">
      <c r="A583" t="s">
        <v>885</v>
      </c>
      <c r="B583" t="s">
        <v>50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 s="8">
        <v>0.61609999999999998</v>
      </c>
      <c r="K583">
        <v>85000</v>
      </c>
      <c r="L583" s="2">
        <v>45866</v>
      </c>
    </row>
    <row r="584" spans="1:12">
      <c r="A584" t="s">
        <v>886</v>
      </c>
      <c r="B584" t="s">
        <v>357</v>
      </c>
      <c r="C584" t="s">
        <v>14</v>
      </c>
      <c r="D584" t="s">
        <v>36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 s="8">
        <v>0.71809999999999996</v>
      </c>
      <c r="K584">
        <v>120000</v>
      </c>
      <c r="L584" s="2">
        <v>45704</v>
      </c>
    </row>
    <row r="585" spans="1:12">
      <c r="A585" t="s">
        <v>887</v>
      </c>
      <c r="B585" t="s">
        <v>106</v>
      </c>
      <c r="C585" t="s">
        <v>14</v>
      </c>
      <c r="D585" t="s">
        <v>36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 s="8">
        <v>0.78890000000000005</v>
      </c>
      <c r="K585">
        <v>120000</v>
      </c>
      <c r="L585" s="2">
        <v>45876</v>
      </c>
    </row>
    <row r="586" spans="1:12">
      <c r="A586" t="s">
        <v>888</v>
      </c>
      <c r="B586" t="s">
        <v>528</v>
      </c>
      <c r="C586" t="s">
        <v>14</v>
      </c>
      <c r="D586" t="s">
        <v>53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 s="8">
        <v>0.79039999999999999</v>
      </c>
      <c r="K586">
        <v>110000</v>
      </c>
      <c r="L586" s="2">
        <v>46146</v>
      </c>
    </row>
    <row r="587" spans="1:12">
      <c r="A587" t="s">
        <v>889</v>
      </c>
      <c r="B587" t="s">
        <v>541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 s="8">
        <v>0.66379999999999995</v>
      </c>
      <c r="K587">
        <v>100000</v>
      </c>
      <c r="L587" s="2">
        <v>45841</v>
      </c>
    </row>
    <row r="588" spans="1:12">
      <c r="A588" t="s">
        <v>890</v>
      </c>
      <c r="B588" t="s">
        <v>79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 s="8">
        <v>0.94240000000000002</v>
      </c>
      <c r="K588">
        <v>60000</v>
      </c>
      <c r="L588" s="2">
        <v>45600</v>
      </c>
    </row>
    <row r="589" spans="1:12">
      <c r="A589" t="s">
        <v>891</v>
      </c>
      <c r="B589" t="s">
        <v>451</v>
      </c>
      <c r="C589" t="s">
        <v>14</v>
      </c>
      <c r="D589" t="s">
        <v>53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 s="8">
        <v>0.86570000000000003</v>
      </c>
      <c r="K589">
        <v>130000</v>
      </c>
      <c r="L589" s="2">
        <v>45763</v>
      </c>
    </row>
    <row r="590" spans="1:12">
      <c r="A590" t="s">
        <v>892</v>
      </c>
      <c r="B590" t="s">
        <v>77</v>
      </c>
      <c r="C590" t="s">
        <v>19</v>
      </c>
      <c r="D590" t="s">
        <v>36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 s="8">
        <v>0.62649999999999995</v>
      </c>
      <c r="K590">
        <v>50000</v>
      </c>
      <c r="L590" s="2">
        <v>46086</v>
      </c>
    </row>
    <row r="591" spans="1:12">
      <c r="A591" t="s">
        <v>893</v>
      </c>
      <c r="B591" t="s">
        <v>675</v>
      </c>
      <c r="C591" t="s">
        <v>19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 s="8">
        <v>0.91310000000000002</v>
      </c>
      <c r="K591">
        <v>85000</v>
      </c>
      <c r="L591" s="2">
        <v>45901</v>
      </c>
    </row>
    <row r="592" spans="1:12">
      <c r="A592" t="s">
        <v>894</v>
      </c>
      <c r="B592" t="s">
        <v>213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 s="8">
        <v>0.75449999999999995</v>
      </c>
      <c r="K592">
        <v>80000</v>
      </c>
      <c r="L592" s="2">
        <v>45928</v>
      </c>
    </row>
    <row r="593" spans="1:12">
      <c r="A593" t="s">
        <v>895</v>
      </c>
      <c r="B593" t="s">
        <v>636</v>
      </c>
      <c r="C593" t="s">
        <v>19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 s="8">
        <v>0.8861</v>
      </c>
      <c r="K593">
        <v>80000</v>
      </c>
      <c r="L593" s="2">
        <v>45837</v>
      </c>
    </row>
    <row r="594" spans="1:12">
      <c r="A594" t="s">
        <v>896</v>
      </c>
      <c r="B594" t="s">
        <v>878</v>
      </c>
      <c r="C594" t="s">
        <v>14</v>
      </c>
      <c r="D594" t="s">
        <v>15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 s="8">
        <v>0.6996</v>
      </c>
      <c r="K594">
        <v>130000</v>
      </c>
      <c r="L594" s="2">
        <v>45740</v>
      </c>
    </row>
    <row r="595" spans="1:12">
      <c r="A595" t="s">
        <v>897</v>
      </c>
      <c r="B595" t="s">
        <v>898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 s="8">
        <v>0.80689999999999995</v>
      </c>
      <c r="K595">
        <v>70000</v>
      </c>
      <c r="L595" s="2">
        <v>45954</v>
      </c>
    </row>
    <row r="596" spans="1:12">
      <c r="A596" t="s">
        <v>899</v>
      </c>
      <c r="B596" t="s">
        <v>274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 s="8">
        <v>0.94950000000000001</v>
      </c>
      <c r="K596">
        <v>90000</v>
      </c>
      <c r="L596" s="2">
        <v>45979</v>
      </c>
    </row>
    <row r="597" spans="1:12">
      <c r="A597" t="s">
        <v>900</v>
      </c>
      <c r="B597" t="s">
        <v>412</v>
      </c>
      <c r="C597" t="s">
        <v>19</v>
      </c>
      <c r="D597" t="s">
        <v>53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 s="8">
        <v>0.86019999999999996</v>
      </c>
      <c r="K597">
        <v>70000</v>
      </c>
      <c r="L597" s="2">
        <v>46164</v>
      </c>
    </row>
    <row r="598" spans="1:12">
      <c r="A598" t="s">
        <v>901</v>
      </c>
      <c r="B598" t="s">
        <v>710</v>
      </c>
      <c r="C598" t="s">
        <v>19</v>
      </c>
      <c r="D598" t="s">
        <v>53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 s="8">
        <v>0.59350000000000003</v>
      </c>
      <c r="K598">
        <v>130000</v>
      </c>
      <c r="L598" s="2">
        <v>45968</v>
      </c>
    </row>
    <row r="599" spans="1:12">
      <c r="A599" t="s">
        <v>902</v>
      </c>
      <c r="B599" t="s">
        <v>805</v>
      </c>
      <c r="C599" t="s">
        <v>19</v>
      </c>
      <c r="D599" t="s">
        <v>36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 s="8">
        <v>0.87170000000000003</v>
      </c>
      <c r="K599">
        <v>110000</v>
      </c>
      <c r="L599" s="2">
        <v>46232</v>
      </c>
    </row>
    <row r="600" spans="1:12">
      <c r="A600" t="s">
        <v>903</v>
      </c>
      <c r="B600" t="s">
        <v>61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 s="8">
        <v>0.76070000000000004</v>
      </c>
      <c r="K600">
        <v>80000</v>
      </c>
      <c r="L600" s="2">
        <v>46114</v>
      </c>
    </row>
    <row r="601" spans="1:12">
      <c r="A601" t="s">
        <v>904</v>
      </c>
      <c r="B601" t="s">
        <v>392</v>
      </c>
      <c r="C601" t="s">
        <v>19</v>
      </c>
      <c r="D601" t="s">
        <v>36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 s="8">
        <v>0.94220000000000004</v>
      </c>
      <c r="K601">
        <v>50000</v>
      </c>
      <c r="L601" s="2">
        <v>45591</v>
      </c>
    </row>
    <row r="602" spans="1:12">
      <c r="A602" t="s">
        <v>905</v>
      </c>
      <c r="B602" t="s">
        <v>301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 s="8">
        <v>0.89649999999999996</v>
      </c>
      <c r="K602">
        <v>60000</v>
      </c>
      <c r="L602" s="2">
        <v>45810</v>
      </c>
    </row>
    <row r="603" spans="1:12">
      <c r="A603" t="s">
        <v>906</v>
      </c>
      <c r="B603" t="s">
        <v>589</v>
      </c>
      <c r="C603" t="s">
        <v>19</v>
      </c>
      <c r="D603" t="s">
        <v>28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 s="8">
        <v>0.9133</v>
      </c>
      <c r="K603">
        <v>70000</v>
      </c>
      <c r="L603" s="2">
        <v>45805</v>
      </c>
    </row>
    <row r="604" spans="1:12">
      <c r="A604" t="s">
        <v>907</v>
      </c>
      <c r="B604" t="s">
        <v>908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 s="8">
        <v>0.73009999999999997</v>
      </c>
      <c r="K604">
        <v>80000</v>
      </c>
      <c r="L604" s="2">
        <v>45538</v>
      </c>
    </row>
    <row r="605" spans="1:12">
      <c r="A605" t="s">
        <v>909</v>
      </c>
      <c r="B605" t="s">
        <v>115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 s="8">
        <v>0.91159999999999997</v>
      </c>
      <c r="K605">
        <v>120000</v>
      </c>
      <c r="L605" s="2">
        <v>45662</v>
      </c>
    </row>
    <row r="606" spans="1:12">
      <c r="A606" t="s">
        <v>910</v>
      </c>
      <c r="B606" t="s">
        <v>239</v>
      </c>
      <c r="C606" t="s">
        <v>19</v>
      </c>
      <c r="D606" t="s">
        <v>15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 s="8">
        <v>0.55000000000000004</v>
      </c>
      <c r="K606">
        <v>60000</v>
      </c>
      <c r="L606" s="2">
        <v>46069</v>
      </c>
    </row>
    <row r="607" spans="1:12">
      <c r="A607" t="s">
        <v>911</v>
      </c>
      <c r="B607" t="s">
        <v>912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 s="8">
        <v>0.9637</v>
      </c>
      <c r="K607">
        <v>90000</v>
      </c>
      <c r="L607" s="2">
        <v>45782</v>
      </c>
    </row>
    <row r="608" spans="1:12">
      <c r="A608" t="s">
        <v>913</v>
      </c>
      <c r="B608" t="s">
        <v>833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 s="8">
        <v>0.66120000000000001</v>
      </c>
      <c r="K608">
        <v>75000</v>
      </c>
      <c r="L608" s="2">
        <v>45639</v>
      </c>
    </row>
    <row r="609" spans="1:12">
      <c r="A609" t="s">
        <v>914</v>
      </c>
      <c r="B609" t="s">
        <v>915</v>
      </c>
      <c r="C609" t="s">
        <v>19</v>
      </c>
      <c r="D609" t="s">
        <v>53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 s="8">
        <v>0.84309999999999996</v>
      </c>
      <c r="K609">
        <v>50000</v>
      </c>
      <c r="L609" s="2">
        <v>45737</v>
      </c>
    </row>
    <row r="610" spans="1:12">
      <c r="A610" t="s">
        <v>916</v>
      </c>
      <c r="B610" t="s">
        <v>653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 s="8">
        <v>0.75800000000000001</v>
      </c>
      <c r="K610">
        <v>90000</v>
      </c>
      <c r="L610" s="2">
        <v>45728</v>
      </c>
    </row>
    <row r="611" spans="1:12">
      <c r="A611" t="s">
        <v>917</v>
      </c>
      <c r="B611" t="s">
        <v>323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 s="8">
        <v>0.86609999999999998</v>
      </c>
      <c r="K611">
        <v>100000</v>
      </c>
      <c r="L611" s="2">
        <v>45658</v>
      </c>
    </row>
    <row r="612" spans="1:12">
      <c r="A612" t="s">
        <v>918</v>
      </c>
      <c r="B612" t="s">
        <v>380</v>
      </c>
      <c r="C612" t="s">
        <v>19</v>
      </c>
      <c r="D612" t="s">
        <v>36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 s="8">
        <v>0.55000000000000004</v>
      </c>
      <c r="K612">
        <v>130000</v>
      </c>
      <c r="L612" s="2">
        <v>45606</v>
      </c>
    </row>
    <row r="613" spans="1:12">
      <c r="A613" t="s">
        <v>919</v>
      </c>
      <c r="B613" t="s">
        <v>69</v>
      </c>
      <c r="C613" t="s">
        <v>14</v>
      </c>
      <c r="D613" t="s">
        <v>53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 s="8">
        <v>0.74650000000000005</v>
      </c>
      <c r="K613">
        <v>85000</v>
      </c>
      <c r="L613" s="2">
        <v>46070</v>
      </c>
    </row>
    <row r="614" spans="1:12">
      <c r="A614" t="s">
        <v>920</v>
      </c>
      <c r="B614" t="s">
        <v>697</v>
      </c>
      <c r="C614" t="s">
        <v>19</v>
      </c>
      <c r="D614" t="s">
        <v>53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 s="8">
        <v>0.55000000000000004</v>
      </c>
      <c r="K614">
        <v>75000</v>
      </c>
      <c r="L614" s="2">
        <v>46113</v>
      </c>
    </row>
    <row r="615" spans="1:12">
      <c r="A615" t="s">
        <v>921</v>
      </c>
      <c r="B615" t="s">
        <v>161</v>
      </c>
      <c r="C615" t="s">
        <v>14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 s="8">
        <v>0.96399999999999997</v>
      </c>
      <c r="K615">
        <v>120000</v>
      </c>
      <c r="L615" s="2">
        <v>45883</v>
      </c>
    </row>
    <row r="616" spans="1:12">
      <c r="A616" t="s">
        <v>922</v>
      </c>
      <c r="B616" t="s">
        <v>923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 s="8">
        <v>0.73899999999999999</v>
      </c>
      <c r="K616">
        <v>70000</v>
      </c>
      <c r="L616" s="2">
        <v>45966</v>
      </c>
    </row>
    <row r="617" spans="1:12">
      <c r="A617" t="s">
        <v>924</v>
      </c>
      <c r="B617" t="s">
        <v>777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 s="8">
        <v>0.80759999999999998</v>
      </c>
      <c r="K617">
        <v>100000</v>
      </c>
      <c r="L617" s="2">
        <v>46179</v>
      </c>
    </row>
    <row r="618" spans="1:12">
      <c r="A618" t="s">
        <v>925</v>
      </c>
      <c r="B618" t="s">
        <v>926</v>
      </c>
      <c r="C618" t="s">
        <v>14</v>
      </c>
      <c r="D618" t="s">
        <v>32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 s="8">
        <v>0.85309999999999997</v>
      </c>
      <c r="K618">
        <v>130000</v>
      </c>
      <c r="L618" s="2">
        <v>46125</v>
      </c>
    </row>
    <row r="619" spans="1:12">
      <c r="A619" t="s">
        <v>927</v>
      </c>
      <c r="B619" t="s">
        <v>928</v>
      </c>
      <c r="C619" t="s">
        <v>14</v>
      </c>
      <c r="D619" t="s">
        <v>53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 s="8">
        <v>0.77849999999999997</v>
      </c>
      <c r="K619">
        <v>50000</v>
      </c>
      <c r="L619" s="2">
        <v>45558</v>
      </c>
    </row>
    <row r="620" spans="1:12">
      <c r="A620" t="s">
        <v>929</v>
      </c>
      <c r="B620" t="s">
        <v>930</v>
      </c>
      <c r="C620" t="s">
        <v>14</v>
      </c>
      <c r="D620" t="s">
        <v>36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 s="8">
        <v>0.64100000000000001</v>
      </c>
      <c r="K620">
        <v>130000</v>
      </c>
      <c r="L620" s="2">
        <v>46203</v>
      </c>
    </row>
    <row r="621" spans="1:12">
      <c r="A621" t="s">
        <v>931</v>
      </c>
      <c r="B621" t="s">
        <v>186</v>
      </c>
      <c r="C621" t="s">
        <v>14</v>
      </c>
      <c r="D621" t="s">
        <v>15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 s="8">
        <v>0.92290000000000005</v>
      </c>
      <c r="K621">
        <v>70000</v>
      </c>
      <c r="L621" s="2">
        <v>45582</v>
      </c>
    </row>
    <row r="622" spans="1:12">
      <c r="A622" t="s">
        <v>932</v>
      </c>
      <c r="B622" t="s">
        <v>431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 s="8">
        <v>0.88260000000000005</v>
      </c>
      <c r="K622">
        <v>85000</v>
      </c>
      <c r="L622" s="2">
        <v>45554</v>
      </c>
    </row>
    <row r="623" spans="1:12">
      <c r="A623" t="s">
        <v>933</v>
      </c>
      <c r="B623" t="s">
        <v>210</v>
      </c>
      <c r="C623" t="s">
        <v>14</v>
      </c>
      <c r="D623" t="s">
        <v>20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 s="8">
        <v>0.9829</v>
      </c>
      <c r="K623">
        <v>70000</v>
      </c>
      <c r="L623" s="2">
        <v>45818</v>
      </c>
    </row>
    <row r="624" spans="1:12">
      <c r="A624" t="s">
        <v>934</v>
      </c>
      <c r="B624" t="s">
        <v>370</v>
      </c>
      <c r="C624" t="s">
        <v>14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 s="8">
        <v>0.95050000000000001</v>
      </c>
      <c r="K624">
        <v>60000</v>
      </c>
      <c r="L624" s="2">
        <v>46058</v>
      </c>
    </row>
    <row r="625" spans="1:12">
      <c r="A625" t="s">
        <v>935</v>
      </c>
      <c r="B625" t="s">
        <v>164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 s="8">
        <v>0.87350000000000005</v>
      </c>
      <c r="K625">
        <v>100000</v>
      </c>
      <c r="L625" s="2">
        <v>45592</v>
      </c>
    </row>
    <row r="626" spans="1:12">
      <c r="A626" t="s">
        <v>936</v>
      </c>
      <c r="B626" t="s">
        <v>59</v>
      </c>
      <c r="C626" t="s">
        <v>19</v>
      </c>
      <c r="D626" t="s">
        <v>28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 s="8">
        <v>0.75249999999999995</v>
      </c>
      <c r="K626">
        <v>85000</v>
      </c>
      <c r="L626" s="2">
        <v>45741</v>
      </c>
    </row>
    <row r="627" spans="1:12">
      <c r="A627" t="s">
        <v>937</v>
      </c>
      <c r="B627" t="s">
        <v>737</v>
      </c>
      <c r="C627" t="s">
        <v>14</v>
      </c>
      <c r="D627" t="s">
        <v>28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 s="8">
        <v>0.98350000000000004</v>
      </c>
      <c r="K627">
        <v>85000</v>
      </c>
      <c r="L627" s="2">
        <v>45719</v>
      </c>
    </row>
    <row r="628" spans="1:12">
      <c r="A628" t="s">
        <v>938</v>
      </c>
      <c r="B628" t="s">
        <v>939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 s="8">
        <v>0.90610000000000002</v>
      </c>
      <c r="K628">
        <v>85000</v>
      </c>
      <c r="L628" s="2">
        <v>45814</v>
      </c>
    </row>
    <row r="629" spans="1:12">
      <c r="A629" t="s">
        <v>940</v>
      </c>
      <c r="B629" t="s">
        <v>460</v>
      </c>
      <c r="C629" t="s">
        <v>14</v>
      </c>
      <c r="D629" t="s">
        <v>36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 s="8">
        <v>0.93130000000000002</v>
      </c>
      <c r="K629">
        <v>110000</v>
      </c>
      <c r="L629" s="2">
        <v>46226</v>
      </c>
    </row>
    <row r="630" spans="1:12">
      <c r="A630" t="s">
        <v>941</v>
      </c>
      <c r="B630" t="s">
        <v>618</v>
      </c>
      <c r="C630" t="s">
        <v>19</v>
      </c>
      <c r="D630" t="s">
        <v>36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 s="8">
        <v>0.73860000000000003</v>
      </c>
      <c r="K630">
        <v>130000</v>
      </c>
      <c r="L630" s="2">
        <v>45767</v>
      </c>
    </row>
    <row r="631" spans="1:12">
      <c r="A631" t="s">
        <v>942</v>
      </c>
      <c r="B631" t="s">
        <v>833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 s="8">
        <v>0.80720000000000003</v>
      </c>
      <c r="K631">
        <v>85000</v>
      </c>
      <c r="L631" s="2">
        <v>45682</v>
      </c>
    </row>
    <row r="632" spans="1:12">
      <c r="A632" t="s">
        <v>943</v>
      </c>
      <c r="B632" t="s">
        <v>518</v>
      </c>
      <c r="C632" t="s">
        <v>19</v>
      </c>
      <c r="D632" t="s">
        <v>53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 s="8">
        <v>0.70789999999999997</v>
      </c>
      <c r="K632">
        <v>60000</v>
      </c>
      <c r="L632" s="2">
        <v>45621</v>
      </c>
    </row>
    <row r="633" spans="1:12">
      <c r="A633" t="s">
        <v>944</v>
      </c>
      <c r="B633" t="s">
        <v>291</v>
      </c>
      <c r="C633" t="s">
        <v>14</v>
      </c>
      <c r="D633" t="s">
        <v>36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 s="8">
        <v>0.83879999999999999</v>
      </c>
      <c r="K633">
        <v>75000</v>
      </c>
      <c r="L633" s="2">
        <v>45674</v>
      </c>
    </row>
    <row r="634" spans="1:12">
      <c r="A634" t="s">
        <v>945</v>
      </c>
      <c r="B634" t="s">
        <v>474</v>
      </c>
      <c r="C634" t="s">
        <v>14</v>
      </c>
      <c r="D634" t="s">
        <v>36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 s="8">
        <v>0.59550000000000003</v>
      </c>
      <c r="K634">
        <v>85000</v>
      </c>
      <c r="L634" s="2">
        <v>45629</v>
      </c>
    </row>
    <row r="635" spans="1:12">
      <c r="A635" t="s">
        <v>946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 s="8">
        <v>0.87860000000000005</v>
      </c>
      <c r="K635">
        <v>60000</v>
      </c>
      <c r="L635" s="2">
        <v>45937</v>
      </c>
    </row>
    <row r="636" spans="1:12">
      <c r="A636" t="s">
        <v>947</v>
      </c>
      <c r="B636" t="s">
        <v>251</v>
      </c>
      <c r="C636" t="s">
        <v>14</v>
      </c>
      <c r="D636" t="s">
        <v>28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 s="8">
        <v>0.71719999999999995</v>
      </c>
      <c r="K636">
        <v>70000</v>
      </c>
      <c r="L636" s="2">
        <v>45830</v>
      </c>
    </row>
    <row r="637" spans="1:12">
      <c r="A637" t="s">
        <v>948</v>
      </c>
      <c r="B637" t="s">
        <v>949</v>
      </c>
      <c r="C637" t="s">
        <v>19</v>
      </c>
      <c r="D637" t="s">
        <v>32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 s="8">
        <v>0.87719999999999998</v>
      </c>
      <c r="K637">
        <v>70000</v>
      </c>
      <c r="L637" s="2">
        <v>45884</v>
      </c>
    </row>
    <row r="638" spans="1:12">
      <c r="A638" t="s">
        <v>950</v>
      </c>
      <c r="B638" t="s">
        <v>581</v>
      </c>
      <c r="C638" t="s">
        <v>14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 s="8">
        <v>0.86419999999999997</v>
      </c>
      <c r="K638">
        <v>130000</v>
      </c>
      <c r="L638" s="2">
        <v>46118</v>
      </c>
    </row>
    <row r="639" spans="1:12">
      <c r="A639" t="s">
        <v>951</v>
      </c>
      <c r="B639" t="s">
        <v>562</v>
      </c>
      <c r="C639" t="s">
        <v>14</v>
      </c>
      <c r="D639" t="s">
        <v>36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 s="8">
        <v>0.76659999999999995</v>
      </c>
      <c r="K639">
        <v>80000</v>
      </c>
      <c r="L639" s="2">
        <v>45942</v>
      </c>
    </row>
    <row r="640" spans="1:12">
      <c r="A640" t="s">
        <v>952</v>
      </c>
      <c r="B640" t="s">
        <v>671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 s="8">
        <v>0.85640000000000005</v>
      </c>
      <c r="K640">
        <v>120000</v>
      </c>
      <c r="L640" s="2">
        <v>45644</v>
      </c>
    </row>
    <row r="641" spans="1:12">
      <c r="A641" t="s">
        <v>953</v>
      </c>
      <c r="B641" t="s">
        <v>256</v>
      </c>
      <c r="C641" t="s">
        <v>19</v>
      </c>
      <c r="D641" t="s">
        <v>32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 s="8">
        <v>0.68010000000000004</v>
      </c>
      <c r="K641">
        <v>90000</v>
      </c>
      <c r="L641" s="2">
        <v>45799</v>
      </c>
    </row>
    <row r="642" spans="1:12">
      <c r="A642" t="s">
        <v>954</v>
      </c>
      <c r="B642" t="s">
        <v>148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 s="8">
        <v>0.55000000000000004</v>
      </c>
      <c r="K642">
        <v>85000</v>
      </c>
      <c r="L642" s="2">
        <v>45754</v>
      </c>
    </row>
    <row r="643" spans="1:12">
      <c r="A643" t="s">
        <v>955</v>
      </c>
      <c r="B643" t="s">
        <v>433</v>
      </c>
      <c r="C643" t="s">
        <v>19</v>
      </c>
      <c r="D643" t="s">
        <v>53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 s="8">
        <v>0.91769999999999996</v>
      </c>
      <c r="K643">
        <v>130000</v>
      </c>
      <c r="L643" s="2">
        <v>46114</v>
      </c>
    </row>
    <row r="644" spans="1:12">
      <c r="A644" t="s">
        <v>956</v>
      </c>
      <c r="B644" t="s">
        <v>180</v>
      </c>
      <c r="C644" t="s">
        <v>19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 s="8">
        <v>0.85019999999999996</v>
      </c>
      <c r="K644">
        <v>100000</v>
      </c>
      <c r="L644" s="2">
        <v>45750</v>
      </c>
    </row>
    <row r="645" spans="1:12">
      <c r="A645" t="s">
        <v>957</v>
      </c>
      <c r="B645" t="s">
        <v>285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 s="8">
        <v>0.92879999999999996</v>
      </c>
      <c r="K645">
        <v>70000</v>
      </c>
      <c r="L645" s="2">
        <v>45633</v>
      </c>
    </row>
    <row r="646" spans="1:12">
      <c r="A646" t="s">
        <v>958</v>
      </c>
      <c r="B646" t="s">
        <v>127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 s="8">
        <v>0.97140000000000004</v>
      </c>
      <c r="K646">
        <v>75000</v>
      </c>
      <c r="L646" s="2">
        <v>46051</v>
      </c>
    </row>
    <row r="647" spans="1:12">
      <c r="A647" t="s">
        <v>959</v>
      </c>
      <c r="B647" t="s">
        <v>241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 s="8">
        <v>0.94579999999999997</v>
      </c>
      <c r="K647">
        <v>100000</v>
      </c>
      <c r="L647" s="2">
        <v>45835</v>
      </c>
    </row>
    <row r="648" spans="1:12">
      <c r="A648" t="s">
        <v>960</v>
      </c>
      <c r="B648" t="s">
        <v>872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 s="8">
        <v>0.80489999999999995</v>
      </c>
      <c r="K648">
        <v>50000</v>
      </c>
      <c r="L648" s="2">
        <v>45603</v>
      </c>
    </row>
    <row r="649" spans="1:12">
      <c r="A649" t="s">
        <v>961</v>
      </c>
      <c r="B649" t="s">
        <v>485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 s="8">
        <v>0.9093</v>
      </c>
      <c r="K649">
        <v>60000</v>
      </c>
      <c r="L649" s="2">
        <v>46018</v>
      </c>
    </row>
    <row r="650" spans="1:12">
      <c r="A650" t="s">
        <v>962</v>
      </c>
      <c r="B650" t="s">
        <v>761</v>
      </c>
      <c r="C650" t="s">
        <v>19</v>
      </c>
      <c r="D650" t="s">
        <v>15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 s="8">
        <v>0.70750000000000002</v>
      </c>
      <c r="K650">
        <v>50000</v>
      </c>
      <c r="L650" s="2">
        <v>45683</v>
      </c>
    </row>
    <row r="651" spans="1:12">
      <c r="A651" t="s">
        <v>963</v>
      </c>
      <c r="B651" t="s">
        <v>77</v>
      </c>
      <c r="C651" t="s">
        <v>19</v>
      </c>
      <c r="D651" t="s">
        <v>28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 s="8">
        <v>0.89190000000000003</v>
      </c>
      <c r="K651">
        <v>100000</v>
      </c>
      <c r="L651" s="2">
        <v>46143</v>
      </c>
    </row>
    <row r="652" spans="1:12">
      <c r="A652" t="s">
        <v>964</v>
      </c>
      <c r="B652" t="s">
        <v>833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 s="8">
        <v>0.94720000000000004</v>
      </c>
      <c r="K652">
        <v>80000</v>
      </c>
      <c r="L652" s="2">
        <v>46118</v>
      </c>
    </row>
    <row r="653" spans="1:12">
      <c r="A653" t="s">
        <v>965</v>
      </c>
      <c r="B653" t="s">
        <v>98</v>
      </c>
      <c r="C653" t="s">
        <v>19</v>
      </c>
      <c r="D653" t="s">
        <v>36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 s="8">
        <v>0.78739999999999999</v>
      </c>
      <c r="K653">
        <v>50000</v>
      </c>
      <c r="L653" s="2">
        <v>45794</v>
      </c>
    </row>
    <row r="654" spans="1:12">
      <c r="A654" t="s">
        <v>966</v>
      </c>
      <c r="B654" t="s">
        <v>564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 s="8">
        <v>0.85770000000000002</v>
      </c>
      <c r="K654">
        <v>110000</v>
      </c>
      <c r="L654" s="2">
        <v>45924</v>
      </c>
    </row>
    <row r="655" spans="1:12">
      <c r="A655" t="s">
        <v>967</v>
      </c>
      <c r="B655" t="s">
        <v>880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 s="8">
        <v>0.95340000000000003</v>
      </c>
      <c r="K655">
        <v>100000</v>
      </c>
      <c r="L655" s="2">
        <v>45933</v>
      </c>
    </row>
    <row r="656" spans="1:12">
      <c r="A656" t="s">
        <v>968</v>
      </c>
      <c r="B656" t="s">
        <v>226</v>
      </c>
      <c r="C656" t="s">
        <v>19</v>
      </c>
      <c r="D656" t="s">
        <v>36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 s="8">
        <v>0.93410000000000004</v>
      </c>
      <c r="K656">
        <v>100000</v>
      </c>
      <c r="L656" s="2">
        <v>45993</v>
      </c>
    </row>
    <row r="657" spans="1:12">
      <c r="A657" t="s">
        <v>969</v>
      </c>
      <c r="B657" t="s">
        <v>50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 s="8">
        <v>0.88429999999999997</v>
      </c>
      <c r="K657">
        <v>60000</v>
      </c>
      <c r="L657" s="2">
        <v>45584</v>
      </c>
    </row>
    <row r="658" spans="1:12">
      <c r="A658" t="s">
        <v>970</v>
      </c>
      <c r="B658" t="s">
        <v>61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 s="8">
        <v>0.86040000000000005</v>
      </c>
      <c r="K658">
        <v>120000</v>
      </c>
      <c r="L658" s="2">
        <v>45763</v>
      </c>
    </row>
    <row r="659" spans="1:12">
      <c r="A659" t="s">
        <v>971</v>
      </c>
      <c r="B659" t="s">
        <v>310</v>
      </c>
      <c r="C659" t="s">
        <v>19</v>
      </c>
      <c r="D659" t="s">
        <v>15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 s="8">
        <v>0.89090000000000003</v>
      </c>
      <c r="K659">
        <v>60000</v>
      </c>
      <c r="L659" s="2">
        <v>45655</v>
      </c>
    </row>
    <row r="660" spans="1:12">
      <c r="A660" t="s">
        <v>972</v>
      </c>
      <c r="B660" t="s">
        <v>494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 s="8">
        <v>0.69230000000000003</v>
      </c>
      <c r="K660">
        <v>90000</v>
      </c>
      <c r="L660" s="2">
        <v>46024</v>
      </c>
    </row>
    <row r="661" spans="1:12">
      <c r="A661" t="s">
        <v>973</v>
      </c>
      <c r="B661" t="s">
        <v>555</v>
      </c>
      <c r="C661" t="s">
        <v>14</v>
      </c>
      <c r="D661" t="s">
        <v>20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 s="8">
        <v>0.60650000000000004</v>
      </c>
      <c r="K661">
        <v>90000</v>
      </c>
      <c r="L661" s="2">
        <v>45584</v>
      </c>
    </row>
    <row r="662" spans="1:12">
      <c r="A662" t="s">
        <v>974</v>
      </c>
      <c r="B662" t="s">
        <v>975</v>
      </c>
      <c r="C662" t="s">
        <v>14</v>
      </c>
      <c r="D662" t="s">
        <v>15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 s="8">
        <v>0.95640000000000003</v>
      </c>
      <c r="K662">
        <v>70000</v>
      </c>
      <c r="L662" s="2">
        <v>45897</v>
      </c>
    </row>
    <row r="663" spans="1:12">
      <c r="A663" t="s">
        <v>976</v>
      </c>
      <c r="B663" t="s">
        <v>166</v>
      </c>
      <c r="C663" t="s">
        <v>19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 s="8">
        <v>0.90159999999999996</v>
      </c>
      <c r="K663">
        <v>80000</v>
      </c>
      <c r="L663" s="2">
        <v>46045</v>
      </c>
    </row>
    <row r="664" spans="1:12">
      <c r="A664" t="s">
        <v>977</v>
      </c>
      <c r="B664" t="s">
        <v>482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 s="8">
        <v>0.91339999999999999</v>
      </c>
      <c r="K664">
        <v>50000</v>
      </c>
      <c r="L664" s="2">
        <v>46199</v>
      </c>
    </row>
    <row r="665" spans="1:12">
      <c r="A665" t="s">
        <v>978</v>
      </c>
      <c r="B665" t="s">
        <v>202</v>
      </c>
      <c r="C665" t="s">
        <v>14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 s="8">
        <v>0.94720000000000004</v>
      </c>
      <c r="K665">
        <v>85000</v>
      </c>
      <c r="L665" s="2">
        <v>45737</v>
      </c>
    </row>
    <row r="666" spans="1:12">
      <c r="A666" t="s">
        <v>979</v>
      </c>
      <c r="B666" t="s">
        <v>315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 s="8">
        <v>0.97170000000000001</v>
      </c>
      <c r="K666">
        <v>100000</v>
      </c>
      <c r="L666" s="2">
        <v>45541</v>
      </c>
    </row>
    <row r="667" spans="1:12">
      <c r="A667" t="s">
        <v>980</v>
      </c>
      <c r="B667" t="s">
        <v>301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 s="8">
        <v>0.93730000000000002</v>
      </c>
      <c r="K667">
        <v>75000</v>
      </c>
      <c r="L667" s="2">
        <v>46042</v>
      </c>
    </row>
    <row r="668" spans="1:12">
      <c r="A668" t="s">
        <v>981</v>
      </c>
      <c r="B668" t="s">
        <v>420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 s="8">
        <v>0.80459999999999998</v>
      </c>
      <c r="K668">
        <v>85000</v>
      </c>
      <c r="L668" s="2">
        <v>45537</v>
      </c>
    </row>
    <row r="669" spans="1:12">
      <c r="A669" t="s">
        <v>982</v>
      </c>
      <c r="B669" t="s">
        <v>123</v>
      </c>
      <c r="C669" t="s">
        <v>19</v>
      </c>
      <c r="D669" t="s">
        <v>20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 s="8">
        <v>0.86370000000000002</v>
      </c>
      <c r="K669">
        <v>130000</v>
      </c>
      <c r="L669" s="2">
        <v>45582</v>
      </c>
    </row>
    <row r="670" spans="1:12">
      <c r="A670" t="s">
        <v>983</v>
      </c>
      <c r="B670" t="s">
        <v>984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 s="8">
        <v>0.71220000000000006</v>
      </c>
      <c r="K670">
        <v>70000</v>
      </c>
      <c r="L670" s="2">
        <v>46229</v>
      </c>
    </row>
    <row r="671" spans="1:12">
      <c r="A671" t="s">
        <v>985</v>
      </c>
      <c r="B671" t="s">
        <v>496</v>
      </c>
      <c r="C671" t="s">
        <v>14</v>
      </c>
      <c r="D671" t="s">
        <v>20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 s="8">
        <v>0.88290000000000002</v>
      </c>
      <c r="K671">
        <v>75000</v>
      </c>
      <c r="L671" s="2">
        <v>46139</v>
      </c>
    </row>
    <row r="672" spans="1:12">
      <c r="A672" t="s">
        <v>986</v>
      </c>
      <c r="B672" t="s">
        <v>213</v>
      </c>
      <c r="C672" t="s">
        <v>19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 s="8">
        <v>0.84699999999999998</v>
      </c>
      <c r="K672">
        <v>60000</v>
      </c>
      <c r="L672" s="2">
        <v>46031</v>
      </c>
    </row>
    <row r="673" spans="1:12">
      <c r="A673" t="s">
        <v>987</v>
      </c>
      <c r="B673" t="s">
        <v>734</v>
      </c>
      <c r="C673" t="s">
        <v>19</v>
      </c>
      <c r="D673" t="s">
        <v>28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 s="8">
        <v>0.55000000000000004</v>
      </c>
      <c r="K673">
        <v>85000</v>
      </c>
      <c r="L673" s="2">
        <v>46120</v>
      </c>
    </row>
    <row r="674" spans="1:12">
      <c r="A674" t="s">
        <v>988</v>
      </c>
      <c r="B674" t="s">
        <v>237</v>
      </c>
      <c r="C674" t="s">
        <v>19</v>
      </c>
      <c r="D674" t="s">
        <v>36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 s="8">
        <v>0.65739999999999998</v>
      </c>
      <c r="K674">
        <v>70000</v>
      </c>
      <c r="L674" s="2">
        <v>45588</v>
      </c>
    </row>
    <row r="675" spans="1:12">
      <c r="A675" t="s">
        <v>989</v>
      </c>
      <c r="B675" t="s">
        <v>926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 s="8">
        <v>0.59</v>
      </c>
      <c r="K675">
        <v>120000</v>
      </c>
      <c r="L675" s="2">
        <v>45598</v>
      </c>
    </row>
    <row r="676" spans="1:12">
      <c r="A676" t="s">
        <v>990</v>
      </c>
      <c r="B676" t="s">
        <v>589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 s="8">
        <v>0.73750000000000004</v>
      </c>
      <c r="K676">
        <v>75000</v>
      </c>
      <c r="L676" s="2">
        <v>45746</v>
      </c>
    </row>
    <row r="677" spans="1:12">
      <c r="A677" t="s">
        <v>991</v>
      </c>
      <c r="B677" t="s">
        <v>229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 s="8">
        <v>0.88280000000000003</v>
      </c>
      <c r="K677">
        <v>100000</v>
      </c>
      <c r="L677" s="2">
        <v>45552</v>
      </c>
    </row>
    <row r="678" spans="1:12">
      <c r="A678" t="s">
        <v>992</v>
      </c>
      <c r="B678" t="s">
        <v>226</v>
      </c>
      <c r="C678" t="s">
        <v>19</v>
      </c>
      <c r="D678" t="s">
        <v>36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 s="8">
        <v>0.93310000000000004</v>
      </c>
      <c r="K678">
        <v>70000</v>
      </c>
      <c r="L678" s="2">
        <v>46157</v>
      </c>
    </row>
    <row r="679" spans="1:12">
      <c r="A679" t="s">
        <v>993</v>
      </c>
      <c r="B679" t="s">
        <v>444</v>
      </c>
      <c r="C679" t="s">
        <v>14</v>
      </c>
      <c r="D679" t="s">
        <v>53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 s="8">
        <v>0.85160000000000002</v>
      </c>
      <c r="K679">
        <v>75000</v>
      </c>
      <c r="L679" s="2">
        <v>45575</v>
      </c>
    </row>
    <row r="680" spans="1:12">
      <c r="A680" t="s">
        <v>994</v>
      </c>
      <c r="B680" t="s">
        <v>690</v>
      </c>
      <c r="C680" t="s">
        <v>19</v>
      </c>
      <c r="D680" t="s">
        <v>28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 s="8">
        <v>0.75070000000000003</v>
      </c>
      <c r="K680">
        <v>60000</v>
      </c>
      <c r="L680" s="2">
        <v>45916</v>
      </c>
    </row>
    <row r="681" spans="1:12">
      <c r="A681" t="s">
        <v>995</v>
      </c>
      <c r="B681" t="s">
        <v>307</v>
      </c>
      <c r="C681" t="s">
        <v>19</v>
      </c>
      <c r="D681" t="s">
        <v>53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 s="8">
        <v>0.84740000000000004</v>
      </c>
      <c r="K681">
        <v>90000</v>
      </c>
      <c r="L681" s="2">
        <v>46133</v>
      </c>
    </row>
    <row r="682" spans="1:12">
      <c r="A682" t="s">
        <v>996</v>
      </c>
      <c r="B682" t="s">
        <v>690</v>
      </c>
      <c r="C682" t="s">
        <v>19</v>
      </c>
      <c r="D682" t="s">
        <v>36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 s="8">
        <v>0.73050000000000004</v>
      </c>
      <c r="K682">
        <v>50000</v>
      </c>
      <c r="L682" s="2">
        <v>46050</v>
      </c>
    </row>
    <row r="683" spans="1:12">
      <c r="A683" t="s">
        <v>997</v>
      </c>
      <c r="B683" t="s">
        <v>474</v>
      </c>
      <c r="C683" t="s">
        <v>14</v>
      </c>
      <c r="D683" t="s">
        <v>53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 s="8">
        <v>0.82169999999999999</v>
      </c>
      <c r="K683">
        <v>50000</v>
      </c>
      <c r="L683" s="2">
        <v>45700</v>
      </c>
    </row>
    <row r="684" spans="1:12">
      <c r="A684" t="s">
        <v>998</v>
      </c>
      <c r="B684" t="s">
        <v>67</v>
      </c>
      <c r="C684" t="s">
        <v>19</v>
      </c>
      <c r="D684" t="s">
        <v>53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 s="8">
        <v>0.83730000000000004</v>
      </c>
      <c r="K684">
        <v>85000</v>
      </c>
      <c r="L684" s="2">
        <v>45865</v>
      </c>
    </row>
    <row r="685" spans="1:12">
      <c r="A685" t="s">
        <v>999</v>
      </c>
      <c r="B685" t="s">
        <v>420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 s="8">
        <v>0.92469999999999997</v>
      </c>
      <c r="K685">
        <v>90000</v>
      </c>
      <c r="L685" s="2">
        <v>45919</v>
      </c>
    </row>
    <row r="686" spans="1:12">
      <c r="A686" t="s">
        <v>1000</v>
      </c>
      <c r="B686" t="s">
        <v>157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 s="8">
        <v>0.55000000000000004</v>
      </c>
      <c r="K686">
        <v>75000</v>
      </c>
      <c r="L686" s="2">
        <v>46073</v>
      </c>
    </row>
    <row r="687" spans="1:12">
      <c r="A687" t="s">
        <v>1001</v>
      </c>
      <c r="B687" t="s">
        <v>315</v>
      </c>
      <c r="C687" t="s">
        <v>19</v>
      </c>
      <c r="D687" t="s">
        <v>15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 s="8">
        <v>0.93669999999999998</v>
      </c>
      <c r="K687">
        <v>80000</v>
      </c>
      <c r="L687" s="2">
        <v>45834</v>
      </c>
    </row>
    <row r="688" spans="1:12">
      <c r="A688" t="s">
        <v>1002</v>
      </c>
      <c r="B688" t="s">
        <v>467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 s="8">
        <v>0.81459999999999999</v>
      </c>
      <c r="K688">
        <v>80000</v>
      </c>
      <c r="L688" s="2">
        <v>45735</v>
      </c>
    </row>
    <row r="689" spans="1:12">
      <c r="A689" t="s">
        <v>1003</v>
      </c>
      <c r="B689" t="s">
        <v>173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 s="8">
        <v>0.90949999999999998</v>
      </c>
      <c r="K689">
        <v>110000</v>
      </c>
      <c r="L689" s="2">
        <v>46092</v>
      </c>
    </row>
    <row r="690" spans="1:12">
      <c r="A690" t="s">
        <v>1004</v>
      </c>
      <c r="B690" t="s">
        <v>231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 s="8">
        <v>0.81869999999999998</v>
      </c>
      <c r="K690">
        <v>80000</v>
      </c>
      <c r="L690" s="2">
        <v>46156</v>
      </c>
    </row>
    <row r="691" spans="1:12">
      <c r="A691" t="s">
        <v>1005</v>
      </c>
      <c r="B691" t="s">
        <v>344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 s="8">
        <v>0.95199999999999996</v>
      </c>
      <c r="K691">
        <v>120000</v>
      </c>
      <c r="L691" s="2">
        <v>45878</v>
      </c>
    </row>
    <row r="692" spans="1:12">
      <c r="A692" t="s">
        <v>1006</v>
      </c>
      <c r="B692" t="s">
        <v>490</v>
      </c>
      <c r="C692" t="s">
        <v>19</v>
      </c>
      <c r="D692" t="s">
        <v>36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 s="8">
        <v>0.57320000000000004</v>
      </c>
      <c r="K692">
        <v>70000</v>
      </c>
      <c r="L692" s="2">
        <v>45555</v>
      </c>
    </row>
    <row r="693" spans="1:12">
      <c r="A693" t="s">
        <v>1007</v>
      </c>
      <c r="B693" t="s">
        <v>908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 s="8">
        <v>0.87280000000000002</v>
      </c>
      <c r="K693">
        <v>70000</v>
      </c>
      <c r="L693" s="2">
        <v>45886</v>
      </c>
    </row>
    <row r="694" spans="1:12">
      <c r="A694" t="s">
        <v>1008</v>
      </c>
      <c r="B694" t="s">
        <v>1009</v>
      </c>
      <c r="C694" t="s">
        <v>19</v>
      </c>
      <c r="D694" t="s">
        <v>28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 s="8">
        <v>0.78190000000000004</v>
      </c>
      <c r="K694">
        <v>80000</v>
      </c>
      <c r="L694" s="2">
        <v>46158</v>
      </c>
    </row>
    <row r="695" spans="1:12">
      <c r="A695" t="s">
        <v>1010</v>
      </c>
      <c r="B695" t="s">
        <v>636</v>
      </c>
      <c r="C695" t="s">
        <v>19</v>
      </c>
      <c r="D695" t="s">
        <v>20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 s="8">
        <v>0.91690000000000005</v>
      </c>
      <c r="K695">
        <v>50000</v>
      </c>
      <c r="L695" s="2">
        <v>46228</v>
      </c>
    </row>
    <row r="696" spans="1:12">
      <c r="A696" t="s">
        <v>1011</v>
      </c>
      <c r="B696" t="s">
        <v>669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 s="8">
        <v>0.99099999999999999</v>
      </c>
      <c r="K696">
        <v>100000</v>
      </c>
      <c r="L696" s="2">
        <v>45816</v>
      </c>
    </row>
    <row r="697" spans="1:12">
      <c r="A697" t="s">
        <v>1012</v>
      </c>
      <c r="B697" t="s">
        <v>532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 s="8">
        <v>0.84560000000000002</v>
      </c>
      <c r="K697">
        <v>80000</v>
      </c>
      <c r="L697" s="2">
        <v>45641</v>
      </c>
    </row>
    <row r="698" spans="1:12">
      <c r="A698" t="s">
        <v>1013</v>
      </c>
      <c r="B698" t="s">
        <v>173</v>
      </c>
      <c r="C698" t="s">
        <v>19</v>
      </c>
      <c r="D698" t="s">
        <v>36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 s="8">
        <v>0.82499999999999996</v>
      </c>
      <c r="K698">
        <v>80000</v>
      </c>
      <c r="L698" s="2">
        <v>45936</v>
      </c>
    </row>
    <row r="699" spans="1:12">
      <c r="A699" t="s">
        <v>1014</v>
      </c>
      <c r="B699" t="s">
        <v>853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 s="8">
        <v>0.93830000000000002</v>
      </c>
      <c r="K699">
        <v>85000</v>
      </c>
      <c r="L699" s="2">
        <v>46117</v>
      </c>
    </row>
    <row r="700" spans="1:12">
      <c r="A700" t="s">
        <v>1015</v>
      </c>
      <c r="B700" t="s">
        <v>594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 s="8">
        <v>0.83220000000000005</v>
      </c>
      <c r="K700">
        <v>50000</v>
      </c>
      <c r="L700" s="2">
        <v>46197</v>
      </c>
    </row>
    <row r="701" spans="1:12">
      <c r="A701" t="s">
        <v>1016</v>
      </c>
      <c r="B701" t="s">
        <v>139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 s="8">
        <v>0.76729999999999998</v>
      </c>
      <c r="K701">
        <v>80000</v>
      </c>
      <c r="L701" s="2">
        <v>45572</v>
      </c>
    </row>
    <row r="702" spans="1:12">
      <c r="A702" t="s">
        <v>1017</v>
      </c>
      <c r="B702" t="s">
        <v>362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 s="8">
        <v>0.79579999999999995</v>
      </c>
      <c r="K702">
        <v>130000</v>
      </c>
      <c r="L702" s="2">
        <v>45739</v>
      </c>
    </row>
    <row r="703" spans="1:12">
      <c r="A703" t="s">
        <v>1018</v>
      </c>
      <c r="B703" t="s">
        <v>748</v>
      </c>
      <c r="C703" t="s">
        <v>19</v>
      </c>
      <c r="D703" t="s">
        <v>28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 s="8">
        <v>0.96560000000000001</v>
      </c>
      <c r="K703">
        <v>90000</v>
      </c>
      <c r="L703" s="2">
        <v>45870</v>
      </c>
    </row>
    <row r="704" spans="1:12">
      <c r="A704" t="s">
        <v>1019</v>
      </c>
      <c r="B704" t="s">
        <v>975</v>
      </c>
      <c r="C704" t="s">
        <v>14</v>
      </c>
      <c r="D704" t="s">
        <v>36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 s="8">
        <v>0.90649999999999997</v>
      </c>
      <c r="K704">
        <v>90000</v>
      </c>
      <c r="L704" s="2">
        <v>45604</v>
      </c>
    </row>
    <row r="705" spans="1:12">
      <c r="A705" t="s">
        <v>1020</v>
      </c>
      <c r="B705" t="s">
        <v>354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 s="8">
        <v>0.74729999999999996</v>
      </c>
      <c r="K705">
        <v>85000</v>
      </c>
      <c r="L705" s="2">
        <v>46156</v>
      </c>
    </row>
    <row r="706" spans="1:12">
      <c r="A706" t="s">
        <v>1021</v>
      </c>
      <c r="B706" t="s">
        <v>246</v>
      </c>
      <c r="C706" t="s">
        <v>14</v>
      </c>
      <c r="D706" t="s">
        <v>53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 s="8">
        <v>0.95489999999999997</v>
      </c>
      <c r="K706">
        <v>85000</v>
      </c>
      <c r="L706" s="2">
        <v>45614</v>
      </c>
    </row>
    <row r="707" spans="1:12">
      <c r="A707" t="s">
        <v>1022</v>
      </c>
      <c r="B707" t="s">
        <v>908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 s="8">
        <v>0.95860000000000001</v>
      </c>
      <c r="K707">
        <v>130000</v>
      </c>
      <c r="L707" s="2">
        <v>46001</v>
      </c>
    </row>
    <row r="708" spans="1:12">
      <c r="A708" t="s">
        <v>1023</v>
      </c>
      <c r="B708" t="s">
        <v>625</v>
      </c>
      <c r="C708" t="s">
        <v>14</v>
      </c>
      <c r="D708" t="s">
        <v>20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 s="8">
        <v>0.65720000000000001</v>
      </c>
      <c r="K708">
        <v>130000</v>
      </c>
      <c r="L708" s="2">
        <v>46179</v>
      </c>
    </row>
    <row r="709" spans="1:12">
      <c r="A709" t="s">
        <v>1024</v>
      </c>
      <c r="B709" t="s">
        <v>184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 s="8">
        <v>0.83020000000000005</v>
      </c>
      <c r="K709">
        <v>80000</v>
      </c>
      <c r="L709" s="2">
        <v>46015</v>
      </c>
    </row>
    <row r="710" spans="1:12">
      <c r="A710" t="s">
        <v>1025</v>
      </c>
      <c r="B710" t="s">
        <v>258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 s="8">
        <v>0.8266</v>
      </c>
      <c r="K710">
        <v>130000</v>
      </c>
      <c r="L710" s="2">
        <v>46070</v>
      </c>
    </row>
    <row r="711" spans="1:12">
      <c r="A711" t="s">
        <v>1026</v>
      </c>
      <c r="B711" t="s">
        <v>555</v>
      </c>
      <c r="C711" t="s">
        <v>14</v>
      </c>
      <c r="D711" t="s">
        <v>20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 s="8">
        <v>0.8448</v>
      </c>
      <c r="K711">
        <v>50000</v>
      </c>
      <c r="L711" s="2">
        <v>45720</v>
      </c>
    </row>
    <row r="712" spans="1:12">
      <c r="A712" t="s">
        <v>1027</v>
      </c>
      <c r="B712" t="s">
        <v>224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 s="8">
        <v>0.87219999999999998</v>
      </c>
      <c r="K712">
        <v>75000</v>
      </c>
      <c r="L712" s="2">
        <v>46115</v>
      </c>
    </row>
    <row r="713" spans="1:12">
      <c r="A713" t="s">
        <v>1028</v>
      </c>
      <c r="B713" t="s">
        <v>113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 s="8">
        <v>0.96599999999999997</v>
      </c>
      <c r="K713">
        <v>75000</v>
      </c>
      <c r="L713" s="2">
        <v>45829</v>
      </c>
    </row>
    <row r="714" spans="1:12">
      <c r="A714" t="s">
        <v>1029</v>
      </c>
      <c r="B714" t="s">
        <v>79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 s="8">
        <v>0.76700000000000002</v>
      </c>
      <c r="K714">
        <v>100000</v>
      </c>
      <c r="L714" s="2">
        <v>45578</v>
      </c>
    </row>
    <row r="715" spans="1:12">
      <c r="A715" t="s">
        <v>1030</v>
      </c>
      <c r="B715" t="s">
        <v>436</v>
      </c>
      <c r="C715" t="s">
        <v>19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 s="8">
        <v>0.99</v>
      </c>
      <c r="K715">
        <v>90000</v>
      </c>
      <c r="L715" s="2">
        <v>45792</v>
      </c>
    </row>
    <row r="716" spans="1:12">
      <c r="A716" t="s">
        <v>1031</v>
      </c>
      <c r="B716" t="s">
        <v>1009</v>
      </c>
      <c r="C716" t="s">
        <v>19</v>
      </c>
      <c r="D716" t="s">
        <v>15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 s="8">
        <v>0.89849999999999997</v>
      </c>
      <c r="K716">
        <v>85000</v>
      </c>
      <c r="L716" s="2">
        <v>45780</v>
      </c>
    </row>
    <row r="717" spans="1:12">
      <c r="A717" t="s">
        <v>1032</v>
      </c>
      <c r="B717" t="s">
        <v>912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 s="8">
        <v>0.71240000000000003</v>
      </c>
      <c r="K717">
        <v>70000</v>
      </c>
      <c r="L717" s="2">
        <v>45901</v>
      </c>
    </row>
    <row r="718" spans="1:12">
      <c r="A718" t="s">
        <v>1033</v>
      </c>
      <c r="B718" t="s">
        <v>1034</v>
      </c>
      <c r="C718" t="s">
        <v>19</v>
      </c>
      <c r="D718" t="s">
        <v>53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 s="8">
        <v>0.88649999999999995</v>
      </c>
      <c r="K718">
        <v>85000</v>
      </c>
      <c r="L718" s="2">
        <v>45721</v>
      </c>
    </row>
    <row r="719" spans="1:12">
      <c r="A719" t="s">
        <v>1035</v>
      </c>
      <c r="B719" t="s">
        <v>1036</v>
      </c>
      <c r="C719" t="s">
        <v>14</v>
      </c>
      <c r="D719" t="s">
        <v>36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 s="8">
        <v>0.92649999999999999</v>
      </c>
      <c r="K719">
        <v>70000</v>
      </c>
      <c r="L719" s="2">
        <v>45859</v>
      </c>
    </row>
    <row r="720" spans="1:12">
      <c r="A720" t="s">
        <v>1037</v>
      </c>
      <c r="B720" t="s">
        <v>1038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 s="8">
        <v>0.93859999999999999</v>
      </c>
      <c r="K720">
        <v>85000</v>
      </c>
      <c r="L720" s="2">
        <v>45835</v>
      </c>
    </row>
    <row r="721" spans="1:12">
      <c r="A721" t="s">
        <v>1039</v>
      </c>
      <c r="B721" t="s">
        <v>557</v>
      </c>
      <c r="C721" t="s">
        <v>19</v>
      </c>
      <c r="D721" t="s">
        <v>53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 s="8">
        <v>0.80149999999999999</v>
      </c>
      <c r="K721">
        <v>75000</v>
      </c>
      <c r="L721" s="2">
        <v>45764</v>
      </c>
    </row>
    <row r="722" spans="1:12">
      <c r="A722" t="s">
        <v>1040</v>
      </c>
      <c r="B722" t="s">
        <v>210</v>
      </c>
      <c r="C722" t="s">
        <v>14</v>
      </c>
      <c r="D722" t="s">
        <v>36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 s="8">
        <v>0.55000000000000004</v>
      </c>
      <c r="K722">
        <v>120000</v>
      </c>
      <c r="L722" s="2">
        <v>46023</v>
      </c>
    </row>
    <row r="723" spans="1:12">
      <c r="A723" t="s">
        <v>1041</v>
      </c>
      <c r="B723" t="s">
        <v>805</v>
      </c>
      <c r="C723" t="s">
        <v>19</v>
      </c>
      <c r="D723" t="s">
        <v>36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 s="8">
        <v>0.9073</v>
      </c>
      <c r="K723">
        <v>110000</v>
      </c>
      <c r="L723" s="2">
        <v>45749</v>
      </c>
    </row>
    <row r="724" spans="1:12">
      <c r="A724" t="s">
        <v>1042</v>
      </c>
      <c r="B724" t="s">
        <v>455</v>
      </c>
      <c r="C724" t="s">
        <v>19</v>
      </c>
      <c r="D724" t="s">
        <v>53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 s="8">
        <v>0.55000000000000004</v>
      </c>
      <c r="K724">
        <v>60000</v>
      </c>
      <c r="L724" s="2">
        <v>46072</v>
      </c>
    </row>
    <row r="725" spans="1:12">
      <c r="A725" t="s">
        <v>1043</v>
      </c>
      <c r="B725" t="s">
        <v>496</v>
      </c>
      <c r="C725" t="s">
        <v>14</v>
      </c>
      <c r="D725" t="s">
        <v>53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 s="8">
        <v>0.91900000000000004</v>
      </c>
      <c r="K725">
        <v>130000</v>
      </c>
      <c r="L725" s="2">
        <v>45711</v>
      </c>
    </row>
    <row r="726" spans="1:12">
      <c r="A726" t="s">
        <v>1044</v>
      </c>
      <c r="B726" t="s">
        <v>984</v>
      </c>
      <c r="C726" t="s">
        <v>19</v>
      </c>
      <c r="D726" t="s">
        <v>15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 s="8">
        <v>0.86519999999999997</v>
      </c>
      <c r="K726">
        <v>100000</v>
      </c>
      <c r="L726" s="2">
        <v>46141</v>
      </c>
    </row>
    <row r="727" spans="1:12">
      <c r="A727" t="s">
        <v>1045</v>
      </c>
      <c r="B727" t="s">
        <v>1046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 s="8">
        <v>0.83299999999999996</v>
      </c>
      <c r="K727">
        <v>75000</v>
      </c>
      <c r="L727" s="2">
        <v>45791</v>
      </c>
    </row>
    <row r="728" spans="1:12">
      <c r="A728" t="s">
        <v>1047</v>
      </c>
      <c r="B728" t="s">
        <v>159</v>
      </c>
      <c r="C728" t="s">
        <v>19</v>
      </c>
      <c r="D728" t="s">
        <v>20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 s="8">
        <v>0.74470000000000003</v>
      </c>
      <c r="K728">
        <v>85000</v>
      </c>
      <c r="L728" s="2">
        <v>45564</v>
      </c>
    </row>
    <row r="729" spans="1:12">
      <c r="A729" t="s">
        <v>1048</v>
      </c>
      <c r="B729" t="s">
        <v>202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 s="8">
        <v>0.90090000000000003</v>
      </c>
      <c r="K729">
        <v>70000</v>
      </c>
      <c r="L729" s="2">
        <v>45640</v>
      </c>
    </row>
    <row r="730" spans="1:12">
      <c r="A730" t="s">
        <v>1049</v>
      </c>
      <c r="B730" t="s">
        <v>1050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 s="8">
        <v>0.94320000000000004</v>
      </c>
      <c r="K730">
        <v>50000</v>
      </c>
      <c r="L730" s="2">
        <v>46100</v>
      </c>
    </row>
    <row r="731" spans="1:12">
      <c r="A731" t="s">
        <v>1051</v>
      </c>
      <c r="B731" t="s">
        <v>323</v>
      </c>
      <c r="C731" t="s">
        <v>19</v>
      </c>
      <c r="D731" t="s">
        <v>53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 s="8">
        <v>0.71120000000000005</v>
      </c>
      <c r="K731">
        <v>80000</v>
      </c>
      <c r="L731" s="2">
        <v>46146</v>
      </c>
    </row>
    <row r="732" spans="1:12">
      <c r="A732" t="s">
        <v>1052</v>
      </c>
      <c r="B732" t="s">
        <v>651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 s="8">
        <v>0.88790000000000002</v>
      </c>
      <c r="K732">
        <v>110000</v>
      </c>
      <c r="L732" s="2">
        <v>45684</v>
      </c>
    </row>
    <row r="733" spans="1:12">
      <c r="A733" t="s">
        <v>1053</v>
      </c>
      <c r="B733" t="s">
        <v>246</v>
      </c>
      <c r="C733" t="s">
        <v>14</v>
      </c>
      <c r="D733" t="s">
        <v>36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 s="8">
        <v>0.74019999999999997</v>
      </c>
      <c r="K733">
        <v>75000</v>
      </c>
      <c r="L733" s="2">
        <v>45957</v>
      </c>
    </row>
    <row r="734" spans="1:12">
      <c r="A734" t="s">
        <v>1054</v>
      </c>
      <c r="B734" t="s">
        <v>150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 s="8">
        <v>0.81210000000000004</v>
      </c>
      <c r="K734">
        <v>80000</v>
      </c>
      <c r="L734" s="2">
        <v>45938</v>
      </c>
    </row>
    <row r="735" spans="1:12">
      <c r="A735" t="s">
        <v>1055</v>
      </c>
      <c r="B735" t="s">
        <v>262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 s="8">
        <v>0.70140000000000002</v>
      </c>
      <c r="K735">
        <v>130000</v>
      </c>
      <c r="L735" s="2">
        <v>45629</v>
      </c>
    </row>
    <row r="736" spans="1:12">
      <c r="A736" t="s">
        <v>1056</v>
      </c>
      <c r="B736" t="s">
        <v>194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 s="8">
        <v>0.99739999999999995</v>
      </c>
      <c r="K736">
        <v>130000</v>
      </c>
      <c r="L736" s="2">
        <v>45852</v>
      </c>
    </row>
    <row r="737" spans="1:12">
      <c r="A737" t="s">
        <v>1057</v>
      </c>
      <c r="B737" t="s">
        <v>805</v>
      </c>
      <c r="C737" t="s">
        <v>19</v>
      </c>
      <c r="D737" t="s">
        <v>36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 s="8">
        <v>0.90329999999999999</v>
      </c>
      <c r="K737">
        <v>85000</v>
      </c>
      <c r="L737" s="2">
        <v>46021</v>
      </c>
    </row>
    <row r="738" spans="1:12">
      <c r="A738" t="s">
        <v>1058</v>
      </c>
      <c r="B738" t="s">
        <v>734</v>
      </c>
      <c r="C738" t="s">
        <v>19</v>
      </c>
      <c r="D738" t="s">
        <v>53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 s="8">
        <v>0.90510000000000002</v>
      </c>
      <c r="K738">
        <v>50000</v>
      </c>
      <c r="L738" s="2">
        <v>46212</v>
      </c>
    </row>
    <row r="739" spans="1:12">
      <c r="A739" t="s">
        <v>1059</v>
      </c>
      <c r="B739" t="s">
        <v>492</v>
      </c>
      <c r="C739" t="s">
        <v>14</v>
      </c>
      <c r="D739" t="s">
        <v>32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 s="8">
        <v>0.96609999999999996</v>
      </c>
      <c r="K739">
        <v>100000</v>
      </c>
      <c r="L739" s="2">
        <v>46129</v>
      </c>
    </row>
    <row r="740" spans="1:12">
      <c r="A740" t="s">
        <v>1060</v>
      </c>
      <c r="B740" t="s">
        <v>744</v>
      </c>
      <c r="C740" t="s">
        <v>19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 s="8">
        <v>0.95450000000000002</v>
      </c>
      <c r="K740">
        <v>100000</v>
      </c>
      <c r="L740" s="2">
        <v>45604</v>
      </c>
    </row>
    <row r="741" spans="1:12">
      <c r="A741" t="s">
        <v>1061</v>
      </c>
      <c r="B741" t="s">
        <v>237</v>
      </c>
      <c r="C741" t="s">
        <v>19</v>
      </c>
      <c r="D741" t="s">
        <v>36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 s="8">
        <v>0.97</v>
      </c>
      <c r="K741">
        <v>130000</v>
      </c>
      <c r="L741" s="2">
        <v>45702</v>
      </c>
    </row>
    <row r="742" spans="1:12">
      <c r="A742" t="s">
        <v>1062</v>
      </c>
      <c r="B742" t="s">
        <v>141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 s="8">
        <v>0.90059999999999996</v>
      </c>
      <c r="K742">
        <v>130000</v>
      </c>
      <c r="L742" s="2">
        <v>45841</v>
      </c>
    </row>
    <row r="743" spans="1:12">
      <c r="A743" t="s">
        <v>1063</v>
      </c>
      <c r="B743" t="s">
        <v>148</v>
      </c>
      <c r="C743" t="s">
        <v>19</v>
      </c>
      <c r="D743" t="s">
        <v>36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 s="8">
        <v>0.82840000000000003</v>
      </c>
      <c r="K743">
        <v>90000</v>
      </c>
      <c r="L743" s="2">
        <v>45641</v>
      </c>
    </row>
    <row r="744" spans="1:12">
      <c r="A744" t="s">
        <v>1064</v>
      </c>
      <c r="B744" t="s">
        <v>204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 s="8">
        <v>0.90700000000000003</v>
      </c>
      <c r="K744">
        <v>60000</v>
      </c>
      <c r="L744" s="2">
        <v>45935</v>
      </c>
    </row>
    <row r="745" spans="1:12">
      <c r="A745" t="s">
        <v>1065</v>
      </c>
      <c r="B745" t="s">
        <v>73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 s="8">
        <v>0.87639999999999996</v>
      </c>
      <c r="K745">
        <v>70000</v>
      </c>
      <c r="L745" s="2">
        <v>45542</v>
      </c>
    </row>
    <row r="746" spans="1:12">
      <c r="A746" t="s">
        <v>1066</v>
      </c>
      <c r="B746" t="s">
        <v>256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 s="8">
        <v>0.78259999999999996</v>
      </c>
      <c r="K746">
        <v>100000</v>
      </c>
      <c r="L746" s="2">
        <v>45615</v>
      </c>
    </row>
    <row r="747" spans="1:12">
      <c r="A747" t="s">
        <v>1067</v>
      </c>
      <c r="B747" t="s">
        <v>139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 s="8">
        <v>0.62980000000000003</v>
      </c>
      <c r="K747">
        <v>90000</v>
      </c>
      <c r="L747" s="2">
        <v>45569</v>
      </c>
    </row>
    <row r="748" spans="1:12">
      <c r="A748" t="s">
        <v>1068</v>
      </c>
      <c r="B748" t="s">
        <v>477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 s="8">
        <v>0.95550000000000002</v>
      </c>
      <c r="K748">
        <v>80000</v>
      </c>
      <c r="L748" s="2">
        <v>45742</v>
      </c>
    </row>
    <row r="749" spans="1:12">
      <c r="A749" t="s">
        <v>1069</v>
      </c>
      <c r="B749" t="s">
        <v>607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 s="8">
        <v>0.79549999999999998</v>
      </c>
      <c r="K749">
        <v>80000</v>
      </c>
      <c r="L749" s="2">
        <v>46069</v>
      </c>
    </row>
    <row r="750" spans="1:12">
      <c r="A750" t="s">
        <v>1070</v>
      </c>
      <c r="B750" t="s">
        <v>494</v>
      </c>
      <c r="C750" t="s">
        <v>14</v>
      </c>
      <c r="D750" t="s">
        <v>36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 s="8">
        <v>0.93710000000000004</v>
      </c>
      <c r="K750">
        <v>100000</v>
      </c>
      <c r="L750" s="2">
        <v>45660</v>
      </c>
    </row>
    <row r="751" spans="1:12">
      <c r="A751" t="s">
        <v>1071</v>
      </c>
      <c r="B751" t="s">
        <v>117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 s="8">
        <v>0.90339999999999998</v>
      </c>
      <c r="K751">
        <v>80000</v>
      </c>
      <c r="L751" s="2">
        <v>46227</v>
      </c>
    </row>
    <row r="752" spans="1:12">
      <c r="A752" t="s">
        <v>1072</v>
      </c>
      <c r="B752" t="s">
        <v>724</v>
      </c>
      <c r="C752" t="s">
        <v>19</v>
      </c>
      <c r="D752" t="s">
        <v>36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 s="8">
        <v>0.76139999999999997</v>
      </c>
      <c r="K752">
        <v>60000</v>
      </c>
      <c r="L752" s="2">
        <v>45724</v>
      </c>
    </row>
    <row r="753" spans="1:12">
      <c r="A753" t="s">
        <v>1073</v>
      </c>
      <c r="B753" t="s">
        <v>1074</v>
      </c>
      <c r="C753" t="s">
        <v>14</v>
      </c>
      <c r="D753" t="s">
        <v>36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 s="8">
        <v>0.95430000000000004</v>
      </c>
      <c r="K753">
        <v>130000</v>
      </c>
      <c r="L753" s="2">
        <v>45567</v>
      </c>
    </row>
    <row r="754" spans="1:12">
      <c r="A754" t="s">
        <v>1075</v>
      </c>
      <c r="B754" t="s">
        <v>161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 s="8">
        <v>0.55000000000000004</v>
      </c>
      <c r="K754">
        <v>75000</v>
      </c>
      <c r="L754" s="2">
        <v>45770</v>
      </c>
    </row>
    <row r="755" spans="1:12">
      <c r="A755" t="s">
        <v>1076</v>
      </c>
      <c r="B755" t="s">
        <v>541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 s="8">
        <v>0.89139999999999997</v>
      </c>
      <c r="K755">
        <v>75000</v>
      </c>
      <c r="L755" s="2">
        <v>46059</v>
      </c>
    </row>
    <row r="756" spans="1:12">
      <c r="A756" t="s">
        <v>1077</v>
      </c>
      <c r="B756" t="s">
        <v>268</v>
      </c>
      <c r="C756" t="s">
        <v>19</v>
      </c>
      <c r="D756" t="s">
        <v>53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 s="8">
        <v>0.88549999999999995</v>
      </c>
      <c r="K756">
        <v>50000</v>
      </c>
      <c r="L756" s="2">
        <v>45610</v>
      </c>
    </row>
    <row r="757" spans="1:12">
      <c r="A757" t="s">
        <v>1078</v>
      </c>
      <c r="B757" t="s">
        <v>600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 s="8">
        <v>0.8679</v>
      </c>
      <c r="K757">
        <v>85000</v>
      </c>
      <c r="L757" s="2">
        <v>45586</v>
      </c>
    </row>
    <row r="758" spans="1:12">
      <c r="A758" t="s">
        <v>1079</v>
      </c>
      <c r="B758" t="s">
        <v>301</v>
      </c>
      <c r="C758" t="s">
        <v>19</v>
      </c>
      <c r="D758" t="s">
        <v>36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 s="8">
        <v>0.72019999999999995</v>
      </c>
      <c r="K758">
        <v>130000</v>
      </c>
      <c r="L758" s="2">
        <v>46130</v>
      </c>
    </row>
    <row r="759" spans="1:12">
      <c r="A759" t="s">
        <v>1080</v>
      </c>
      <c r="B759" t="s">
        <v>1081</v>
      </c>
      <c r="C759" t="s">
        <v>14</v>
      </c>
      <c r="D759" t="s">
        <v>53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 s="8">
        <v>0.83409999999999995</v>
      </c>
      <c r="K759">
        <v>60000</v>
      </c>
      <c r="L759" s="2">
        <v>45950</v>
      </c>
    </row>
    <row r="760" spans="1:12">
      <c r="A760" t="s">
        <v>1082</v>
      </c>
      <c r="B760" t="s">
        <v>939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 s="8">
        <v>0.6169</v>
      </c>
      <c r="K760">
        <v>70000</v>
      </c>
      <c r="L760" s="2">
        <v>45776</v>
      </c>
    </row>
    <row r="761" spans="1:12">
      <c r="A761" t="s">
        <v>1083</v>
      </c>
      <c r="B761" t="s">
        <v>59</v>
      </c>
      <c r="C761" t="s">
        <v>19</v>
      </c>
      <c r="D761" t="s">
        <v>20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 s="8">
        <v>0.94889999999999997</v>
      </c>
      <c r="K761">
        <v>60000</v>
      </c>
      <c r="L761" s="2">
        <v>46065</v>
      </c>
    </row>
    <row r="762" spans="1:12">
      <c r="A762" t="s">
        <v>1084</v>
      </c>
      <c r="B762" t="s">
        <v>1036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 s="8">
        <v>0.99560000000000004</v>
      </c>
      <c r="K762">
        <v>60000</v>
      </c>
      <c r="L762" s="2">
        <v>46127</v>
      </c>
    </row>
    <row r="763" spans="1:12">
      <c r="A763" t="s">
        <v>1085</v>
      </c>
      <c r="B763" t="s">
        <v>550</v>
      </c>
      <c r="C763" t="s">
        <v>19</v>
      </c>
      <c r="D763" t="s">
        <v>36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 s="8">
        <v>0.80189999999999995</v>
      </c>
      <c r="K763">
        <v>90000</v>
      </c>
      <c r="L763" s="2">
        <v>45787</v>
      </c>
    </row>
    <row r="764" spans="1:12">
      <c r="A764" t="s">
        <v>1086</v>
      </c>
      <c r="B764" t="s">
        <v>344</v>
      </c>
      <c r="C764" t="s">
        <v>19</v>
      </c>
      <c r="D764" t="s">
        <v>28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 s="8">
        <v>0.83889999999999998</v>
      </c>
      <c r="K764">
        <v>75000</v>
      </c>
      <c r="L764" s="2">
        <v>45928</v>
      </c>
    </row>
    <row r="765" spans="1:12">
      <c r="A765" t="s">
        <v>1087</v>
      </c>
      <c r="B765" t="s">
        <v>123</v>
      </c>
      <c r="C765" t="s">
        <v>19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 s="8">
        <v>0.92620000000000002</v>
      </c>
      <c r="K765">
        <v>110000</v>
      </c>
      <c r="L765" s="2">
        <v>45543</v>
      </c>
    </row>
    <row r="766" spans="1:12">
      <c r="A766" t="s">
        <v>1088</v>
      </c>
      <c r="B766" t="s">
        <v>632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 s="8">
        <v>0.90510000000000002</v>
      </c>
      <c r="K766">
        <v>80000</v>
      </c>
      <c r="L766" s="2">
        <v>45750</v>
      </c>
    </row>
    <row r="767" spans="1:12">
      <c r="A767" t="s">
        <v>1089</v>
      </c>
      <c r="B767" t="s">
        <v>761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 s="8">
        <v>0.55000000000000004</v>
      </c>
      <c r="K767">
        <v>100000</v>
      </c>
      <c r="L767" s="2">
        <v>45952</v>
      </c>
    </row>
    <row r="768" spans="1:12">
      <c r="A768" t="s">
        <v>1090</v>
      </c>
      <c r="B768" t="s">
        <v>949</v>
      </c>
      <c r="C768" t="s">
        <v>19</v>
      </c>
      <c r="D768" t="s">
        <v>36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 s="8">
        <v>0.80379999999999996</v>
      </c>
      <c r="K768">
        <v>50000</v>
      </c>
      <c r="L768" s="2">
        <v>45673</v>
      </c>
    </row>
    <row r="769" spans="1:12">
      <c r="A769" t="s">
        <v>1091</v>
      </c>
      <c r="B769" t="s">
        <v>1050</v>
      </c>
      <c r="C769" t="s">
        <v>14</v>
      </c>
      <c r="D769" t="s">
        <v>36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 s="8">
        <v>0.85829999999999995</v>
      </c>
      <c r="K769">
        <v>75000</v>
      </c>
      <c r="L769" s="2">
        <v>46229</v>
      </c>
    </row>
    <row r="770" spans="1:12">
      <c r="A770" t="s">
        <v>1092</v>
      </c>
      <c r="B770" t="s">
        <v>83</v>
      </c>
      <c r="C770" t="s">
        <v>14</v>
      </c>
      <c r="D770" t="s">
        <v>36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 s="8">
        <v>0.71250000000000002</v>
      </c>
      <c r="K770">
        <v>80000</v>
      </c>
      <c r="L770" s="2">
        <v>46215</v>
      </c>
    </row>
    <row r="771" spans="1:12">
      <c r="A771" t="s">
        <v>1093</v>
      </c>
      <c r="B771" t="s">
        <v>1094</v>
      </c>
      <c r="C771" t="s">
        <v>14</v>
      </c>
      <c r="D771" t="s">
        <v>53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 s="8">
        <v>0.84809999999999997</v>
      </c>
      <c r="K771">
        <v>50000</v>
      </c>
      <c r="L771" s="2">
        <v>45716</v>
      </c>
    </row>
    <row r="772" spans="1:12">
      <c r="A772" t="s">
        <v>1095</v>
      </c>
      <c r="B772" t="s">
        <v>146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 s="8">
        <v>0.74060000000000004</v>
      </c>
      <c r="K772">
        <v>80000</v>
      </c>
      <c r="L772" s="2">
        <v>45813</v>
      </c>
    </row>
    <row r="773" spans="1:12">
      <c r="A773" t="s">
        <v>1096</v>
      </c>
      <c r="B773" t="s">
        <v>301</v>
      </c>
      <c r="C773" t="s">
        <v>19</v>
      </c>
      <c r="D773" t="s">
        <v>53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 s="8">
        <v>0.82869999999999999</v>
      </c>
      <c r="K773">
        <v>85000</v>
      </c>
      <c r="L773" s="2">
        <v>45668</v>
      </c>
    </row>
    <row r="774" spans="1:12">
      <c r="A774" t="s">
        <v>1097</v>
      </c>
      <c r="B774" t="s">
        <v>1098</v>
      </c>
      <c r="C774" t="s">
        <v>14</v>
      </c>
      <c r="D774" t="s">
        <v>53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 s="8">
        <v>0.67949999999999999</v>
      </c>
      <c r="K774">
        <v>80000</v>
      </c>
      <c r="L774" s="2">
        <v>45888</v>
      </c>
    </row>
    <row r="775" spans="1:12">
      <c r="A775" t="s">
        <v>1099</v>
      </c>
      <c r="B775" t="s">
        <v>820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 s="8">
        <v>0.5958</v>
      </c>
      <c r="K775">
        <v>85000</v>
      </c>
      <c r="L775" s="2">
        <v>45622</v>
      </c>
    </row>
    <row r="776" spans="1:12">
      <c r="A776" t="s">
        <v>1100</v>
      </c>
      <c r="B776" t="s">
        <v>213</v>
      </c>
      <c r="C776" t="s">
        <v>19</v>
      </c>
      <c r="D776" t="s">
        <v>15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 s="8">
        <v>0.87680000000000002</v>
      </c>
      <c r="K776">
        <v>110000</v>
      </c>
      <c r="L776" s="2">
        <v>45809</v>
      </c>
    </row>
    <row r="777" spans="1:12">
      <c r="A777" t="s">
        <v>1101</v>
      </c>
      <c r="B777" t="s">
        <v>853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 s="8">
        <v>0.84550000000000003</v>
      </c>
      <c r="K777">
        <v>110000</v>
      </c>
      <c r="L777" s="2">
        <v>45924</v>
      </c>
    </row>
    <row r="778" spans="1:12">
      <c r="A778" t="s">
        <v>1102</v>
      </c>
      <c r="B778" t="s">
        <v>288</v>
      </c>
      <c r="C778" t="s">
        <v>14</v>
      </c>
      <c r="D778" t="s">
        <v>36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 s="8">
        <v>0.81420000000000003</v>
      </c>
      <c r="K778">
        <v>50000</v>
      </c>
      <c r="L778" s="2">
        <v>45964</v>
      </c>
    </row>
    <row r="779" spans="1:12">
      <c r="A779" t="s">
        <v>1103</v>
      </c>
      <c r="B779" t="s">
        <v>340</v>
      </c>
      <c r="C779" t="s">
        <v>14</v>
      </c>
      <c r="D779" t="s">
        <v>53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 s="8">
        <v>0.76249999999999996</v>
      </c>
      <c r="K779">
        <v>100000</v>
      </c>
      <c r="L779" s="2">
        <v>45953</v>
      </c>
    </row>
    <row r="780" spans="1:12">
      <c r="A780" t="s">
        <v>1104</v>
      </c>
      <c r="B780" t="s">
        <v>131</v>
      </c>
      <c r="C780" t="s">
        <v>14</v>
      </c>
      <c r="D780" t="s">
        <v>28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 s="8">
        <v>0.82840000000000003</v>
      </c>
      <c r="K780">
        <v>120000</v>
      </c>
      <c r="L780" s="2">
        <v>45690</v>
      </c>
    </row>
    <row r="781" spans="1:12">
      <c r="A781" t="s">
        <v>1105</v>
      </c>
      <c r="B781" t="s">
        <v>1106</v>
      </c>
      <c r="C781" t="s">
        <v>19</v>
      </c>
      <c r="D781" t="s">
        <v>36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 s="8">
        <v>0.80620000000000003</v>
      </c>
      <c r="K781">
        <v>120000</v>
      </c>
      <c r="L781" s="2">
        <v>46090</v>
      </c>
    </row>
    <row r="782" spans="1:12">
      <c r="A782" t="s">
        <v>1107</v>
      </c>
      <c r="B782" t="s">
        <v>98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 s="8">
        <v>0.90510000000000002</v>
      </c>
      <c r="K782">
        <v>75000</v>
      </c>
      <c r="L782" s="2">
        <v>46020</v>
      </c>
    </row>
    <row r="783" spans="1:12">
      <c r="A783" t="s">
        <v>1108</v>
      </c>
      <c r="B783" t="s">
        <v>667</v>
      </c>
      <c r="C783" t="s">
        <v>19</v>
      </c>
      <c r="D783" t="s">
        <v>28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 s="8">
        <v>0.69879999999999998</v>
      </c>
      <c r="K783">
        <v>110000</v>
      </c>
      <c r="L783" s="2">
        <v>46063</v>
      </c>
    </row>
    <row r="784" spans="1:12">
      <c r="A784" t="s">
        <v>1109</v>
      </c>
      <c r="B784" t="s">
        <v>83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 s="8">
        <v>0.82950000000000002</v>
      </c>
      <c r="K784">
        <v>110000</v>
      </c>
      <c r="L784" s="2">
        <v>45863</v>
      </c>
    </row>
    <row r="785" spans="1:12">
      <c r="A785" t="s">
        <v>1110</v>
      </c>
      <c r="B785" t="s">
        <v>737</v>
      </c>
      <c r="C785" t="s">
        <v>14</v>
      </c>
      <c r="D785" t="s">
        <v>36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 s="8">
        <v>0.80069999999999997</v>
      </c>
      <c r="K785">
        <v>80000</v>
      </c>
      <c r="L785" s="2">
        <v>46160</v>
      </c>
    </row>
    <row r="786" spans="1:12">
      <c r="A786" t="s">
        <v>1111</v>
      </c>
      <c r="B786" t="s">
        <v>297</v>
      </c>
      <c r="C786" t="s">
        <v>14</v>
      </c>
      <c r="D786" t="s">
        <v>53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 s="8">
        <v>0.93810000000000004</v>
      </c>
      <c r="K786">
        <v>120000</v>
      </c>
      <c r="L786" s="2">
        <v>45808</v>
      </c>
    </row>
    <row r="787" spans="1:12">
      <c r="A787" t="s">
        <v>1112</v>
      </c>
      <c r="B787" t="s">
        <v>509</v>
      </c>
      <c r="C787" t="s">
        <v>19</v>
      </c>
      <c r="D787" t="s">
        <v>36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 s="8">
        <v>0.91359999999999997</v>
      </c>
      <c r="K787">
        <v>90000</v>
      </c>
      <c r="L787" s="2">
        <v>46100</v>
      </c>
    </row>
    <row r="788" spans="1:12">
      <c r="A788" t="s">
        <v>1113</v>
      </c>
      <c r="B788" t="s">
        <v>930</v>
      </c>
      <c r="C788" t="s">
        <v>14</v>
      </c>
      <c r="D788" t="s">
        <v>20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 s="8">
        <v>0.88260000000000005</v>
      </c>
      <c r="K788">
        <v>110000</v>
      </c>
      <c r="L788" s="2">
        <v>45678</v>
      </c>
    </row>
    <row r="789" spans="1:12">
      <c r="A789" t="s">
        <v>1114</v>
      </c>
      <c r="B789" t="s">
        <v>344</v>
      </c>
      <c r="C789" t="s">
        <v>19</v>
      </c>
      <c r="D789" t="s">
        <v>20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 s="8">
        <v>0.81179999999999997</v>
      </c>
      <c r="K789">
        <v>110000</v>
      </c>
      <c r="L789" s="2">
        <v>45709</v>
      </c>
    </row>
    <row r="790" spans="1:12">
      <c r="A790" t="s">
        <v>1115</v>
      </c>
      <c r="B790" t="s">
        <v>204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 s="8">
        <v>0.55000000000000004</v>
      </c>
      <c r="K790">
        <v>110000</v>
      </c>
      <c r="L790" s="2">
        <v>45904</v>
      </c>
    </row>
    <row r="791" spans="1:12">
      <c r="A791" t="s">
        <v>1116</v>
      </c>
      <c r="B791" t="s">
        <v>94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 s="8">
        <v>0.85599999999999998</v>
      </c>
      <c r="K791">
        <v>130000</v>
      </c>
      <c r="L791" s="2">
        <v>45925</v>
      </c>
    </row>
    <row r="792" spans="1:12">
      <c r="A792" t="s">
        <v>1117</v>
      </c>
      <c r="B792" t="s">
        <v>295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 s="8">
        <v>0.96150000000000002</v>
      </c>
      <c r="K792">
        <v>120000</v>
      </c>
      <c r="L792" s="2">
        <v>46058</v>
      </c>
    </row>
    <row r="793" spans="1:12">
      <c r="A793" t="s">
        <v>1118</v>
      </c>
      <c r="B793" t="s">
        <v>1119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 s="8">
        <v>0.71220000000000006</v>
      </c>
      <c r="K793">
        <v>80000</v>
      </c>
      <c r="L793" s="2">
        <v>45744</v>
      </c>
    </row>
    <row r="794" spans="1:12">
      <c r="A794" t="s">
        <v>1120</v>
      </c>
      <c r="B794" t="s">
        <v>146</v>
      </c>
      <c r="C794" t="s">
        <v>19</v>
      </c>
      <c r="D794" t="s">
        <v>36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 s="8">
        <v>0.9073</v>
      </c>
      <c r="K794">
        <v>90000</v>
      </c>
      <c r="L794" s="2">
        <v>46146</v>
      </c>
    </row>
    <row r="795" spans="1:12">
      <c r="A795" t="s">
        <v>1121</v>
      </c>
      <c r="B795" t="s">
        <v>55</v>
      </c>
      <c r="C795" t="s">
        <v>19</v>
      </c>
      <c r="D795" t="s">
        <v>28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 s="8">
        <v>0.74050000000000005</v>
      </c>
      <c r="K795">
        <v>100000</v>
      </c>
      <c r="L795" s="2">
        <v>45766</v>
      </c>
    </row>
    <row r="796" spans="1:12">
      <c r="A796" t="s">
        <v>1122</v>
      </c>
      <c r="B796" t="s">
        <v>444</v>
      </c>
      <c r="C796" t="s">
        <v>14</v>
      </c>
      <c r="D796" t="s">
        <v>20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 s="8">
        <v>0.67169999999999996</v>
      </c>
      <c r="K796">
        <v>120000</v>
      </c>
      <c r="L796" s="2">
        <v>45909</v>
      </c>
    </row>
    <row r="797" spans="1:12">
      <c r="A797" t="s">
        <v>1123</v>
      </c>
      <c r="B797" t="s">
        <v>431</v>
      </c>
      <c r="C797" t="s">
        <v>14</v>
      </c>
      <c r="D797" t="s">
        <v>53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 s="8">
        <v>0.92059999999999997</v>
      </c>
      <c r="K797">
        <v>80000</v>
      </c>
      <c r="L797" s="2">
        <v>46188</v>
      </c>
    </row>
    <row r="798" spans="1:12">
      <c r="A798" t="s">
        <v>1124</v>
      </c>
      <c r="B798" t="s">
        <v>404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 s="8">
        <v>0.96179999999999999</v>
      </c>
      <c r="K798">
        <v>75000</v>
      </c>
      <c r="L798" s="2">
        <v>45913</v>
      </c>
    </row>
    <row r="799" spans="1:12">
      <c r="A799" t="s">
        <v>1125</v>
      </c>
      <c r="B799" t="s">
        <v>27</v>
      </c>
      <c r="C799" t="s">
        <v>14</v>
      </c>
      <c r="D799" t="s">
        <v>28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 s="8">
        <v>0.80249999999999999</v>
      </c>
      <c r="K799">
        <v>110000</v>
      </c>
      <c r="L799" s="2">
        <v>46013</v>
      </c>
    </row>
    <row r="800" spans="1:12">
      <c r="A800" t="s">
        <v>1126</v>
      </c>
      <c r="B800" t="s">
        <v>865</v>
      </c>
      <c r="C800" t="s">
        <v>14</v>
      </c>
      <c r="D800" t="s">
        <v>36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 s="8">
        <v>0.74519999999999997</v>
      </c>
      <c r="K800">
        <v>130000</v>
      </c>
      <c r="L800" s="2">
        <v>46172</v>
      </c>
    </row>
    <row r="801" spans="1:12">
      <c r="A801" t="s">
        <v>1127</v>
      </c>
      <c r="B801" t="s">
        <v>47</v>
      </c>
      <c r="C801" t="s">
        <v>14</v>
      </c>
      <c r="D801" t="s">
        <v>53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 s="8">
        <v>0.90649999999999997</v>
      </c>
      <c r="K801">
        <v>130000</v>
      </c>
      <c r="L801" s="2">
        <v>46218</v>
      </c>
    </row>
    <row r="802" spans="1:12">
      <c r="A802" t="s">
        <v>1128</v>
      </c>
      <c r="B802" t="s">
        <v>564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 s="8">
        <v>0.9163</v>
      </c>
      <c r="K802">
        <v>60000</v>
      </c>
      <c r="L802" s="2">
        <v>45885</v>
      </c>
    </row>
    <row r="803" spans="1:12">
      <c r="A803" t="s">
        <v>1129</v>
      </c>
      <c r="B803" t="s">
        <v>251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 s="8">
        <v>0.92020000000000002</v>
      </c>
      <c r="K803">
        <v>130000</v>
      </c>
      <c r="L803" s="2">
        <v>45827</v>
      </c>
    </row>
    <row r="804" spans="1:12">
      <c r="A804" t="s">
        <v>1130</v>
      </c>
      <c r="B804" t="s">
        <v>1131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 s="8">
        <v>0.87329999999999997</v>
      </c>
      <c r="K804">
        <v>110000</v>
      </c>
      <c r="L804" s="2">
        <v>45673</v>
      </c>
    </row>
    <row r="805" spans="1:12">
      <c r="A805" t="s">
        <v>1132</v>
      </c>
      <c r="B805" t="s">
        <v>803</v>
      </c>
      <c r="C805" t="s">
        <v>19</v>
      </c>
      <c r="D805" t="s">
        <v>53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 s="8">
        <v>0.94850000000000001</v>
      </c>
      <c r="K805">
        <v>60000</v>
      </c>
      <c r="L805" s="2">
        <v>45912</v>
      </c>
    </row>
    <row r="806" spans="1:12">
      <c r="A806" t="s">
        <v>1133</v>
      </c>
      <c r="B806" t="s">
        <v>243</v>
      </c>
      <c r="C806" t="s">
        <v>19</v>
      </c>
      <c r="D806" t="s">
        <v>15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 s="8">
        <v>0.89100000000000001</v>
      </c>
      <c r="K806">
        <v>50000</v>
      </c>
      <c r="L806" s="2">
        <v>46178</v>
      </c>
    </row>
    <row r="807" spans="1:12">
      <c r="A807" t="s">
        <v>1134</v>
      </c>
      <c r="B807" t="s">
        <v>433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 s="8">
        <v>0.84650000000000003</v>
      </c>
      <c r="K807">
        <v>70000</v>
      </c>
      <c r="L807" s="2">
        <v>45876</v>
      </c>
    </row>
    <row r="808" spans="1:12">
      <c r="A808" t="s">
        <v>1135</v>
      </c>
      <c r="B808" t="s">
        <v>675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 s="8">
        <v>0.94710000000000005</v>
      </c>
      <c r="K808">
        <v>130000</v>
      </c>
      <c r="L808" s="2">
        <v>45779</v>
      </c>
    </row>
    <row r="809" spans="1:12">
      <c r="A809" t="s">
        <v>1136</v>
      </c>
      <c r="B809" t="s">
        <v>65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 s="8">
        <v>0.92200000000000004</v>
      </c>
      <c r="K809">
        <v>110000</v>
      </c>
      <c r="L809" s="2">
        <v>45611</v>
      </c>
    </row>
    <row r="810" spans="1:12">
      <c r="A810" t="s">
        <v>1137</v>
      </c>
      <c r="B810" t="s">
        <v>474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 s="8">
        <v>0.95009999999999994</v>
      </c>
      <c r="K810">
        <v>90000</v>
      </c>
      <c r="L810" s="2">
        <v>45808</v>
      </c>
    </row>
    <row r="811" spans="1:12">
      <c r="A811" t="s">
        <v>1138</v>
      </c>
      <c r="B811" t="s">
        <v>31</v>
      </c>
      <c r="C811" t="s">
        <v>19</v>
      </c>
      <c r="D811" t="s">
        <v>28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 s="8">
        <v>0.74590000000000001</v>
      </c>
      <c r="K811">
        <v>90000</v>
      </c>
      <c r="L811" s="2">
        <v>45701</v>
      </c>
    </row>
    <row r="812" spans="1:12">
      <c r="A812" t="s">
        <v>1139</v>
      </c>
      <c r="B812" t="s">
        <v>388</v>
      </c>
      <c r="C812" t="s">
        <v>14</v>
      </c>
      <c r="D812" t="s">
        <v>53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 s="8">
        <v>0.85399999999999998</v>
      </c>
      <c r="K812">
        <v>80000</v>
      </c>
      <c r="L812" s="2">
        <v>46219</v>
      </c>
    </row>
    <row r="813" spans="1:12">
      <c r="A813" t="s">
        <v>1140</v>
      </c>
      <c r="B813" t="s">
        <v>272</v>
      </c>
      <c r="C813" t="s">
        <v>19</v>
      </c>
      <c r="D813" t="s">
        <v>20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 s="8">
        <v>0.7349</v>
      </c>
      <c r="K813">
        <v>120000</v>
      </c>
      <c r="L813" s="2">
        <v>45905</v>
      </c>
    </row>
    <row r="814" spans="1:12">
      <c r="A814" t="s">
        <v>1141</v>
      </c>
      <c r="B814" t="s">
        <v>1106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 s="8">
        <v>0.91690000000000005</v>
      </c>
      <c r="K814">
        <v>60000</v>
      </c>
      <c r="L814" s="2">
        <v>45631</v>
      </c>
    </row>
    <row r="815" spans="1:12">
      <c r="A815" t="s">
        <v>1142</v>
      </c>
      <c r="B815" t="s">
        <v>90</v>
      </c>
      <c r="C815" t="s">
        <v>14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 s="8">
        <v>0.88139999999999996</v>
      </c>
      <c r="K815">
        <v>75000</v>
      </c>
      <c r="L815" s="2">
        <v>45583</v>
      </c>
    </row>
    <row r="816" spans="1:12">
      <c r="A816" t="s">
        <v>1143</v>
      </c>
      <c r="B816" t="s">
        <v>79</v>
      </c>
      <c r="C816" t="s">
        <v>19</v>
      </c>
      <c r="D816" t="s">
        <v>53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 s="8">
        <v>0.92849999999999999</v>
      </c>
      <c r="K816">
        <v>70000</v>
      </c>
      <c r="L816" s="2">
        <v>46131</v>
      </c>
    </row>
    <row r="817" spans="1:12">
      <c r="A817" t="s">
        <v>1144</v>
      </c>
      <c r="B817" t="s">
        <v>415</v>
      </c>
      <c r="C817" t="s">
        <v>19</v>
      </c>
      <c r="D817" t="s">
        <v>36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 s="8">
        <v>0.80820000000000003</v>
      </c>
      <c r="K817">
        <v>120000</v>
      </c>
      <c r="L817" s="2">
        <v>46188</v>
      </c>
    </row>
    <row r="818" spans="1:12">
      <c r="A818" t="s">
        <v>1145</v>
      </c>
      <c r="B818" t="s">
        <v>575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 s="8">
        <v>0.82210000000000005</v>
      </c>
      <c r="K818">
        <v>85000</v>
      </c>
      <c r="L818" s="2">
        <v>46070</v>
      </c>
    </row>
    <row r="819" spans="1:12">
      <c r="A819" t="s">
        <v>1146</v>
      </c>
      <c r="B819" t="s">
        <v>1147</v>
      </c>
      <c r="C819" t="s">
        <v>14</v>
      </c>
      <c r="D819" t="s">
        <v>36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 s="8">
        <v>0.86709999999999998</v>
      </c>
      <c r="K819">
        <v>100000</v>
      </c>
      <c r="L819" s="2">
        <v>45622</v>
      </c>
    </row>
    <row r="820" spans="1:12">
      <c r="A820" t="s">
        <v>1148</v>
      </c>
      <c r="B820" t="s">
        <v>720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 s="8">
        <v>0.95279999999999998</v>
      </c>
      <c r="K820">
        <v>130000</v>
      </c>
      <c r="L820" s="2">
        <v>45604</v>
      </c>
    </row>
    <row r="821" spans="1:12">
      <c r="A821" t="s">
        <v>1149</v>
      </c>
      <c r="B821" t="s">
        <v>50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 s="8">
        <v>0.95979999999999999</v>
      </c>
      <c r="K821">
        <v>70000</v>
      </c>
      <c r="L821" s="2">
        <v>45674</v>
      </c>
    </row>
    <row r="822" spans="1:12">
      <c r="A822" t="s">
        <v>1150</v>
      </c>
      <c r="B822" t="s">
        <v>1098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 s="8">
        <v>0.84289999999999998</v>
      </c>
      <c r="K822">
        <v>130000</v>
      </c>
      <c r="L822" s="2">
        <v>46061</v>
      </c>
    </row>
    <row r="823" spans="1:12">
      <c r="A823" t="s">
        <v>1151</v>
      </c>
      <c r="B823" t="s">
        <v>651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 s="8">
        <v>0.96679999999999999</v>
      </c>
      <c r="K823">
        <v>60000</v>
      </c>
      <c r="L823" s="2">
        <v>46071</v>
      </c>
    </row>
    <row r="824" spans="1:12">
      <c r="A824" t="s">
        <v>1152</v>
      </c>
      <c r="B824" t="s">
        <v>288</v>
      </c>
      <c r="C824" t="s">
        <v>14</v>
      </c>
      <c r="D824" t="s">
        <v>53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 s="8">
        <v>0.95730000000000004</v>
      </c>
      <c r="K824">
        <v>110000</v>
      </c>
      <c r="L824" s="2">
        <v>46122</v>
      </c>
    </row>
    <row r="825" spans="1:12">
      <c r="A825" t="s">
        <v>1153</v>
      </c>
      <c r="B825" t="s">
        <v>77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 s="8">
        <v>0.94520000000000004</v>
      </c>
      <c r="K825">
        <v>100000</v>
      </c>
      <c r="L825" s="2">
        <v>45603</v>
      </c>
    </row>
    <row r="826" spans="1:12">
      <c r="A826" t="s">
        <v>1154</v>
      </c>
      <c r="B826" t="s">
        <v>213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 s="8">
        <v>0.88039999999999996</v>
      </c>
      <c r="K826">
        <v>120000</v>
      </c>
      <c r="L826" s="2">
        <v>45643</v>
      </c>
    </row>
    <row r="827" spans="1:12">
      <c r="A827" t="s">
        <v>1155</v>
      </c>
      <c r="B827" t="s">
        <v>135</v>
      </c>
      <c r="C827" t="s">
        <v>14</v>
      </c>
      <c r="D827" t="s">
        <v>53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 s="8">
        <v>0.93130000000000002</v>
      </c>
      <c r="K827">
        <v>60000</v>
      </c>
      <c r="L827" s="2">
        <v>46166</v>
      </c>
    </row>
    <row r="828" spans="1:12">
      <c r="A828" t="s">
        <v>1156</v>
      </c>
      <c r="B828" t="s">
        <v>412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 s="8">
        <v>0.73350000000000004</v>
      </c>
      <c r="K828">
        <v>130000</v>
      </c>
      <c r="L828" s="2">
        <v>46186</v>
      </c>
    </row>
    <row r="829" spans="1:12">
      <c r="A829" t="s">
        <v>1157</v>
      </c>
      <c r="B829" t="s">
        <v>404</v>
      </c>
      <c r="C829" t="s">
        <v>19</v>
      </c>
      <c r="D829" t="s">
        <v>28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 s="8">
        <v>0.97170000000000001</v>
      </c>
      <c r="K829">
        <v>110000</v>
      </c>
      <c r="L829" s="2">
        <v>46043</v>
      </c>
    </row>
    <row r="830" spans="1:12">
      <c r="A830" t="s">
        <v>1158</v>
      </c>
      <c r="B830" t="s">
        <v>697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 s="8">
        <v>0.81640000000000001</v>
      </c>
      <c r="K830">
        <v>60000</v>
      </c>
      <c r="L830" s="2">
        <v>45610</v>
      </c>
    </row>
    <row r="831" spans="1:12">
      <c r="A831" t="s">
        <v>1159</v>
      </c>
      <c r="B831" t="s">
        <v>186</v>
      </c>
      <c r="C831" t="s">
        <v>14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 s="8">
        <v>0.98939999999999995</v>
      </c>
      <c r="K831">
        <v>90000</v>
      </c>
      <c r="L831" s="2">
        <v>45584</v>
      </c>
    </row>
    <row r="832" spans="1:12">
      <c r="A832" t="s">
        <v>1160</v>
      </c>
      <c r="B832" t="s">
        <v>131</v>
      </c>
      <c r="C832" t="s">
        <v>14</v>
      </c>
      <c r="D832" t="s">
        <v>36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 s="8">
        <v>0.87290000000000001</v>
      </c>
      <c r="K832">
        <v>110000</v>
      </c>
      <c r="L832" s="2">
        <v>45574</v>
      </c>
    </row>
    <row r="833" spans="1:12">
      <c r="A833" t="s">
        <v>1161</v>
      </c>
      <c r="B833" t="s">
        <v>410</v>
      </c>
      <c r="C833" t="s">
        <v>14</v>
      </c>
      <c r="D833" t="s">
        <v>36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 s="8">
        <v>0.77400000000000002</v>
      </c>
      <c r="K833">
        <v>85000</v>
      </c>
      <c r="L833" s="2">
        <v>46020</v>
      </c>
    </row>
    <row r="834" spans="1:12">
      <c r="A834" t="s">
        <v>1162</v>
      </c>
      <c r="B834" t="s">
        <v>357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 s="8">
        <v>0.88780000000000003</v>
      </c>
      <c r="K834">
        <v>80000</v>
      </c>
      <c r="L834" s="2">
        <v>46128</v>
      </c>
    </row>
    <row r="835" spans="1:12">
      <c r="A835" t="s">
        <v>1163</v>
      </c>
      <c r="B835" t="s">
        <v>73</v>
      </c>
      <c r="C835" t="s">
        <v>14</v>
      </c>
      <c r="D835" t="s">
        <v>36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 s="8">
        <v>0.86470000000000002</v>
      </c>
      <c r="K835">
        <v>75000</v>
      </c>
      <c r="L835" s="2">
        <v>45978</v>
      </c>
    </row>
    <row r="836" spans="1:12">
      <c r="A836" t="s">
        <v>1164</v>
      </c>
      <c r="B836" t="s">
        <v>141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 s="8">
        <v>0.84540000000000004</v>
      </c>
      <c r="K836">
        <v>85000</v>
      </c>
      <c r="L836" s="2">
        <v>45719</v>
      </c>
    </row>
    <row r="837" spans="1:12">
      <c r="A837" t="s">
        <v>1165</v>
      </c>
      <c r="B837" t="s">
        <v>415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 s="8">
        <v>0.98080000000000001</v>
      </c>
      <c r="K837">
        <v>130000</v>
      </c>
      <c r="L837" s="2">
        <v>46066</v>
      </c>
    </row>
    <row r="838" spans="1:12">
      <c r="A838" t="s">
        <v>1166</v>
      </c>
      <c r="B838" t="s">
        <v>102</v>
      </c>
      <c r="C838" t="s">
        <v>19</v>
      </c>
      <c r="D838" t="s">
        <v>20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 s="8">
        <v>0.69789999999999996</v>
      </c>
      <c r="K838">
        <v>90000</v>
      </c>
      <c r="L838" s="2">
        <v>45577</v>
      </c>
    </row>
    <row r="839" spans="1:12">
      <c r="A839" t="s">
        <v>1167</v>
      </c>
      <c r="B839" t="s">
        <v>1036</v>
      </c>
      <c r="C839" t="s">
        <v>14</v>
      </c>
      <c r="D839" t="s">
        <v>28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 s="8">
        <v>0.60809999999999997</v>
      </c>
      <c r="K839">
        <v>100000</v>
      </c>
      <c r="L839" s="2">
        <v>46115</v>
      </c>
    </row>
    <row r="840" spans="1:12">
      <c r="A840" t="s">
        <v>1168</v>
      </c>
      <c r="B840" t="s">
        <v>431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 s="8">
        <v>0.7288</v>
      </c>
      <c r="K840">
        <v>110000</v>
      </c>
      <c r="L840" s="2">
        <v>46160</v>
      </c>
    </row>
    <row r="841" spans="1:12">
      <c r="A841" t="s">
        <v>1169</v>
      </c>
      <c r="B841" t="s">
        <v>518</v>
      </c>
      <c r="C841" t="s">
        <v>19</v>
      </c>
      <c r="D841" t="s">
        <v>28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 s="8">
        <v>0.92059999999999997</v>
      </c>
      <c r="K841">
        <v>110000</v>
      </c>
      <c r="L841" s="2">
        <v>46038</v>
      </c>
    </row>
    <row r="842" spans="1:12">
      <c r="A842" t="s">
        <v>1170</v>
      </c>
      <c r="B842" t="s">
        <v>1038</v>
      </c>
      <c r="C842" t="s">
        <v>14</v>
      </c>
      <c r="D842" t="s">
        <v>36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 s="8">
        <v>0.69040000000000001</v>
      </c>
      <c r="K842">
        <v>80000</v>
      </c>
      <c r="L842" s="2">
        <v>46151</v>
      </c>
    </row>
    <row r="843" spans="1:12">
      <c r="A843" t="s">
        <v>1171</v>
      </c>
      <c r="B843" t="s">
        <v>104</v>
      </c>
      <c r="C843" t="s">
        <v>19</v>
      </c>
      <c r="D843" t="s">
        <v>36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 s="8">
        <v>0.93700000000000006</v>
      </c>
      <c r="K843">
        <v>110000</v>
      </c>
      <c r="L843" s="2">
        <v>45946</v>
      </c>
    </row>
    <row r="844" spans="1:12">
      <c r="A844" t="s">
        <v>1172</v>
      </c>
      <c r="B844" t="s">
        <v>111</v>
      </c>
      <c r="C844" t="s">
        <v>19</v>
      </c>
      <c r="D844" t="s">
        <v>15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 s="8">
        <v>0.77559999999999996</v>
      </c>
      <c r="K844">
        <v>75000</v>
      </c>
      <c r="L844" s="2">
        <v>45863</v>
      </c>
    </row>
    <row r="845" spans="1:12">
      <c r="A845" t="s">
        <v>1173</v>
      </c>
      <c r="B845" t="s">
        <v>372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 s="8">
        <v>0.63160000000000005</v>
      </c>
      <c r="K845">
        <v>90000</v>
      </c>
      <c r="L845" s="2">
        <v>45761</v>
      </c>
    </row>
    <row r="846" spans="1:12">
      <c r="A846" t="s">
        <v>1174</v>
      </c>
      <c r="B846" t="s">
        <v>274</v>
      </c>
      <c r="C846" t="s">
        <v>14</v>
      </c>
      <c r="D846" t="s">
        <v>20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 s="8">
        <v>0.99750000000000005</v>
      </c>
      <c r="K846">
        <v>75000</v>
      </c>
      <c r="L846" s="2">
        <v>46181</v>
      </c>
    </row>
    <row r="847" spans="1:12">
      <c r="A847" t="s">
        <v>1175</v>
      </c>
      <c r="B847" t="s">
        <v>425</v>
      </c>
      <c r="C847" t="s">
        <v>14</v>
      </c>
      <c r="D847" t="s">
        <v>53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 s="8">
        <v>0.91039999999999999</v>
      </c>
      <c r="K847">
        <v>130000</v>
      </c>
      <c r="L847" s="2">
        <v>46024</v>
      </c>
    </row>
    <row r="848" spans="1:12">
      <c r="A848" t="s">
        <v>1176</v>
      </c>
      <c r="B848" t="s">
        <v>757</v>
      </c>
      <c r="C848" t="s">
        <v>14</v>
      </c>
      <c r="D848" t="s">
        <v>53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 s="8">
        <v>0.83069999999999999</v>
      </c>
      <c r="K848">
        <v>110000</v>
      </c>
      <c r="L848" s="2">
        <v>45669</v>
      </c>
    </row>
    <row r="849" spans="1:12">
      <c r="A849" t="s">
        <v>1177</v>
      </c>
      <c r="B849" t="s">
        <v>357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 s="8">
        <v>0.86129999999999995</v>
      </c>
      <c r="K849">
        <v>90000</v>
      </c>
      <c r="L849" s="2">
        <v>46205</v>
      </c>
    </row>
    <row r="850" spans="1:12">
      <c r="A850" t="s">
        <v>1178</v>
      </c>
      <c r="B850" t="s">
        <v>949</v>
      </c>
      <c r="C850" t="s">
        <v>19</v>
      </c>
      <c r="D850" t="s">
        <v>36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 s="8">
        <v>0.55000000000000004</v>
      </c>
      <c r="K850">
        <v>80000</v>
      </c>
      <c r="L850" s="2">
        <v>45577</v>
      </c>
    </row>
    <row r="851" spans="1:12">
      <c r="A851" t="s">
        <v>1179</v>
      </c>
      <c r="B851" t="s">
        <v>748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 s="8">
        <v>0.55000000000000004</v>
      </c>
      <c r="K851">
        <v>85000</v>
      </c>
      <c r="L851" s="2">
        <v>45947</v>
      </c>
    </row>
    <row r="852" spans="1:12">
      <c r="A852" t="s">
        <v>1180</v>
      </c>
      <c r="B852" t="s">
        <v>479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 s="8">
        <v>0.91310000000000002</v>
      </c>
      <c r="K852">
        <v>110000</v>
      </c>
      <c r="L852" s="2">
        <v>45669</v>
      </c>
    </row>
    <row r="853" spans="1:12">
      <c r="A853" t="s">
        <v>1181</v>
      </c>
      <c r="B853" t="s">
        <v>237</v>
      </c>
      <c r="C853" t="s">
        <v>19</v>
      </c>
      <c r="D853" t="s">
        <v>32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 s="8">
        <v>0.95920000000000005</v>
      </c>
      <c r="K853">
        <v>75000</v>
      </c>
      <c r="L853" s="2">
        <v>46001</v>
      </c>
    </row>
    <row r="854" spans="1:12">
      <c r="A854" t="s">
        <v>1182</v>
      </c>
      <c r="B854" t="s">
        <v>408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 s="8">
        <v>0.96989999999999998</v>
      </c>
      <c r="K854">
        <v>120000</v>
      </c>
      <c r="L854" s="2">
        <v>45824</v>
      </c>
    </row>
    <row r="855" spans="1:12">
      <c r="A855" t="s">
        <v>1183</v>
      </c>
      <c r="B855" t="s">
        <v>1184</v>
      </c>
      <c r="C855" t="s">
        <v>14</v>
      </c>
      <c r="D855" t="s">
        <v>53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 s="8">
        <v>0.86260000000000003</v>
      </c>
      <c r="K855">
        <v>75000</v>
      </c>
      <c r="L855" s="2">
        <v>45841</v>
      </c>
    </row>
    <row r="856" spans="1:12">
      <c r="A856" t="s">
        <v>1185</v>
      </c>
      <c r="B856" t="s">
        <v>930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 s="8">
        <v>0.8266</v>
      </c>
      <c r="K856">
        <v>60000</v>
      </c>
      <c r="L856" s="2">
        <v>46006</v>
      </c>
    </row>
    <row r="857" spans="1:12">
      <c r="A857" t="s">
        <v>1186</v>
      </c>
      <c r="B857" t="s">
        <v>912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 s="8">
        <v>0.88739999999999997</v>
      </c>
      <c r="K857">
        <v>110000</v>
      </c>
      <c r="L857" s="2">
        <v>46065</v>
      </c>
    </row>
    <row r="858" spans="1:12">
      <c r="A858" t="s">
        <v>1187</v>
      </c>
      <c r="B858" t="s">
        <v>600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 s="8">
        <v>0.57750000000000001</v>
      </c>
      <c r="K858">
        <v>100000</v>
      </c>
      <c r="L858" s="2">
        <v>45802</v>
      </c>
    </row>
    <row r="859" spans="1:12">
      <c r="A859" t="s">
        <v>1188</v>
      </c>
      <c r="B859" t="s">
        <v>679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 s="8">
        <v>0.82110000000000005</v>
      </c>
      <c r="K859">
        <v>75000</v>
      </c>
      <c r="L859" s="2">
        <v>46234</v>
      </c>
    </row>
    <row r="860" spans="1:12">
      <c r="A860" t="s">
        <v>1189</v>
      </c>
      <c r="B860" t="s">
        <v>43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 s="8">
        <v>0.97829999999999995</v>
      </c>
      <c r="K860">
        <v>100000</v>
      </c>
      <c r="L860" s="2">
        <v>45884</v>
      </c>
    </row>
    <row r="861" spans="1:12">
      <c r="A861" t="s">
        <v>1190</v>
      </c>
      <c r="B861" t="s">
        <v>52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 s="8">
        <v>0.85309999999999997</v>
      </c>
      <c r="K861">
        <v>110000</v>
      </c>
      <c r="L861" s="2">
        <v>45648</v>
      </c>
    </row>
    <row r="862" spans="1:12">
      <c r="A862" t="s">
        <v>1191</v>
      </c>
      <c r="B862" t="s">
        <v>651</v>
      </c>
      <c r="C862" t="s">
        <v>19</v>
      </c>
      <c r="D862" t="s">
        <v>53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 s="8">
        <v>0.83660000000000001</v>
      </c>
      <c r="K862">
        <v>110000</v>
      </c>
      <c r="L862" s="2">
        <v>45540</v>
      </c>
    </row>
    <row r="863" spans="1:12">
      <c r="A863" t="s">
        <v>1192</v>
      </c>
      <c r="B863" t="s">
        <v>342</v>
      </c>
      <c r="C863" t="s">
        <v>19</v>
      </c>
      <c r="D863" t="s">
        <v>53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 s="8">
        <v>0.8891</v>
      </c>
      <c r="K863">
        <v>130000</v>
      </c>
      <c r="L863" s="2">
        <v>45677</v>
      </c>
    </row>
    <row r="864" spans="1:12">
      <c r="A864" t="s">
        <v>1193</v>
      </c>
      <c r="B864" t="s">
        <v>1074</v>
      </c>
      <c r="C864" t="s">
        <v>14</v>
      </c>
      <c r="D864" t="s">
        <v>36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 s="8">
        <v>0.99199999999999999</v>
      </c>
      <c r="K864">
        <v>120000</v>
      </c>
      <c r="L864" s="2">
        <v>46019</v>
      </c>
    </row>
    <row r="865" spans="1:12">
      <c r="A865" t="s">
        <v>1194</v>
      </c>
      <c r="B865" t="s">
        <v>667</v>
      </c>
      <c r="C865" t="s">
        <v>19</v>
      </c>
      <c r="D865" t="s">
        <v>15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 s="8">
        <v>0.71740000000000004</v>
      </c>
      <c r="K865">
        <v>80000</v>
      </c>
      <c r="L865" s="2">
        <v>45913</v>
      </c>
    </row>
    <row r="866" spans="1:12">
      <c r="A866" t="s">
        <v>1195</v>
      </c>
      <c r="B866" t="s">
        <v>77</v>
      </c>
      <c r="C866" t="s">
        <v>19</v>
      </c>
      <c r="D866" t="s">
        <v>53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 s="8">
        <v>0.81459999999999999</v>
      </c>
      <c r="K866">
        <v>70000</v>
      </c>
      <c r="L866" s="2">
        <v>45772</v>
      </c>
    </row>
    <row r="867" spans="1:12">
      <c r="A867" t="s">
        <v>1196</v>
      </c>
      <c r="B867" t="s">
        <v>204</v>
      </c>
      <c r="C867" t="s">
        <v>19</v>
      </c>
      <c r="D867" t="s">
        <v>36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 s="8">
        <v>0.88529999999999998</v>
      </c>
      <c r="K867">
        <v>60000</v>
      </c>
      <c r="L867" s="2">
        <v>45872</v>
      </c>
    </row>
    <row r="868" spans="1:12">
      <c r="A868" t="s">
        <v>1197</v>
      </c>
      <c r="B868" t="s">
        <v>415</v>
      </c>
      <c r="C868" t="s">
        <v>19</v>
      </c>
      <c r="D868" t="s">
        <v>53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 s="8">
        <v>0.9496</v>
      </c>
      <c r="K868">
        <v>90000</v>
      </c>
      <c r="L868" s="2">
        <v>46122</v>
      </c>
    </row>
    <row r="869" spans="1:12">
      <c r="A869" t="s">
        <v>1198</v>
      </c>
      <c r="B869" t="s">
        <v>280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 s="8">
        <v>0.7762</v>
      </c>
      <c r="K869">
        <v>100000</v>
      </c>
      <c r="L869" s="2">
        <v>45936</v>
      </c>
    </row>
    <row r="870" spans="1:12">
      <c r="A870" t="s">
        <v>1199</v>
      </c>
      <c r="B870" t="s">
        <v>492</v>
      </c>
      <c r="C870" t="s">
        <v>14</v>
      </c>
      <c r="D870" t="s">
        <v>53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 s="8">
        <v>0.78990000000000005</v>
      </c>
      <c r="K870">
        <v>100000</v>
      </c>
      <c r="L870" s="2">
        <v>45576</v>
      </c>
    </row>
    <row r="871" spans="1:12">
      <c r="A871" t="s">
        <v>1200</v>
      </c>
      <c r="B871" t="s">
        <v>45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 s="8">
        <v>0.86750000000000005</v>
      </c>
      <c r="K871">
        <v>50000</v>
      </c>
      <c r="L871" s="2">
        <v>45570</v>
      </c>
    </row>
    <row r="872" spans="1:12">
      <c r="A872" t="s">
        <v>1201</v>
      </c>
      <c r="B872" t="s">
        <v>564</v>
      </c>
      <c r="C872" t="s">
        <v>14</v>
      </c>
      <c r="D872" t="s">
        <v>20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 s="8">
        <v>0.97450000000000003</v>
      </c>
      <c r="K872">
        <v>100000</v>
      </c>
      <c r="L872" s="2">
        <v>45873</v>
      </c>
    </row>
    <row r="873" spans="1:12">
      <c r="A873" t="s">
        <v>1202</v>
      </c>
      <c r="B873" t="s">
        <v>575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 s="8">
        <v>0.97970000000000002</v>
      </c>
      <c r="K873">
        <v>110000</v>
      </c>
      <c r="L873" s="2">
        <v>45818</v>
      </c>
    </row>
    <row r="874" spans="1:12">
      <c r="A874" t="s">
        <v>1203</v>
      </c>
      <c r="B874" t="s">
        <v>1204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 s="8">
        <v>0.92959999999999998</v>
      </c>
      <c r="K874">
        <v>100000</v>
      </c>
      <c r="L874" s="2">
        <v>46131</v>
      </c>
    </row>
    <row r="875" spans="1:12">
      <c r="A875" t="s">
        <v>1205</v>
      </c>
      <c r="B875" t="s">
        <v>737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 s="8">
        <v>0.6784</v>
      </c>
      <c r="K875">
        <v>85000</v>
      </c>
      <c r="L875" s="2">
        <v>45944</v>
      </c>
    </row>
    <row r="876" spans="1:12">
      <c r="A876" t="s">
        <v>1206</v>
      </c>
      <c r="B876" t="s">
        <v>317</v>
      </c>
      <c r="C876" t="s">
        <v>19</v>
      </c>
      <c r="D876" t="s">
        <v>36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 s="8">
        <v>0.68859999999999999</v>
      </c>
      <c r="K876">
        <v>50000</v>
      </c>
      <c r="L876" s="2">
        <v>46065</v>
      </c>
    </row>
    <row r="877" spans="1:12">
      <c r="A877" t="s">
        <v>1207</v>
      </c>
      <c r="B877" t="s">
        <v>777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 s="8">
        <v>0.92969999999999997</v>
      </c>
      <c r="K877">
        <v>85000</v>
      </c>
      <c r="L877" s="2">
        <v>45945</v>
      </c>
    </row>
    <row r="878" spans="1:12">
      <c r="A878" t="s">
        <v>1208</v>
      </c>
      <c r="B878" t="s">
        <v>55</v>
      </c>
      <c r="C878" t="s">
        <v>19</v>
      </c>
      <c r="D878" t="s">
        <v>53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 s="8">
        <v>0.97289999999999999</v>
      </c>
      <c r="K878">
        <v>100000</v>
      </c>
      <c r="L878" s="2">
        <v>45777</v>
      </c>
    </row>
    <row r="879" spans="1:12">
      <c r="A879" t="s">
        <v>1209</v>
      </c>
      <c r="B879" t="s">
        <v>442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 s="8">
        <v>0.82310000000000005</v>
      </c>
      <c r="K879">
        <v>90000</v>
      </c>
      <c r="L879" s="2">
        <v>45996</v>
      </c>
    </row>
    <row r="880" spans="1:12">
      <c r="A880" t="s">
        <v>1210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 s="8">
        <v>0.77610000000000001</v>
      </c>
      <c r="K880">
        <v>90000</v>
      </c>
      <c r="L880" s="2">
        <v>45971</v>
      </c>
    </row>
    <row r="881" spans="1:12">
      <c r="A881" t="s">
        <v>1211</v>
      </c>
      <c r="B881" t="s">
        <v>127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 s="8">
        <v>0.94079999999999997</v>
      </c>
      <c r="K881">
        <v>85000</v>
      </c>
      <c r="L881" s="2">
        <v>46040</v>
      </c>
    </row>
    <row r="882" spans="1:12">
      <c r="A882" t="s">
        <v>1212</v>
      </c>
      <c r="B882" t="s">
        <v>607</v>
      </c>
      <c r="C882" t="s">
        <v>14</v>
      </c>
      <c r="D882" t="s">
        <v>28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 s="8">
        <v>0.65229999999999999</v>
      </c>
      <c r="K882">
        <v>90000</v>
      </c>
      <c r="L882" s="2">
        <v>45668</v>
      </c>
    </row>
    <row r="883" spans="1:12">
      <c r="A883" t="s">
        <v>1213</v>
      </c>
      <c r="B883" t="s">
        <v>85</v>
      </c>
      <c r="C883" t="s">
        <v>19</v>
      </c>
      <c r="D883" t="s">
        <v>53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 s="8">
        <v>0.55000000000000004</v>
      </c>
      <c r="K883">
        <v>75000</v>
      </c>
      <c r="L883" s="2">
        <v>45985</v>
      </c>
    </row>
    <row r="884" spans="1:12">
      <c r="A884" t="s">
        <v>1214</v>
      </c>
      <c r="B884" t="s">
        <v>833</v>
      </c>
      <c r="C884" t="s">
        <v>14</v>
      </c>
      <c r="D884" t="s">
        <v>53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 s="8">
        <v>0.61939999999999995</v>
      </c>
      <c r="K884">
        <v>90000</v>
      </c>
      <c r="L884" s="2">
        <v>45735</v>
      </c>
    </row>
    <row r="885" spans="1:12">
      <c r="A885" t="s">
        <v>1215</v>
      </c>
      <c r="B885" t="s">
        <v>372</v>
      </c>
      <c r="C885" t="s">
        <v>14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 s="8">
        <v>0.72609999999999997</v>
      </c>
      <c r="K885">
        <v>75000</v>
      </c>
      <c r="L885" s="2">
        <v>46089</v>
      </c>
    </row>
    <row r="886" spans="1:12">
      <c r="A886" t="s">
        <v>1216</v>
      </c>
      <c r="B886" t="s">
        <v>1034</v>
      </c>
      <c r="C886" t="s">
        <v>19</v>
      </c>
      <c r="D886" t="s">
        <v>53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 s="8">
        <v>0.76170000000000004</v>
      </c>
      <c r="K886">
        <v>85000</v>
      </c>
      <c r="L886" s="2">
        <v>46094</v>
      </c>
    </row>
    <row r="887" spans="1:12">
      <c r="A887" t="s">
        <v>1217</v>
      </c>
      <c r="B887" t="s">
        <v>720</v>
      </c>
      <c r="C887" t="s">
        <v>19</v>
      </c>
      <c r="D887" t="s">
        <v>36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 s="8">
        <v>0.66259999999999997</v>
      </c>
      <c r="K887">
        <v>80000</v>
      </c>
      <c r="L887" s="2">
        <v>45973</v>
      </c>
    </row>
    <row r="888" spans="1:12">
      <c r="A888" t="s">
        <v>1218</v>
      </c>
      <c r="B888" t="s">
        <v>562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 s="8">
        <v>0.90469999999999995</v>
      </c>
      <c r="K888">
        <v>100000</v>
      </c>
      <c r="L888" s="2">
        <v>46198</v>
      </c>
    </row>
    <row r="889" spans="1:12">
      <c r="A889" t="s">
        <v>1219</v>
      </c>
      <c r="B889" t="s">
        <v>718</v>
      </c>
      <c r="C889" t="s">
        <v>14</v>
      </c>
      <c r="D889" t="s">
        <v>20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 s="8">
        <v>0.84689999999999999</v>
      </c>
      <c r="K889">
        <v>120000</v>
      </c>
      <c r="L889" s="2">
        <v>45912</v>
      </c>
    </row>
    <row r="890" spans="1:12">
      <c r="A890" t="s">
        <v>1220</v>
      </c>
      <c r="B890" t="s">
        <v>325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 s="8">
        <v>0.82040000000000002</v>
      </c>
      <c r="K890">
        <v>90000</v>
      </c>
      <c r="L890" s="2">
        <v>45553</v>
      </c>
    </row>
    <row r="891" spans="1:12">
      <c r="A891" t="s">
        <v>1221</v>
      </c>
      <c r="B891" t="s">
        <v>65</v>
      </c>
      <c r="C891" t="s">
        <v>14</v>
      </c>
      <c r="D891" t="s">
        <v>36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 s="8">
        <v>0.73619999999999997</v>
      </c>
      <c r="K891">
        <v>60000</v>
      </c>
      <c r="L891" s="2">
        <v>45960</v>
      </c>
    </row>
    <row r="892" spans="1:12">
      <c r="A892" t="s">
        <v>1222</v>
      </c>
      <c r="B892" t="s">
        <v>178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 s="8">
        <v>0.80800000000000005</v>
      </c>
      <c r="K892">
        <v>100000</v>
      </c>
      <c r="L892" s="2">
        <v>46080</v>
      </c>
    </row>
    <row r="893" spans="1:12">
      <c r="A893" t="s">
        <v>1223</v>
      </c>
      <c r="B893" t="s">
        <v>50</v>
      </c>
      <c r="C893" t="s">
        <v>19</v>
      </c>
      <c r="D893" t="s">
        <v>36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 s="8">
        <v>0.62170000000000003</v>
      </c>
      <c r="K893">
        <v>75000</v>
      </c>
      <c r="L893" s="2">
        <v>45606</v>
      </c>
    </row>
    <row r="894" spans="1:12">
      <c r="A894" t="s">
        <v>1224</v>
      </c>
      <c r="B894" t="s">
        <v>260</v>
      </c>
      <c r="C894" t="s">
        <v>19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 s="8">
        <v>0.85919999999999996</v>
      </c>
      <c r="K894">
        <v>50000</v>
      </c>
      <c r="L894" s="2">
        <v>45609</v>
      </c>
    </row>
    <row r="895" spans="1:12">
      <c r="A895" t="s">
        <v>1225</v>
      </c>
      <c r="B895" t="s">
        <v>52</v>
      </c>
      <c r="C895" t="s">
        <v>19</v>
      </c>
      <c r="D895" t="s">
        <v>53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 s="8">
        <v>0.87939999999999996</v>
      </c>
      <c r="K895">
        <v>70000</v>
      </c>
      <c r="L895" s="2">
        <v>45727</v>
      </c>
    </row>
    <row r="896" spans="1:12">
      <c r="A896" t="s">
        <v>1226</v>
      </c>
      <c r="B896" t="s">
        <v>585</v>
      </c>
      <c r="C896" t="s">
        <v>19</v>
      </c>
      <c r="D896" t="s">
        <v>53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 s="8">
        <v>0.89259999999999995</v>
      </c>
      <c r="K896">
        <v>130000</v>
      </c>
      <c r="L896" s="2">
        <v>46126</v>
      </c>
    </row>
    <row r="897" spans="1:12">
      <c r="A897" t="s">
        <v>1227</v>
      </c>
      <c r="B897" t="s">
        <v>623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 s="8">
        <v>0.78939999999999999</v>
      </c>
      <c r="K897">
        <v>80000</v>
      </c>
      <c r="L897" s="2">
        <v>45905</v>
      </c>
    </row>
    <row r="898" spans="1:12">
      <c r="A898" t="s">
        <v>1228</v>
      </c>
      <c r="B898" t="s">
        <v>129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 s="8">
        <v>0.94220000000000004</v>
      </c>
      <c r="K898">
        <v>70000</v>
      </c>
      <c r="L898" s="2">
        <v>46219</v>
      </c>
    </row>
    <row r="899" spans="1:12">
      <c r="A899" t="s">
        <v>1229</v>
      </c>
      <c r="B899" t="s">
        <v>75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 s="8">
        <v>0.90300000000000002</v>
      </c>
      <c r="K899">
        <v>60000</v>
      </c>
      <c r="L899" s="2">
        <v>46147</v>
      </c>
    </row>
    <row r="900" spans="1:12">
      <c r="A900" t="s">
        <v>1230</v>
      </c>
      <c r="B900" t="s">
        <v>100</v>
      </c>
      <c r="C900" t="s">
        <v>14</v>
      </c>
      <c r="D900" t="s">
        <v>15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 s="8">
        <v>0.92100000000000004</v>
      </c>
      <c r="K900">
        <v>100000</v>
      </c>
      <c r="L900" s="2">
        <v>45924</v>
      </c>
    </row>
    <row r="901" spans="1:12">
      <c r="A901" t="s">
        <v>1231</v>
      </c>
      <c r="B901" t="s">
        <v>1232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 s="8">
        <v>0.85929999999999995</v>
      </c>
      <c r="K901">
        <v>110000</v>
      </c>
      <c r="L901" s="2">
        <v>46011</v>
      </c>
    </row>
    <row r="902" spans="1:12">
      <c r="A902" t="s">
        <v>1233</v>
      </c>
      <c r="B902" t="s">
        <v>939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 s="8">
        <v>0.7581</v>
      </c>
      <c r="K902">
        <v>75000</v>
      </c>
      <c r="L902" s="2">
        <v>45767</v>
      </c>
    </row>
    <row r="903" spans="1:12">
      <c r="A903" t="s">
        <v>1234</v>
      </c>
      <c r="B903" t="s">
        <v>320</v>
      </c>
      <c r="C903" t="s">
        <v>14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 s="8">
        <v>0.92469999999999997</v>
      </c>
      <c r="K903">
        <v>60000</v>
      </c>
      <c r="L903" s="2">
        <v>45599</v>
      </c>
    </row>
    <row r="904" spans="1:12">
      <c r="A904" t="s">
        <v>1235</v>
      </c>
      <c r="B904" t="s">
        <v>543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 s="8">
        <v>0.70069999999999999</v>
      </c>
      <c r="K904">
        <v>75000</v>
      </c>
      <c r="L904" s="2">
        <v>45815</v>
      </c>
    </row>
    <row r="905" spans="1:12">
      <c r="A905" t="s">
        <v>1236</v>
      </c>
      <c r="B905" t="s">
        <v>793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 s="8">
        <v>0.77449999999999997</v>
      </c>
      <c r="K905">
        <v>100000</v>
      </c>
      <c r="L905" s="2">
        <v>45950</v>
      </c>
    </row>
    <row r="906" spans="1:12">
      <c r="A906" t="s">
        <v>1237</v>
      </c>
      <c r="B906" t="s">
        <v>288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 s="8">
        <v>0.55000000000000004</v>
      </c>
      <c r="K906">
        <v>60000</v>
      </c>
      <c r="L906" s="2">
        <v>45663</v>
      </c>
    </row>
    <row r="907" spans="1:12">
      <c r="A907" t="s">
        <v>1238</v>
      </c>
      <c r="B907" t="s">
        <v>471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 s="8">
        <v>0.84130000000000005</v>
      </c>
      <c r="K907">
        <v>70000</v>
      </c>
      <c r="L907" s="2">
        <v>45691</v>
      </c>
    </row>
    <row r="908" spans="1:12">
      <c r="A908" t="s">
        <v>1239</v>
      </c>
      <c r="B908" t="s">
        <v>121</v>
      </c>
      <c r="C908" t="s">
        <v>14</v>
      </c>
      <c r="D908" t="s">
        <v>53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 s="8">
        <v>0.92610000000000003</v>
      </c>
      <c r="K908">
        <v>50000</v>
      </c>
      <c r="L908" s="2">
        <v>45546</v>
      </c>
    </row>
    <row r="909" spans="1:12">
      <c r="A909" t="s">
        <v>1240</v>
      </c>
      <c r="B909" t="s">
        <v>178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 s="8">
        <v>0.91759999999999997</v>
      </c>
      <c r="K909">
        <v>85000</v>
      </c>
      <c r="L909" s="2">
        <v>46049</v>
      </c>
    </row>
    <row r="910" spans="1:12">
      <c r="A910" t="s">
        <v>1241</v>
      </c>
      <c r="B910" t="s">
        <v>73</v>
      </c>
      <c r="C910" t="s">
        <v>14</v>
      </c>
      <c r="D910" t="s">
        <v>53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 s="8">
        <v>0.64249999999999996</v>
      </c>
      <c r="K910">
        <v>60000</v>
      </c>
      <c r="L910" s="2">
        <v>46165</v>
      </c>
    </row>
    <row r="911" spans="1:12">
      <c r="A911" t="s">
        <v>1242</v>
      </c>
      <c r="B911" t="s">
        <v>649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 s="8">
        <v>0.88639999999999997</v>
      </c>
      <c r="K911">
        <v>70000</v>
      </c>
      <c r="L911" s="2">
        <v>46115</v>
      </c>
    </row>
    <row r="912" spans="1:12">
      <c r="A912" t="s">
        <v>1243</v>
      </c>
      <c r="B912" t="s">
        <v>611</v>
      </c>
      <c r="C912" t="s">
        <v>19</v>
      </c>
      <c r="D912" t="s">
        <v>15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 s="8">
        <v>0.95789999999999997</v>
      </c>
      <c r="K912">
        <v>60000</v>
      </c>
      <c r="L912" s="2">
        <v>45801</v>
      </c>
    </row>
    <row r="913" spans="1:12">
      <c r="A913" t="s">
        <v>1244</v>
      </c>
      <c r="B913" t="s">
        <v>1245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 s="8">
        <v>0.85370000000000001</v>
      </c>
      <c r="K913">
        <v>110000</v>
      </c>
      <c r="L913" s="2">
        <v>45951</v>
      </c>
    </row>
    <row r="914" spans="1:12">
      <c r="A914" t="s">
        <v>1246</v>
      </c>
      <c r="B914" t="s">
        <v>492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 s="8">
        <v>0.82720000000000005</v>
      </c>
      <c r="K914">
        <v>85000</v>
      </c>
      <c r="L914" s="2">
        <v>46208</v>
      </c>
    </row>
    <row r="915" spans="1:12">
      <c r="A915" t="s">
        <v>1247</v>
      </c>
      <c r="B915" t="s">
        <v>213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 s="8">
        <v>0.90839999999999999</v>
      </c>
      <c r="K915">
        <v>130000</v>
      </c>
      <c r="L915" s="2">
        <v>45949</v>
      </c>
    </row>
    <row r="916" spans="1:12">
      <c r="A916" t="s">
        <v>1248</v>
      </c>
      <c r="B916" t="s">
        <v>1232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 s="8">
        <v>0.81840000000000002</v>
      </c>
      <c r="K916">
        <v>80000</v>
      </c>
      <c r="L916" s="2">
        <v>45743</v>
      </c>
    </row>
    <row r="917" spans="1:12">
      <c r="A917" t="s">
        <v>1249</v>
      </c>
      <c r="B917" t="s">
        <v>47</v>
      </c>
      <c r="C917" t="s">
        <v>14</v>
      </c>
      <c r="D917" t="s">
        <v>36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 s="8">
        <v>0.65190000000000003</v>
      </c>
      <c r="K917">
        <v>70000</v>
      </c>
      <c r="L917" s="2">
        <v>45773</v>
      </c>
    </row>
    <row r="918" spans="1:12">
      <c r="A918" t="s">
        <v>1250</v>
      </c>
      <c r="B918" t="s">
        <v>471</v>
      </c>
      <c r="C918" t="s">
        <v>19</v>
      </c>
      <c r="D918" t="s">
        <v>20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 s="8">
        <v>0.93179999999999996</v>
      </c>
      <c r="K918">
        <v>70000</v>
      </c>
      <c r="L918" s="2">
        <v>46044</v>
      </c>
    </row>
    <row r="919" spans="1:12">
      <c r="A919" t="s">
        <v>1251</v>
      </c>
      <c r="B919" t="s">
        <v>376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 s="8">
        <v>0.89249999999999996</v>
      </c>
      <c r="K919">
        <v>130000</v>
      </c>
      <c r="L919" s="2">
        <v>45848</v>
      </c>
    </row>
    <row r="920" spans="1:12">
      <c r="A920" t="s">
        <v>1252</v>
      </c>
      <c r="B920" t="s">
        <v>449</v>
      </c>
      <c r="C920" t="s">
        <v>14</v>
      </c>
      <c r="D920" t="s">
        <v>28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 s="8">
        <v>0.91790000000000005</v>
      </c>
      <c r="K920">
        <v>90000</v>
      </c>
      <c r="L920" s="2">
        <v>46122</v>
      </c>
    </row>
    <row r="921" spans="1:12">
      <c r="A921" t="s">
        <v>1253</v>
      </c>
      <c r="B921" t="s">
        <v>655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 s="8">
        <v>0.76900000000000002</v>
      </c>
      <c r="K921">
        <v>75000</v>
      </c>
      <c r="L921" s="2">
        <v>46140</v>
      </c>
    </row>
    <row r="922" spans="1:12">
      <c r="A922" t="s">
        <v>1254</v>
      </c>
      <c r="B922" t="s">
        <v>646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 s="8">
        <v>0.90559999999999996</v>
      </c>
      <c r="K922">
        <v>100000</v>
      </c>
      <c r="L922" s="2">
        <v>45561</v>
      </c>
    </row>
    <row r="923" spans="1:12">
      <c r="A923" t="s">
        <v>1255</v>
      </c>
      <c r="B923" t="s">
        <v>129</v>
      </c>
      <c r="C923" t="s">
        <v>19</v>
      </c>
      <c r="D923" t="s">
        <v>28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 s="8">
        <v>0.89639999999999997</v>
      </c>
      <c r="K923">
        <v>90000</v>
      </c>
      <c r="L923" s="2">
        <v>46042</v>
      </c>
    </row>
    <row r="924" spans="1:12">
      <c r="A924" t="s">
        <v>1256</v>
      </c>
      <c r="B924" t="s">
        <v>1245</v>
      </c>
      <c r="C924" t="s">
        <v>14</v>
      </c>
      <c r="D924" t="s">
        <v>15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 s="8">
        <v>0.89459999999999995</v>
      </c>
      <c r="K924">
        <v>60000</v>
      </c>
      <c r="L924" s="2">
        <v>45794</v>
      </c>
    </row>
    <row r="925" spans="1:12">
      <c r="A925" t="s">
        <v>1257</v>
      </c>
      <c r="B925" t="s">
        <v>1038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 s="8">
        <v>0.76690000000000003</v>
      </c>
      <c r="K925">
        <v>100000</v>
      </c>
      <c r="L925" s="2">
        <v>45899</v>
      </c>
    </row>
    <row r="926" spans="1:12">
      <c r="A926" t="s">
        <v>1258</v>
      </c>
      <c r="B926" t="s">
        <v>88</v>
      </c>
      <c r="C926" t="s">
        <v>14</v>
      </c>
      <c r="D926" t="s">
        <v>15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 s="8">
        <v>0.80840000000000001</v>
      </c>
      <c r="K926">
        <v>60000</v>
      </c>
      <c r="L926" s="2">
        <v>45721</v>
      </c>
    </row>
    <row r="927" spans="1:12">
      <c r="A927" t="s">
        <v>1259</v>
      </c>
      <c r="B927" t="s">
        <v>720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 s="8">
        <v>0.85250000000000004</v>
      </c>
      <c r="K927">
        <v>70000</v>
      </c>
      <c r="L927" s="2">
        <v>45793</v>
      </c>
    </row>
    <row r="928" spans="1:12">
      <c r="A928" t="s">
        <v>1260</v>
      </c>
      <c r="B928" t="s">
        <v>146</v>
      </c>
      <c r="C928" t="s">
        <v>19</v>
      </c>
      <c r="D928" t="s">
        <v>20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 s="8">
        <v>0.95640000000000003</v>
      </c>
      <c r="K928">
        <v>100000</v>
      </c>
      <c r="L928" s="2">
        <v>45767</v>
      </c>
    </row>
    <row r="929" spans="1:12">
      <c r="A929" t="s">
        <v>1261</v>
      </c>
      <c r="B929" t="s">
        <v>152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 s="8">
        <v>0.97670000000000001</v>
      </c>
      <c r="K929">
        <v>80000</v>
      </c>
      <c r="L929" s="2">
        <v>45571</v>
      </c>
    </row>
    <row r="930" spans="1:12">
      <c r="A930" t="s">
        <v>1262</v>
      </c>
      <c r="B930" t="s">
        <v>1184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 s="8">
        <v>0.79890000000000005</v>
      </c>
      <c r="K930">
        <v>70000</v>
      </c>
      <c r="L930" s="2">
        <v>46083</v>
      </c>
    </row>
    <row r="931" spans="1:12">
      <c r="A931" t="s">
        <v>1263</v>
      </c>
      <c r="B931" t="s">
        <v>825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 s="8">
        <v>0.98309999999999997</v>
      </c>
      <c r="K931">
        <v>50000</v>
      </c>
      <c r="L931" s="2">
        <v>45636</v>
      </c>
    </row>
    <row r="932" spans="1:12">
      <c r="A932" t="s">
        <v>1264</v>
      </c>
      <c r="B932" t="s">
        <v>344</v>
      </c>
      <c r="C932" t="s">
        <v>19</v>
      </c>
      <c r="D932" t="s">
        <v>15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 s="8">
        <v>0.60460000000000003</v>
      </c>
      <c r="K932">
        <v>90000</v>
      </c>
      <c r="L932" s="2">
        <v>45799</v>
      </c>
    </row>
    <row r="933" spans="1:12">
      <c r="A933" t="s">
        <v>1265</v>
      </c>
      <c r="B933" t="s">
        <v>781</v>
      </c>
      <c r="C933" t="s">
        <v>19</v>
      </c>
      <c r="D933" t="s">
        <v>36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 s="8">
        <v>0.55000000000000004</v>
      </c>
      <c r="K933">
        <v>100000</v>
      </c>
      <c r="L933" s="2">
        <v>45671</v>
      </c>
    </row>
    <row r="934" spans="1:12">
      <c r="A934" t="s">
        <v>1266</v>
      </c>
      <c r="B934" t="s">
        <v>291</v>
      </c>
      <c r="C934" t="s">
        <v>14</v>
      </c>
      <c r="D934" t="s">
        <v>32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 s="8">
        <v>0.81569999999999998</v>
      </c>
      <c r="K934">
        <v>70000</v>
      </c>
      <c r="L934" s="2">
        <v>45648</v>
      </c>
    </row>
    <row r="935" spans="1:12">
      <c r="A935" t="s">
        <v>1267</v>
      </c>
      <c r="B935" t="s">
        <v>699</v>
      </c>
      <c r="C935" t="s">
        <v>19</v>
      </c>
      <c r="D935" t="s">
        <v>36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 s="8">
        <v>0.91720000000000002</v>
      </c>
      <c r="K935">
        <v>80000</v>
      </c>
      <c r="L935" s="2">
        <v>45797</v>
      </c>
    </row>
    <row r="936" spans="1:12">
      <c r="A936" t="s">
        <v>1268</v>
      </c>
      <c r="B936" t="s">
        <v>69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 s="8">
        <v>0.82989999999999997</v>
      </c>
      <c r="K936">
        <v>75000</v>
      </c>
      <c r="L936" s="2">
        <v>46179</v>
      </c>
    </row>
    <row r="937" spans="1:12">
      <c r="A937" t="s">
        <v>1269</v>
      </c>
      <c r="B937" t="s">
        <v>777</v>
      </c>
      <c r="C937" t="s">
        <v>19</v>
      </c>
      <c r="D937" t="s">
        <v>28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 s="8">
        <v>0.95130000000000003</v>
      </c>
      <c r="K937">
        <v>120000</v>
      </c>
      <c r="L937" s="2">
        <v>46196</v>
      </c>
    </row>
    <row r="938" spans="1:12">
      <c r="A938" t="s">
        <v>1270</v>
      </c>
      <c r="B938" t="s">
        <v>600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 s="8">
        <v>0.55000000000000004</v>
      </c>
      <c r="K938">
        <v>110000</v>
      </c>
      <c r="L938" s="2">
        <v>45803</v>
      </c>
    </row>
    <row r="939" spans="1:12">
      <c r="A939" t="s">
        <v>1271</v>
      </c>
      <c r="B939" t="s">
        <v>295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 s="8">
        <v>0.85319999999999996</v>
      </c>
      <c r="K939">
        <v>75000</v>
      </c>
      <c r="L939" s="2">
        <v>45889</v>
      </c>
    </row>
    <row r="940" spans="1:12">
      <c r="A940" t="s">
        <v>1272</v>
      </c>
      <c r="B940" t="s">
        <v>625</v>
      </c>
      <c r="C940" t="s">
        <v>14</v>
      </c>
      <c r="D940" t="s">
        <v>15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 s="8">
        <v>0.71779999999999999</v>
      </c>
      <c r="K940">
        <v>85000</v>
      </c>
      <c r="L940" s="2">
        <v>46225</v>
      </c>
    </row>
    <row r="941" spans="1:12">
      <c r="A941" t="s">
        <v>1273</v>
      </c>
      <c r="B941" t="s">
        <v>471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 s="8">
        <v>0.9123</v>
      </c>
      <c r="K941">
        <v>130000</v>
      </c>
      <c r="L941" s="2">
        <v>45700</v>
      </c>
    </row>
    <row r="942" spans="1:12">
      <c r="A942" t="s">
        <v>1274</v>
      </c>
      <c r="B942" t="s">
        <v>415</v>
      </c>
      <c r="C942" t="s">
        <v>19</v>
      </c>
      <c r="D942" t="s">
        <v>53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 s="8">
        <v>0.82010000000000005</v>
      </c>
      <c r="K942">
        <v>75000</v>
      </c>
      <c r="L942" s="2">
        <v>46197</v>
      </c>
    </row>
    <row r="943" spans="1:12">
      <c r="A943" t="s">
        <v>1275</v>
      </c>
      <c r="B943" t="s">
        <v>770</v>
      </c>
      <c r="C943" t="s">
        <v>14</v>
      </c>
      <c r="D943" t="s">
        <v>36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 s="8">
        <v>0.88200000000000001</v>
      </c>
      <c r="K943">
        <v>60000</v>
      </c>
      <c r="L943" s="2">
        <v>45610</v>
      </c>
    </row>
    <row r="944" spans="1:12">
      <c r="A944" t="s">
        <v>1276</v>
      </c>
      <c r="B944" t="s">
        <v>111</v>
      </c>
      <c r="C944" t="s">
        <v>19</v>
      </c>
      <c r="D944" t="s">
        <v>36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 s="8">
        <v>0.9002</v>
      </c>
      <c r="K944">
        <v>75000</v>
      </c>
      <c r="L944" s="2">
        <v>45694</v>
      </c>
    </row>
    <row r="945" spans="1:12">
      <c r="A945" t="s">
        <v>1277</v>
      </c>
      <c r="B945" t="s">
        <v>359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 s="8">
        <v>0.78869999999999996</v>
      </c>
      <c r="K945">
        <v>90000</v>
      </c>
      <c r="L945" s="2">
        <v>45772</v>
      </c>
    </row>
    <row r="946" spans="1:12">
      <c r="A946" t="s">
        <v>1278</v>
      </c>
      <c r="B946" t="s">
        <v>607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 s="8">
        <v>0.65469999999999995</v>
      </c>
      <c r="K946">
        <v>130000</v>
      </c>
      <c r="L946" s="2">
        <v>45561</v>
      </c>
    </row>
    <row r="947" spans="1:12">
      <c r="A947" t="s">
        <v>1279</v>
      </c>
      <c r="B947" t="s">
        <v>354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 s="8">
        <v>0.79479999999999995</v>
      </c>
      <c r="K947">
        <v>75000</v>
      </c>
      <c r="L947" s="2">
        <v>46107</v>
      </c>
    </row>
    <row r="948" spans="1:12">
      <c r="A948" t="s">
        <v>1280</v>
      </c>
      <c r="B948" t="s">
        <v>415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 s="8">
        <v>0.61209999999999998</v>
      </c>
      <c r="K948">
        <v>50000</v>
      </c>
      <c r="L948" s="2">
        <v>46134</v>
      </c>
    </row>
    <row r="949" spans="1:12">
      <c r="A949" t="s">
        <v>1281</v>
      </c>
      <c r="B949" t="s">
        <v>1282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 s="8">
        <v>0.97350000000000003</v>
      </c>
      <c r="K949">
        <v>60000</v>
      </c>
      <c r="L949" s="2">
        <v>45804</v>
      </c>
    </row>
    <row r="950" spans="1:12">
      <c r="A950" t="s">
        <v>1283</v>
      </c>
      <c r="B950" t="s">
        <v>433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 s="8">
        <v>0.84860000000000002</v>
      </c>
      <c r="K950">
        <v>80000</v>
      </c>
      <c r="L950" s="2">
        <v>46121</v>
      </c>
    </row>
    <row r="951" spans="1:12">
      <c r="A951" t="s">
        <v>1284</v>
      </c>
      <c r="B951" t="s">
        <v>115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 s="8">
        <v>0.73440000000000005</v>
      </c>
      <c r="K951">
        <v>60000</v>
      </c>
      <c r="L951" s="2">
        <v>46076</v>
      </c>
    </row>
    <row r="952" spans="1:12">
      <c r="A952" t="s">
        <v>1285</v>
      </c>
      <c r="B952" t="s">
        <v>737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 s="8">
        <v>0.55000000000000004</v>
      </c>
      <c r="K952">
        <v>50000</v>
      </c>
      <c r="L952" s="2">
        <v>46096</v>
      </c>
    </row>
    <row r="953" spans="1:12">
      <c r="A953" t="s">
        <v>1286</v>
      </c>
      <c r="B953" t="s">
        <v>975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 s="8">
        <v>0.89159999999999995</v>
      </c>
      <c r="K953">
        <v>100000</v>
      </c>
      <c r="L953" s="2">
        <v>46097</v>
      </c>
    </row>
    <row r="954" spans="1:12">
      <c r="A954" t="s">
        <v>1287</v>
      </c>
      <c r="B954" t="s">
        <v>81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 s="8">
        <v>0.79420000000000002</v>
      </c>
      <c r="K954">
        <v>120000</v>
      </c>
      <c r="L954" s="2">
        <v>45937</v>
      </c>
    </row>
    <row r="955" spans="1:12">
      <c r="A955" t="s">
        <v>1288</v>
      </c>
      <c r="B955" t="s">
        <v>65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 s="8">
        <v>0.91359999999999997</v>
      </c>
      <c r="K955">
        <v>70000</v>
      </c>
      <c r="L955" s="2">
        <v>45613</v>
      </c>
    </row>
    <row r="956" spans="1:12">
      <c r="A956" t="s">
        <v>1289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 s="8">
        <v>0.69810000000000005</v>
      </c>
      <c r="K956">
        <v>85000</v>
      </c>
      <c r="L956" s="2">
        <v>46182</v>
      </c>
    </row>
    <row r="957" spans="1:12">
      <c r="A957" t="s">
        <v>1290</v>
      </c>
      <c r="B957" t="s">
        <v>550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 s="8">
        <v>0.75960000000000005</v>
      </c>
      <c r="K957">
        <v>90000</v>
      </c>
      <c r="L957" s="2">
        <v>45962</v>
      </c>
    </row>
    <row r="958" spans="1:12">
      <c r="A958" t="s">
        <v>1291</v>
      </c>
      <c r="B958" t="s">
        <v>295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 s="8">
        <v>0.82430000000000003</v>
      </c>
      <c r="K958">
        <v>100000</v>
      </c>
      <c r="L958" s="2">
        <v>46166</v>
      </c>
    </row>
    <row r="959" spans="1:12">
      <c r="A959" t="s">
        <v>1292</v>
      </c>
      <c r="B959" t="s">
        <v>315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 s="8">
        <v>0.89080000000000004</v>
      </c>
      <c r="K959">
        <v>130000</v>
      </c>
      <c r="L959" s="2">
        <v>46207</v>
      </c>
    </row>
    <row r="960" spans="1:12">
      <c r="A960" t="s">
        <v>1293</v>
      </c>
      <c r="B960" t="s">
        <v>1106</v>
      </c>
      <c r="C960" t="s">
        <v>19</v>
      </c>
      <c r="D960" t="s">
        <v>36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 s="8">
        <v>0.9284</v>
      </c>
      <c r="K960">
        <v>120000</v>
      </c>
      <c r="L960" s="2">
        <v>45667</v>
      </c>
    </row>
    <row r="961" spans="1:12">
      <c r="A961" t="s">
        <v>1294</v>
      </c>
      <c r="B961" t="s">
        <v>152</v>
      </c>
      <c r="C961" t="s">
        <v>14</v>
      </c>
      <c r="D961" t="s">
        <v>53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 s="8">
        <v>0.94369999999999998</v>
      </c>
      <c r="K961">
        <v>75000</v>
      </c>
      <c r="L961" s="2">
        <v>45817</v>
      </c>
    </row>
    <row r="962" spans="1:12">
      <c r="A962" t="s">
        <v>1295</v>
      </c>
      <c r="B962" t="s">
        <v>264</v>
      </c>
      <c r="C962" t="s">
        <v>14</v>
      </c>
      <c r="D962" t="s">
        <v>36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 s="8">
        <v>0.94099999999999995</v>
      </c>
      <c r="K962">
        <v>130000</v>
      </c>
      <c r="L962" s="2">
        <v>45670</v>
      </c>
    </row>
    <row r="963" spans="1:12">
      <c r="A963" t="s">
        <v>1296</v>
      </c>
      <c r="B963" t="s">
        <v>378</v>
      </c>
      <c r="C963" t="s">
        <v>14</v>
      </c>
      <c r="D963" t="s">
        <v>36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 s="8">
        <v>0.93889999999999996</v>
      </c>
      <c r="K963">
        <v>50000</v>
      </c>
      <c r="L963" s="2">
        <v>45571</v>
      </c>
    </row>
    <row r="964" spans="1:12">
      <c r="A964" t="s">
        <v>1297</v>
      </c>
      <c r="B964" t="s">
        <v>777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 s="8">
        <v>0.87539999999999996</v>
      </c>
      <c r="K964">
        <v>130000</v>
      </c>
      <c r="L964" s="2">
        <v>46212</v>
      </c>
    </row>
    <row r="965" spans="1:12">
      <c r="A965" t="s">
        <v>1298</v>
      </c>
      <c r="B965" t="s">
        <v>194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 s="8">
        <v>0.92620000000000002</v>
      </c>
      <c r="K965">
        <v>60000</v>
      </c>
      <c r="L965" s="2">
        <v>46182</v>
      </c>
    </row>
    <row r="966" spans="1:12">
      <c r="A966" t="s">
        <v>1299</v>
      </c>
      <c r="B966" t="s">
        <v>469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 s="8">
        <v>0.79010000000000002</v>
      </c>
      <c r="K966">
        <v>60000</v>
      </c>
      <c r="L966" s="2">
        <v>46188</v>
      </c>
    </row>
    <row r="967" spans="1:12">
      <c r="A967" t="s">
        <v>1300</v>
      </c>
      <c r="B967" t="s">
        <v>213</v>
      </c>
      <c r="C967" t="s">
        <v>19</v>
      </c>
      <c r="D967" t="s">
        <v>53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 s="8">
        <v>0.98</v>
      </c>
      <c r="K967">
        <v>60000</v>
      </c>
      <c r="L967" s="2">
        <v>46154</v>
      </c>
    </row>
    <row r="968" spans="1:12">
      <c r="A968" t="s">
        <v>1301</v>
      </c>
      <c r="B968" t="s">
        <v>618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 s="8">
        <v>0.81389999999999996</v>
      </c>
      <c r="K968">
        <v>60000</v>
      </c>
      <c r="L968" s="2">
        <v>45990</v>
      </c>
    </row>
    <row r="969" spans="1:12">
      <c r="A969" t="s">
        <v>1302</v>
      </c>
      <c r="B969" t="s">
        <v>351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 s="8">
        <v>0.9506</v>
      </c>
      <c r="K969">
        <v>85000</v>
      </c>
      <c r="L969" s="2">
        <v>45901</v>
      </c>
    </row>
    <row r="970" spans="1:12">
      <c r="A970" t="s">
        <v>1303</v>
      </c>
      <c r="B970" t="s">
        <v>469</v>
      </c>
      <c r="C970" t="s">
        <v>19</v>
      </c>
      <c r="D970" t="s">
        <v>32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 s="8">
        <v>0.80110000000000003</v>
      </c>
      <c r="K970">
        <v>100000</v>
      </c>
      <c r="L970" s="2">
        <v>46230</v>
      </c>
    </row>
    <row r="971" spans="1:12">
      <c r="A971" t="s">
        <v>1304</v>
      </c>
      <c r="B971" t="s">
        <v>930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 s="8">
        <v>0.87490000000000001</v>
      </c>
      <c r="K971">
        <v>110000</v>
      </c>
      <c r="L971" s="2">
        <v>45922</v>
      </c>
    </row>
    <row r="972" spans="1:12">
      <c r="A972" t="s">
        <v>1305</v>
      </c>
      <c r="B972" t="s">
        <v>264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 s="8">
        <v>0.94620000000000004</v>
      </c>
      <c r="K972">
        <v>50000</v>
      </c>
      <c r="L972" s="2">
        <v>45985</v>
      </c>
    </row>
    <row r="973" spans="1:12">
      <c r="A973" t="s">
        <v>1306</v>
      </c>
      <c r="B973" t="s">
        <v>1282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 s="8">
        <v>0.82310000000000005</v>
      </c>
      <c r="K973">
        <v>75000</v>
      </c>
      <c r="L973" s="2">
        <v>45684</v>
      </c>
    </row>
    <row r="974" spans="1:12">
      <c r="A974" t="s">
        <v>1307</v>
      </c>
      <c r="B974" t="s">
        <v>521</v>
      </c>
      <c r="C974" t="s">
        <v>14</v>
      </c>
      <c r="D974" t="s">
        <v>15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 s="8">
        <v>0.73939999999999995</v>
      </c>
      <c r="K974">
        <v>60000</v>
      </c>
      <c r="L974" s="2">
        <v>46058</v>
      </c>
    </row>
    <row r="975" spans="1:12">
      <c r="A975" t="s">
        <v>1308</v>
      </c>
      <c r="B975" t="s">
        <v>337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 s="8">
        <v>0.55000000000000004</v>
      </c>
      <c r="K975">
        <v>60000</v>
      </c>
      <c r="L975" s="2">
        <v>46109</v>
      </c>
    </row>
    <row r="976" spans="1:12">
      <c r="A976" t="s">
        <v>1309</v>
      </c>
      <c r="B976" t="s">
        <v>1310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 s="8">
        <v>0.64019999999999999</v>
      </c>
      <c r="K976">
        <v>110000</v>
      </c>
      <c r="L976" s="2">
        <v>46010</v>
      </c>
    </row>
    <row r="977" spans="1:12">
      <c r="A977" t="s">
        <v>1311</v>
      </c>
      <c r="B977" t="s">
        <v>514</v>
      </c>
      <c r="C977" t="s">
        <v>14</v>
      </c>
      <c r="D977" t="s">
        <v>36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 s="8">
        <v>0.87709999999999999</v>
      </c>
      <c r="K977">
        <v>100000</v>
      </c>
      <c r="L977" s="2">
        <v>45885</v>
      </c>
    </row>
    <row r="978" spans="1:12">
      <c r="A978" t="s">
        <v>1312</v>
      </c>
      <c r="B978" t="s">
        <v>410</v>
      </c>
      <c r="C978" t="s">
        <v>14</v>
      </c>
      <c r="D978" t="s">
        <v>36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 s="8">
        <v>0.96530000000000005</v>
      </c>
      <c r="K978">
        <v>70000</v>
      </c>
      <c r="L978" s="2">
        <v>45674</v>
      </c>
    </row>
    <row r="979" spans="1:12">
      <c r="A979" t="s">
        <v>1313</v>
      </c>
      <c r="B979" t="s">
        <v>96</v>
      </c>
      <c r="C979" t="s">
        <v>19</v>
      </c>
      <c r="D979" t="s">
        <v>15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 s="8">
        <v>0.69869999999999999</v>
      </c>
      <c r="K979">
        <v>75000</v>
      </c>
      <c r="L979" s="2">
        <v>45559</v>
      </c>
    </row>
    <row r="980" spans="1:12">
      <c r="A980" t="s">
        <v>1314</v>
      </c>
      <c r="B980" t="s">
        <v>253</v>
      </c>
      <c r="C980" t="s">
        <v>14</v>
      </c>
      <c r="D980" t="s">
        <v>36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 s="8">
        <v>0.69350000000000001</v>
      </c>
      <c r="K980">
        <v>130000</v>
      </c>
      <c r="L980" s="2">
        <v>45975</v>
      </c>
    </row>
    <row r="981" spans="1:12">
      <c r="A981" t="s">
        <v>1315</v>
      </c>
      <c r="B981" t="s">
        <v>213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 s="8">
        <v>0.8115</v>
      </c>
      <c r="K981">
        <v>90000</v>
      </c>
      <c r="L981" s="2">
        <v>46014</v>
      </c>
    </row>
    <row r="982" spans="1:12">
      <c r="A982" t="s">
        <v>1316</v>
      </c>
      <c r="B982" t="s">
        <v>166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 s="8">
        <v>0.72199999999999998</v>
      </c>
      <c r="K982">
        <v>70000</v>
      </c>
      <c r="L982" s="2">
        <v>46076</v>
      </c>
    </row>
    <row r="983" spans="1:12">
      <c r="A983" t="s">
        <v>1317</v>
      </c>
      <c r="B983" t="s">
        <v>1009</v>
      </c>
      <c r="C983" t="s">
        <v>19</v>
      </c>
      <c r="D983" t="s">
        <v>53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 s="8">
        <v>0.65639999999999998</v>
      </c>
      <c r="K983">
        <v>130000</v>
      </c>
      <c r="L983" s="2">
        <v>46201</v>
      </c>
    </row>
    <row r="984" spans="1:12">
      <c r="A984" t="s">
        <v>1318</v>
      </c>
      <c r="B984" t="s">
        <v>98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 s="8">
        <v>0.73260000000000003</v>
      </c>
      <c r="K984">
        <v>70000</v>
      </c>
      <c r="L984" s="2">
        <v>45884</v>
      </c>
    </row>
    <row r="985" spans="1:12">
      <c r="A985" t="s">
        <v>1319</v>
      </c>
      <c r="B985" t="s">
        <v>589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 s="8">
        <v>0.94850000000000001</v>
      </c>
      <c r="K985">
        <v>75000</v>
      </c>
      <c r="L985" s="2">
        <v>46116</v>
      </c>
    </row>
    <row r="986" spans="1:12">
      <c r="A986" t="s">
        <v>1320</v>
      </c>
      <c r="B986" t="s">
        <v>1321</v>
      </c>
      <c r="C986" t="s">
        <v>19</v>
      </c>
      <c r="D986" t="s">
        <v>36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 s="8">
        <v>0.66259999999999997</v>
      </c>
      <c r="K986">
        <v>100000</v>
      </c>
      <c r="L986" s="2">
        <v>46037</v>
      </c>
    </row>
    <row r="987" spans="1:12">
      <c r="A987" t="s">
        <v>1322</v>
      </c>
      <c r="B987" t="s">
        <v>18</v>
      </c>
      <c r="C987" t="s">
        <v>19</v>
      </c>
      <c r="D987" t="s">
        <v>20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 s="8">
        <v>0.97289999999999999</v>
      </c>
      <c r="K987">
        <v>85000</v>
      </c>
      <c r="L987" s="2">
        <v>45730</v>
      </c>
    </row>
    <row r="988" spans="1:12">
      <c r="A988" t="s">
        <v>1323</v>
      </c>
      <c r="B988" t="s">
        <v>908</v>
      </c>
      <c r="C988" t="s">
        <v>19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 s="8">
        <v>0.77700000000000002</v>
      </c>
      <c r="K988">
        <v>50000</v>
      </c>
      <c r="L988" s="2">
        <v>46127</v>
      </c>
    </row>
    <row r="989" spans="1:12">
      <c r="A989" t="s">
        <v>1324</v>
      </c>
      <c r="B989" t="s">
        <v>575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 s="8">
        <v>0.85909999999999997</v>
      </c>
      <c r="K989">
        <v>110000</v>
      </c>
      <c r="L989" s="2">
        <v>45573</v>
      </c>
    </row>
    <row r="990" spans="1:12">
      <c r="A990" t="s">
        <v>1325</v>
      </c>
      <c r="B990" t="s">
        <v>241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 s="8">
        <v>0.66690000000000005</v>
      </c>
      <c r="K990">
        <v>70000</v>
      </c>
      <c r="L990" s="2">
        <v>45955</v>
      </c>
    </row>
    <row r="991" spans="1:12">
      <c r="A991" t="s">
        <v>1326</v>
      </c>
      <c r="B991" t="s">
        <v>404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 s="8">
        <v>0.90310000000000001</v>
      </c>
      <c r="K991">
        <v>100000</v>
      </c>
      <c r="L991" s="2">
        <v>46194</v>
      </c>
    </row>
    <row r="992" spans="1:12">
      <c r="A992" t="s">
        <v>1327</v>
      </c>
      <c r="B992" t="s">
        <v>632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 s="8">
        <v>0.6804</v>
      </c>
      <c r="K992">
        <v>75000</v>
      </c>
      <c r="L992" s="2">
        <v>45997</v>
      </c>
    </row>
    <row r="993" spans="1:12">
      <c r="A993" t="s">
        <v>1328</v>
      </c>
      <c r="B993" t="s">
        <v>218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 s="8">
        <v>0.87019999999999997</v>
      </c>
      <c r="K993">
        <v>110000</v>
      </c>
      <c r="L993" s="2">
        <v>46191</v>
      </c>
    </row>
    <row r="994" spans="1:12">
      <c r="A994" t="s">
        <v>1329</v>
      </c>
      <c r="B994" t="s">
        <v>1330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 s="8">
        <v>0.87929999999999997</v>
      </c>
      <c r="K994">
        <v>120000</v>
      </c>
      <c r="L994" s="2">
        <v>45575</v>
      </c>
    </row>
    <row r="995" spans="1:12">
      <c r="A995" t="s">
        <v>1331</v>
      </c>
      <c r="B995" t="s">
        <v>382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 s="8">
        <v>0.94410000000000005</v>
      </c>
      <c r="K995">
        <v>110000</v>
      </c>
      <c r="L995" s="2">
        <v>45908</v>
      </c>
    </row>
    <row r="996" spans="1:12">
      <c r="A996" t="s">
        <v>1332</v>
      </c>
      <c r="B996" t="s">
        <v>380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 s="8">
        <v>0.66180000000000005</v>
      </c>
      <c r="K996">
        <v>130000</v>
      </c>
      <c r="L996" s="2">
        <v>46082</v>
      </c>
    </row>
    <row r="997" spans="1:12">
      <c r="A997" t="s">
        <v>1333</v>
      </c>
      <c r="B997" t="s">
        <v>71</v>
      </c>
      <c r="C997" t="s">
        <v>19</v>
      </c>
      <c r="D997" t="s">
        <v>32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 s="8">
        <v>0.63160000000000005</v>
      </c>
      <c r="K997">
        <v>85000</v>
      </c>
      <c r="L997" s="2">
        <v>45985</v>
      </c>
    </row>
    <row r="998" spans="1:12">
      <c r="A998" t="s">
        <v>1334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 s="8">
        <v>0.87109999999999999</v>
      </c>
      <c r="K998">
        <v>50000</v>
      </c>
      <c r="L998" s="2">
        <v>46152</v>
      </c>
    </row>
    <row r="999" spans="1:12">
      <c r="A999" t="s">
        <v>1335</v>
      </c>
      <c r="B999" t="s">
        <v>378</v>
      </c>
      <c r="C999" t="s">
        <v>14</v>
      </c>
      <c r="D999" t="s">
        <v>36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 s="8">
        <v>0.96430000000000005</v>
      </c>
      <c r="K999">
        <v>85000</v>
      </c>
      <c r="L999" s="2">
        <v>45859</v>
      </c>
    </row>
    <row r="1000" spans="1:12">
      <c r="A1000" t="s">
        <v>1336</v>
      </c>
      <c r="B1000" t="s">
        <v>191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 s="8">
        <v>0.64580000000000004</v>
      </c>
      <c r="K1000">
        <v>85000</v>
      </c>
      <c r="L1000" s="2">
        <v>46013</v>
      </c>
    </row>
    <row r="1001" spans="1:12">
      <c r="A1001" t="s">
        <v>1337</v>
      </c>
      <c r="B1001" t="s">
        <v>55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 s="8">
        <v>0.90300000000000002</v>
      </c>
      <c r="K1001">
        <v>100000</v>
      </c>
      <c r="L1001" s="2">
        <v>45829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7D7E-81D3-405B-9EB0-5B260B226A6F}">
  <dimension ref="A1:Q1001"/>
  <sheetViews>
    <sheetView workbookViewId="0">
      <selection activeCell="Q15" sqref="Q15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0" max="10" width="9.140625" style="8"/>
    <col min="11" max="11" width="11.5703125" bestFit="1" customWidth="1"/>
    <col min="12" max="12" width="19.5703125" bestFit="1" customWidth="1"/>
    <col min="17" max="17" width="37.140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 spans="1:17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8">
        <v>0.91869999999999996</v>
      </c>
      <c r="K2">
        <v>75000</v>
      </c>
      <c r="L2" s="2">
        <v>45854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8">
        <v>0.81930000000000003</v>
      </c>
      <c r="K3">
        <v>90000</v>
      </c>
      <c r="L3" s="2">
        <v>45633</v>
      </c>
    </row>
    <row r="4" spans="1:17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8">
        <v>0.79079999999999995</v>
      </c>
      <c r="K4">
        <v>85000</v>
      </c>
      <c r="L4" s="2">
        <v>45682</v>
      </c>
    </row>
    <row r="5" spans="1:17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8">
        <v>0.76400000000000001</v>
      </c>
      <c r="K5">
        <v>120000</v>
      </c>
      <c r="L5" s="2">
        <v>45844</v>
      </c>
    </row>
    <row r="6" spans="1:17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8">
        <v>0.73070000000000002</v>
      </c>
      <c r="K6">
        <v>70000</v>
      </c>
      <c r="L6" s="2">
        <v>46019</v>
      </c>
    </row>
    <row r="7" spans="1:17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8">
        <v>0.7429</v>
      </c>
      <c r="K7">
        <v>85000</v>
      </c>
      <c r="L7" s="2">
        <v>45826</v>
      </c>
    </row>
    <row r="8" spans="1:17">
      <c r="A8" t="s">
        <v>34</v>
      </c>
      <c r="B8" t="s">
        <v>35</v>
      </c>
      <c r="C8" t="s">
        <v>14</v>
      </c>
      <c r="D8" t="s">
        <v>36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8">
        <v>0.75839999999999996</v>
      </c>
      <c r="K8">
        <v>60000</v>
      </c>
      <c r="L8" s="2">
        <v>45915</v>
      </c>
      <c r="Q8" s="10" t="s">
        <v>1341</v>
      </c>
    </row>
    <row r="9" spans="1:17">
      <c r="A9" t="s">
        <v>42</v>
      </c>
      <c r="B9" t="s">
        <v>43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8">
        <v>0.95250000000000001</v>
      </c>
      <c r="K9">
        <v>90000</v>
      </c>
      <c r="L9" s="2">
        <v>45901</v>
      </c>
      <c r="Q9" s="6">
        <f>COUNTIFS(H2:H1001,"&gt;=15",F2:F1001, "&gt;=15")</f>
        <v>194</v>
      </c>
    </row>
    <row r="10" spans="1:17">
      <c r="A10" t="s">
        <v>44</v>
      </c>
      <c r="B10" t="s">
        <v>45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8">
        <v>0.87990000000000002</v>
      </c>
      <c r="K10">
        <v>50000</v>
      </c>
      <c r="L10" s="2">
        <v>45724</v>
      </c>
    </row>
    <row r="11" spans="1:17">
      <c r="A11" t="s">
        <v>46</v>
      </c>
      <c r="B11" t="s">
        <v>47</v>
      </c>
      <c r="C11" t="s">
        <v>14</v>
      </c>
      <c r="D11" t="s">
        <v>36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 s="8">
        <v>0.74860000000000004</v>
      </c>
      <c r="K11">
        <v>80000</v>
      </c>
      <c r="L11" s="2">
        <v>45731</v>
      </c>
      <c r="Q11" s="10" t="s">
        <v>1342</v>
      </c>
    </row>
    <row r="12" spans="1:17">
      <c r="A12" t="s">
        <v>49</v>
      </c>
      <c r="B12" t="s">
        <v>50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8">
        <v>0.78959999999999997</v>
      </c>
      <c r="K12">
        <v>50000</v>
      </c>
      <c r="L12" s="2">
        <v>45834</v>
      </c>
      <c r="Q12" s="6">
        <f>COUNTIFS(J2:J1001,"&gt;=90%",H2:H1001,"&gt;=15")</f>
        <v>101</v>
      </c>
    </row>
    <row r="13" spans="1:17">
      <c r="A13" t="s">
        <v>51</v>
      </c>
      <c r="B13" t="s">
        <v>52</v>
      </c>
      <c r="C13" t="s">
        <v>19</v>
      </c>
      <c r="D13" t="s">
        <v>53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8">
        <v>0.9133</v>
      </c>
      <c r="K13">
        <v>75000</v>
      </c>
      <c r="L13" s="2">
        <v>45558</v>
      </c>
    </row>
    <row r="14" spans="1:17">
      <c r="A14" t="s">
        <v>54</v>
      </c>
      <c r="B14" t="s">
        <v>55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8">
        <v>0.87109999999999999</v>
      </c>
      <c r="K14">
        <v>85000</v>
      </c>
      <c r="L14" s="2">
        <v>46015</v>
      </c>
      <c r="Q14" s="10" t="s">
        <v>1343</v>
      </c>
    </row>
    <row r="15" spans="1:17">
      <c r="A15" t="s">
        <v>56</v>
      </c>
      <c r="B15" t="s">
        <v>57</v>
      </c>
      <c r="C15" t="s">
        <v>19</v>
      </c>
      <c r="D15" t="s">
        <v>32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 s="8">
        <v>0.73260000000000003</v>
      </c>
      <c r="K15">
        <v>75000</v>
      </c>
      <c r="L15" s="2">
        <v>45966</v>
      </c>
      <c r="Q15" s="6">
        <f>COUNTIFS(F2:F1001,"&lt;10",J2:J1001,"&lt;80%")</f>
        <v>66</v>
      </c>
    </row>
    <row r="16" spans="1:17">
      <c r="A16" t="s">
        <v>58</v>
      </c>
      <c r="B16" t="s">
        <v>59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8">
        <v>0.95089999999999997</v>
      </c>
      <c r="K16">
        <v>80000</v>
      </c>
      <c r="L16" s="2">
        <v>45750</v>
      </c>
    </row>
    <row r="17" spans="1:12">
      <c r="A17" t="s">
        <v>60</v>
      </c>
      <c r="B17" t="s">
        <v>61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8">
        <v>0.79810000000000003</v>
      </c>
      <c r="K17">
        <v>60000</v>
      </c>
      <c r="L17" s="2">
        <v>45797</v>
      </c>
    </row>
    <row r="18" spans="1:12">
      <c r="A18" t="s">
        <v>62</v>
      </c>
      <c r="B18" t="s">
        <v>63</v>
      </c>
      <c r="C18" t="s">
        <v>19</v>
      </c>
      <c r="D18" t="s">
        <v>15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 s="8">
        <v>0.84589999999999999</v>
      </c>
      <c r="K18">
        <v>100000</v>
      </c>
      <c r="L18" s="2">
        <v>45766</v>
      </c>
    </row>
    <row r="19" spans="1:12">
      <c r="A19" t="s">
        <v>64</v>
      </c>
      <c r="B19" t="s">
        <v>65</v>
      </c>
      <c r="C19" t="s">
        <v>14</v>
      </c>
      <c r="D19" t="s">
        <v>15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 s="8">
        <v>0.55000000000000004</v>
      </c>
      <c r="K19">
        <v>110000</v>
      </c>
      <c r="L19" s="2">
        <v>45991</v>
      </c>
    </row>
    <row r="20" spans="1:12">
      <c r="A20" t="s">
        <v>66</v>
      </c>
      <c r="B20" t="s">
        <v>67</v>
      </c>
      <c r="C20" t="s">
        <v>19</v>
      </c>
      <c r="D20" t="s">
        <v>15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 s="8">
        <v>0.55000000000000004</v>
      </c>
      <c r="K20">
        <v>85000</v>
      </c>
      <c r="L20" s="2">
        <v>46067</v>
      </c>
    </row>
    <row r="21" spans="1:12">
      <c r="A21" t="s">
        <v>68</v>
      </c>
      <c r="B21" t="s">
        <v>69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8">
        <v>0.82350000000000001</v>
      </c>
      <c r="K21">
        <v>50000</v>
      </c>
      <c r="L21" s="2">
        <v>45612</v>
      </c>
    </row>
    <row r="22" spans="1:12">
      <c r="A22" t="s">
        <v>70</v>
      </c>
      <c r="B22" t="s">
        <v>71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8">
        <v>0.87709999999999999</v>
      </c>
      <c r="K22">
        <v>50000</v>
      </c>
      <c r="L22" s="2">
        <v>45825</v>
      </c>
    </row>
    <row r="23" spans="1:12">
      <c r="A23" t="s">
        <v>72</v>
      </c>
      <c r="B23" t="s">
        <v>73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8">
        <v>0.83630000000000004</v>
      </c>
      <c r="K23">
        <v>100000</v>
      </c>
      <c r="L23" s="2">
        <v>45545</v>
      </c>
    </row>
    <row r="24" spans="1:12">
      <c r="A24" t="s">
        <v>74</v>
      </c>
      <c r="B24" t="s">
        <v>75</v>
      </c>
      <c r="C24" t="s">
        <v>14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 s="8">
        <v>0.94589999999999996</v>
      </c>
      <c r="K24">
        <v>130000</v>
      </c>
      <c r="L24" s="2">
        <v>45852</v>
      </c>
    </row>
    <row r="25" spans="1:12">
      <c r="A25" t="s">
        <v>76</v>
      </c>
      <c r="B25" t="s">
        <v>77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8">
        <v>0.58579999999999999</v>
      </c>
      <c r="K25">
        <v>120000</v>
      </c>
      <c r="L25" s="2">
        <v>45709</v>
      </c>
    </row>
    <row r="26" spans="1:12">
      <c r="A26" t="s">
        <v>78</v>
      </c>
      <c r="B26" t="s">
        <v>79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8">
        <v>0.9405</v>
      </c>
      <c r="K26">
        <v>80000</v>
      </c>
      <c r="L26" s="2">
        <v>45771</v>
      </c>
    </row>
    <row r="27" spans="1:12">
      <c r="A27" t="s">
        <v>80</v>
      </c>
      <c r="B27" t="s">
        <v>81</v>
      </c>
      <c r="C27" t="s">
        <v>19</v>
      </c>
      <c r="D27" t="s">
        <v>32</v>
      </c>
      <c r="E27" t="s">
        <v>48</v>
      </c>
      <c r="F27">
        <v>18.41</v>
      </c>
      <c r="G27">
        <v>20</v>
      </c>
      <c r="H27">
        <v>14.71</v>
      </c>
      <c r="I27">
        <v>20</v>
      </c>
      <c r="J27" s="8">
        <v>0.81899999999999995</v>
      </c>
      <c r="K27">
        <v>85000</v>
      </c>
      <c r="L27" s="2">
        <v>45855</v>
      </c>
    </row>
    <row r="28" spans="1:12">
      <c r="A28" t="s">
        <v>82</v>
      </c>
      <c r="B28" t="s">
        <v>83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8">
        <v>0.76739999999999997</v>
      </c>
      <c r="K28">
        <v>60000</v>
      </c>
      <c r="L28" s="2">
        <v>45762</v>
      </c>
    </row>
    <row r="29" spans="1:12">
      <c r="A29" t="s">
        <v>84</v>
      </c>
      <c r="B29" t="s">
        <v>85</v>
      </c>
      <c r="C29" t="s">
        <v>19</v>
      </c>
      <c r="D29" t="s">
        <v>53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8">
        <v>0.81159999999999999</v>
      </c>
      <c r="K29">
        <v>50000</v>
      </c>
      <c r="L29" s="2">
        <v>45811</v>
      </c>
    </row>
    <row r="30" spans="1:12">
      <c r="A30" t="s">
        <v>86</v>
      </c>
      <c r="B30" t="s">
        <v>59</v>
      </c>
      <c r="C30" t="s">
        <v>19</v>
      </c>
      <c r="D30" t="s">
        <v>15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 s="8">
        <v>0.97089999999999999</v>
      </c>
      <c r="K30">
        <v>110000</v>
      </c>
      <c r="L30" s="2">
        <v>46071</v>
      </c>
    </row>
    <row r="31" spans="1:12">
      <c r="A31" t="s">
        <v>87</v>
      </c>
      <c r="B31" t="s">
        <v>88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8">
        <v>0.55000000000000004</v>
      </c>
      <c r="K31">
        <v>80000</v>
      </c>
      <c r="L31" s="2">
        <v>46103</v>
      </c>
    </row>
    <row r="32" spans="1:12">
      <c r="A32" t="s">
        <v>89</v>
      </c>
      <c r="B32" t="s">
        <v>90</v>
      </c>
      <c r="C32" t="s">
        <v>14</v>
      </c>
      <c r="D32" t="s">
        <v>36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8">
        <v>0.98560000000000003</v>
      </c>
      <c r="K32">
        <v>85000</v>
      </c>
      <c r="L32" s="2">
        <v>45540</v>
      </c>
    </row>
    <row r="33" spans="1:12">
      <c r="A33" t="s">
        <v>91</v>
      </c>
      <c r="B33" t="s">
        <v>92</v>
      </c>
      <c r="C33" t="s">
        <v>14</v>
      </c>
      <c r="D33" t="s">
        <v>36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8">
        <v>0.93830000000000002</v>
      </c>
      <c r="K33">
        <v>75000</v>
      </c>
      <c r="L33" s="2">
        <v>45800</v>
      </c>
    </row>
    <row r="34" spans="1:12">
      <c r="A34" t="s">
        <v>93</v>
      </c>
      <c r="B34" t="s">
        <v>94</v>
      </c>
      <c r="C34" t="s">
        <v>14</v>
      </c>
      <c r="D34" t="s">
        <v>53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8">
        <v>0.79310000000000003</v>
      </c>
      <c r="K34">
        <v>75000</v>
      </c>
      <c r="L34" s="2">
        <v>46128</v>
      </c>
    </row>
    <row r="35" spans="1:12">
      <c r="A35" t="s">
        <v>95</v>
      </c>
      <c r="B35" t="s">
        <v>96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8">
        <v>0.85240000000000005</v>
      </c>
      <c r="K35">
        <v>130000</v>
      </c>
      <c r="L35" s="2">
        <v>45907</v>
      </c>
    </row>
    <row r="36" spans="1:12">
      <c r="A36" t="s">
        <v>97</v>
      </c>
      <c r="B36" t="s">
        <v>98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8">
        <v>0.75270000000000004</v>
      </c>
      <c r="K36">
        <v>110000</v>
      </c>
      <c r="L36" s="2">
        <v>45679</v>
      </c>
    </row>
    <row r="37" spans="1:12">
      <c r="A37" t="s">
        <v>99</v>
      </c>
      <c r="B37" t="s">
        <v>100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8">
        <v>0.7046</v>
      </c>
      <c r="K37">
        <v>100000</v>
      </c>
      <c r="L37" s="2">
        <v>45951</v>
      </c>
    </row>
    <row r="38" spans="1:12">
      <c r="A38" t="s">
        <v>101</v>
      </c>
      <c r="B38" t="s">
        <v>102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8">
        <v>0.92279999999999995</v>
      </c>
      <c r="K38">
        <v>80000</v>
      </c>
      <c r="L38" s="2">
        <v>45637</v>
      </c>
    </row>
    <row r="39" spans="1:12">
      <c r="A39" t="s">
        <v>103</v>
      </c>
      <c r="B39" t="s">
        <v>104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8">
        <v>0.82920000000000005</v>
      </c>
      <c r="K39">
        <v>100000</v>
      </c>
      <c r="L39" s="2">
        <v>45551</v>
      </c>
    </row>
    <row r="40" spans="1:12">
      <c r="A40" t="s">
        <v>105</v>
      </c>
      <c r="B40" t="s">
        <v>106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8">
        <v>0.92720000000000002</v>
      </c>
      <c r="K40">
        <v>75000</v>
      </c>
      <c r="L40" s="2">
        <v>45978</v>
      </c>
    </row>
    <row r="41" spans="1:12">
      <c r="A41" t="s">
        <v>107</v>
      </c>
      <c r="B41" t="s">
        <v>77</v>
      </c>
      <c r="C41" t="s">
        <v>19</v>
      </c>
      <c r="D41" t="s">
        <v>53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8">
        <v>0.95599999999999996</v>
      </c>
      <c r="K41">
        <v>85000</v>
      </c>
      <c r="L41" s="2">
        <v>45896</v>
      </c>
    </row>
    <row r="42" spans="1:12">
      <c r="A42" t="s">
        <v>108</v>
      </c>
      <c r="B42" t="s">
        <v>109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8">
        <v>0.77600000000000002</v>
      </c>
      <c r="K42">
        <v>60000</v>
      </c>
      <c r="L42" s="2">
        <v>46065</v>
      </c>
    </row>
    <row r="43" spans="1:12">
      <c r="A43" t="s">
        <v>110</v>
      </c>
      <c r="B43" t="s">
        <v>111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8">
        <v>0.90200000000000002</v>
      </c>
      <c r="K43">
        <v>100000</v>
      </c>
      <c r="L43" s="2">
        <v>45777</v>
      </c>
    </row>
    <row r="44" spans="1:12">
      <c r="A44" t="s">
        <v>112</v>
      </c>
      <c r="B44" t="s">
        <v>113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8">
        <v>0.94040000000000001</v>
      </c>
      <c r="K44">
        <v>50000</v>
      </c>
      <c r="L44" s="2">
        <v>46133</v>
      </c>
    </row>
    <row r="45" spans="1:12">
      <c r="A45" t="s">
        <v>114</v>
      </c>
      <c r="B45" t="s">
        <v>115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8">
        <v>0.86899999999999999</v>
      </c>
      <c r="K45">
        <v>100000</v>
      </c>
      <c r="L45" s="2">
        <v>45830</v>
      </c>
    </row>
    <row r="46" spans="1:12">
      <c r="A46" t="s">
        <v>116</v>
      </c>
      <c r="B46" t="s">
        <v>117</v>
      </c>
      <c r="C46" t="s">
        <v>14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 s="8">
        <v>0.91449999999999998</v>
      </c>
      <c r="K46">
        <v>90000</v>
      </c>
      <c r="L46" s="2">
        <v>46052</v>
      </c>
    </row>
    <row r="47" spans="1:12">
      <c r="A47" t="s">
        <v>118</v>
      </c>
      <c r="B47" t="s">
        <v>119</v>
      </c>
      <c r="C47" t="s">
        <v>19</v>
      </c>
      <c r="D47" t="s">
        <v>36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 s="8">
        <v>0.98260000000000003</v>
      </c>
      <c r="K47">
        <v>50000</v>
      </c>
      <c r="L47" s="2">
        <v>45606</v>
      </c>
    </row>
    <row r="48" spans="1:12">
      <c r="A48" t="s">
        <v>120</v>
      </c>
      <c r="B48" t="s">
        <v>121</v>
      </c>
      <c r="C48" t="s">
        <v>14</v>
      </c>
      <c r="D48" t="s">
        <v>53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8">
        <v>0.94130000000000003</v>
      </c>
      <c r="K48">
        <v>85000</v>
      </c>
      <c r="L48" s="2">
        <v>45604</v>
      </c>
    </row>
    <row r="49" spans="1:12">
      <c r="A49" t="s">
        <v>122</v>
      </c>
      <c r="B49" t="s">
        <v>123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8">
        <v>0.93630000000000002</v>
      </c>
      <c r="K49">
        <v>70000</v>
      </c>
      <c r="L49" s="2">
        <v>46083</v>
      </c>
    </row>
    <row r="50" spans="1:12">
      <c r="A50" t="s">
        <v>124</v>
      </c>
      <c r="B50" t="s">
        <v>125</v>
      </c>
      <c r="C50" t="s">
        <v>19</v>
      </c>
      <c r="D50" t="s">
        <v>20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 s="8">
        <v>0.92930000000000001</v>
      </c>
      <c r="K50">
        <v>85000</v>
      </c>
      <c r="L50" s="2">
        <v>46119</v>
      </c>
    </row>
    <row r="51" spans="1:12">
      <c r="A51" t="s">
        <v>126</v>
      </c>
      <c r="B51" t="s">
        <v>127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8">
        <v>0.77490000000000003</v>
      </c>
      <c r="K51">
        <v>50000</v>
      </c>
      <c r="L51" s="2">
        <v>46195</v>
      </c>
    </row>
    <row r="52" spans="1:12">
      <c r="A52" t="s">
        <v>128</v>
      </c>
      <c r="B52" t="s">
        <v>129</v>
      </c>
      <c r="C52" t="s">
        <v>19</v>
      </c>
      <c r="D52" t="s">
        <v>36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 s="8">
        <v>0.95179999999999998</v>
      </c>
      <c r="K52">
        <v>100000</v>
      </c>
      <c r="L52" s="2">
        <v>45763</v>
      </c>
    </row>
    <row r="53" spans="1:12">
      <c r="A53" t="s">
        <v>130</v>
      </c>
      <c r="B53" t="s">
        <v>131</v>
      </c>
      <c r="C53" t="s">
        <v>14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 s="8">
        <v>0.9385</v>
      </c>
      <c r="K53">
        <v>85000</v>
      </c>
      <c r="L53" s="2">
        <v>45551</v>
      </c>
    </row>
    <row r="54" spans="1:12">
      <c r="A54" t="s">
        <v>132</v>
      </c>
      <c r="B54" t="s">
        <v>133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8">
        <v>0.92410000000000003</v>
      </c>
      <c r="K54">
        <v>75000</v>
      </c>
      <c r="L54" s="2">
        <v>46221</v>
      </c>
    </row>
    <row r="55" spans="1:12">
      <c r="A55" t="s">
        <v>134</v>
      </c>
      <c r="B55" t="s">
        <v>135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8">
        <v>0.79700000000000004</v>
      </c>
      <c r="K55">
        <v>120000</v>
      </c>
      <c r="L55" s="2">
        <v>45956</v>
      </c>
    </row>
    <row r="56" spans="1:12">
      <c r="A56" t="s">
        <v>136</v>
      </c>
      <c r="B56" t="s">
        <v>137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8">
        <v>0.80020000000000002</v>
      </c>
      <c r="K56">
        <v>100000</v>
      </c>
      <c r="L56" s="2">
        <v>45708</v>
      </c>
    </row>
    <row r="57" spans="1:12">
      <c r="A57" t="s">
        <v>138</v>
      </c>
      <c r="B57" t="s">
        <v>139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8">
        <v>0.89</v>
      </c>
      <c r="K57">
        <v>90000</v>
      </c>
      <c r="L57" s="2">
        <v>46070</v>
      </c>
    </row>
    <row r="58" spans="1:12">
      <c r="A58" t="s">
        <v>140</v>
      </c>
      <c r="B58" t="s">
        <v>141</v>
      </c>
      <c r="C58" t="s">
        <v>19</v>
      </c>
      <c r="D58" t="s">
        <v>36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8">
        <v>0.74680000000000002</v>
      </c>
      <c r="K58">
        <v>60000</v>
      </c>
      <c r="L58" s="2">
        <v>46168</v>
      </c>
    </row>
    <row r="59" spans="1:12">
      <c r="A59" t="s">
        <v>142</v>
      </c>
      <c r="B59" t="s">
        <v>109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8">
        <v>0.6895</v>
      </c>
      <c r="K59">
        <v>85000</v>
      </c>
      <c r="L59" s="2">
        <v>45735</v>
      </c>
    </row>
    <row r="60" spans="1:12">
      <c r="A60" t="s">
        <v>143</v>
      </c>
      <c r="B60" t="s">
        <v>144</v>
      </c>
      <c r="C60" t="s">
        <v>19</v>
      </c>
      <c r="D60" t="s">
        <v>32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 s="8">
        <v>0.9617</v>
      </c>
      <c r="K60">
        <v>100000</v>
      </c>
      <c r="L60" s="2">
        <v>46074</v>
      </c>
    </row>
    <row r="61" spans="1:12">
      <c r="A61" t="s">
        <v>145</v>
      </c>
      <c r="B61" t="s">
        <v>146</v>
      </c>
      <c r="C61" t="s">
        <v>19</v>
      </c>
      <c r="D61" t="s">
        <v>36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 s="8">
        <v>0.91279999999999994</v>
      </c>
      <c r="K61">
        <v>130000</v>
      </c>
      <c r="L61" s="2">
        <v>46087</v>
      </c>
    </row>
    <row r="62" spans="1:12">
      <c r="A62" t="s">
        <v>147</v>
      </c>
      <c r="B62" t="s">
        <v>148</v>
      </c>
      <c r="C62" t="s">
        <v>19</v>
      </c>
      <c r="D62" t="s">
        <v>20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 s="8">
        <v>0.55000000000000004</v>
      </c>
      <c r="K62">
        <v>90000</v>
      </c>
      <c r="L62" s="2">
        <v>45887</v>
      </c>
    </row>
    <row r="63" spans="1:12">
      <c r="A63" t="s">
        <v>149</v>
      </c>
      <c r="B63" t="s">
        <v>150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8">
        <v>0.95489999999999997</v>
      </c>
      <c r="K63">
        <v>60000</v>
      </c>
      <c r="L63" s="2">
        <v>45978</v>
      </c>
    </row>
    <row r="64" spans="1:12">
      <c r="A64" t="s">
        <v>151</v>
      </c>
      <c r="B64" t="s">
        <v>152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8">
        <v>0.84250000000000003</v>
      </c>
      <c r="K64">
        <v>100000</v>
      </c>
      <c r="L64" s="2">
        <v>45724</v>
      </c>
    </row>
    <row r="65" spans="1:12">
      <c r="A65" t="s">
        <v>153</v>
      </c>
      <c r="B65" t="s">
        <v>52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8">
        <v>0.9204</v>
      </c>
      <c r="K65">
        <v>50000</v>
      </c>
      <c r="L65" s="2">
        <v>46186</v>
      </c>
    </row>
    <row r="66" spans="1:12">
      <c r="A66" t="s">
        <v>154</v>
      </c>
      <c r="B66" t="s">
        <v>155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8">
        <v>0.80159999999999998</v>
      </c>
      <c r="K66">
        <v>75000</v>
      </c>
      <c r="L66" s="2">
        <v>46224</v>
      </c>
    </row>
    <row r="67" spans="1:12">
      <c r="A67" t="s">
        <v>156</v>
      </c>
      <c r="B67" t="s">
        <v>157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8">
        <v>0.87060000000000004</v>
      </c>
      <c r="K67">
        <v>130000</v>
      </c>
      <c r="L67" s="2">
        <v>46222</v>
      </c>
    </row>
    <row r="68" spans="1:12">
      <c r="A68" t="s">
        <v>158</v>
      </c>
      <c r="B68" t="s">
        <v>159</v>
      </c>
      <c r="C68" t="s">
        <v>19</v>
      </c>
      <c r="D68" t="s">
        <v>32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 s="8">
        <v>0.84919999999999995</v>
      </c>
      <c r="K68">
        <v>110000</v>
      </c>
      <c r="L68" s="2">
        <v>46051</v>
      </c>
    </row>
    <row r="69" spans="1:12">
      <c r="A69" t="s">
        <v>160</v>
      </c>
      <c r="B69" t="s">
        <v>161</v>
      </c>
      <c r="C69" t="s">
        <v>14</v>
      </c>
      <c r="D69" t="s">
        <v>36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8">
        <v>0.80720000000000003</v>
      </c>
      <c r="K69">
        <v>120000</v>
      </c>
      <c r="L69" s="2">
        <v>45565</v>
      </c>
    </row>
    <row r="70" spans="1:12">
      <c r="A70" t="s">
        <v>162</v>
      </c>
      <c r="B70" t="s">
        <v>115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8">
        <v>0.86950000000000005</v>
      </c>
      <c r="K70">
        <v>75000</v>
      </c>
      <c r="L70" s="2">
        <v>45792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8">
        <v>0.72430000000000005</v>
      </c>
      <c r="K71">
        <v>100000</v>
      </c>
      <c r="L71" s="2">
        <v>45847</v>
      </c>
    </row>
    <row r="72" spans="1:12">
      <c r="A72" t="s">
        <v>165</v>
      </c>
      <c r="B72" t="s">
        <v>166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8">
        <v>0.7157</v>
      </c>
      <c r="K72">
        <v>100000</v>
      </c>
      <c r="L72" s="2">
        <v>46207</v>
      </c>
    </row>
    <row r="73" spans="1:12">
      <c r="A73" t="s">
        <v>167</v>
      </c>
      <c r="B73" t="s">
        <v>168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8">
        <v>0.88990000000000002</v>
      </c>
      <c r="K73">
        <v>70000</v>
      </c>
      <c r="L73" s="2">
        <v>45918</v>
      </c>
    </row>
    <row r="74" spans="1:12">
      <c r="A74" t="s">
        <v>169</v>
      </c>
      <c r="B74" t="s">
        <v>170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8">
        <v>0.76880000000000004</v>
      </c>
      <c r="K74">
        <v>130000</v>
      </c>
      <c r="L74" s="2">
        <v>45911</v>
      </c>
    </row>
    <row r="75" spans="1:12">
      <c r="A75" t="s">
        <v>171</v>
      </c>
      <c r="B75" t="s">
        <v>133</v>
      </c>
      <c r="C75" t="s">
        <v>14</v>
      </c>
      <c r="D75" t="s">
        <v>36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8">
        <v>0.90290000000000004</v>
      </c>
      <c r="K75">
        <v>130000</v>
      </c>
      <c r="L75" s="2">
        <v>45638</v>
      </c>
    </row>
    <row r="76" spans="1:12">
      <c r="A76" t="s">
        <v>172</v>
      </c>
      <c r="B76" t="s">
        <v>173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8">
        <v>0.96130000000000004</v>
      </c>
      <c r="K76">
        <v>60000</v>
      </c>
      <c r="L76" s="2">
        <v>46091</v>
      </c>
    </row>
    <row r="77" spans="1:12">
      <c r="A77" t="s">
        <v>174</v>
      </c>
      <c r="B77" t="s">
        <v>175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8">
        <v>0.65480000000000005</v>
      </c>
      <c r="K77">
        <v>110000</v>
      </c>
      <c r="L77" s="2">
        <v>45771</v>
      </c>
    </row>
    <row r="78" spans="1:12">
      <c r="A78" t="s">
        <v>176</v>
      </c>
      <c r="B78" t="s">
        <v>109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8">
        <v>0.92200000000000004</v>
      </c>
      <c r="K78">
        <v>80000</v>
      </c>
      <c r="L78" s="2">
        <v>45600</v>
      </c>
    </row>
    <row r="79" spans="1:12">
      <c r="A79" t="s">
        <v>177</v>
      </c>
      <c r="B79" t="s">
        <v>178</v>
      </c>
      <c r="C79" t="s">
        <v>14</v>
      </c>
      <c r="D79" t="s">
        <v>36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8">
        <v>0.83409999999999995</v>
      </c>
      <c r="K79">
        <v>100000</v>
      </c>
      <c r="L79" s="2">
        <v>46227</v>
      </c>
    </row>
    <row r="80" spans="1:12">
      <c r="A80" t="s">
        <v>179</v>
      </c>
      <c r="B80" t="s">
        <v>180</v>
      </c>
      <c r="C80" t="s">
        <v>19</v>
      </c>
      <c r="D80" t="s">
        <v>15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 s="8">
        <v>0.87749999999999995</v>
      </c>
      <c r="K80">
        <v>90000</v>
      </c>
      <c r="L80" s="2">
        <v>45669</v>
      </c>
    </row>
    <row r="81" spans="1:12">
      <c r="A81" t="s">
        <v>181</v>
      </c>
      <c r="B81" t="s">
        <v>182</v>
      </c>
      <c r="C81" t="s">
        <v>19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 s="8">
        <v>0.95140000000000002</v>
      </c>
      <c r="K81">
        <v>70000</v>
      </c>
      <c r="L81" s="2">
        <v>45547</v>
      </c>
    </row>
    <row r="82" spans="1:12">
      <c r="A82" t="s">
        <v>183</v>
      </c>
      <c r="B82" t="s">
        <v>184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8">
        <v>0.84179999999999999</v>
      </c>
      <c r="K82">
        <v>60000</v>
      </c>
      <c r="L82" s="2">
        <v>45590</v>
      </c>
    </row>
    <row r="83" spans="1:12">
      <c r="A83" t="s">
        <v>185</v>
      </c>
      <c r="B83" t="s">
        <v>186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8">
        <v>0.93310000000000004</v>
      </c>
      <c r="K83">
        <v>85000</v>
      </c>
      <c r="L83" s="2">
        <v>45852</v>
      </c>
    </row>
    <row r="84" spans="1:12">
      <c r="A84" t="s">
        <v>187</v>
      </c>
      <c r="B84" t="s">
        <v>188</v>
      </c>
      <c r="C84" t="s">
        <v>14</v>
      </c>
      <c r="D84" t="s">
        <v>53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8">
        <v>0.93730000000000002</v>
      </c>
      <c r="K84">
        <v>120000</v>
      </c>
      <c r="L84" s="2">
        <v>45608</v>
      </c>
    </row>
    <row r="85" spans="1:12">
      <c r="A85" t="s">
        <v>189</v>
      </c>
      <c r="B85" t="s">
        <v>59</v>
      </c>
      <c r="C85" t="s">
        <v>19</v>
      </c>
      <c r="D85" t="s">
        <v>20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 s="8">
        <v>0.83599999999999997</v>
      </c>
      <c r="K85">
        <v>120000</v>
      </c>
      <c r="L85" s="2">
        <v>46125</v>
      </c>
    </row>
    <row r="86" spans="1:12">
      <c r="A86" t="s">
        <v>190</v>
      </c>
      <c r="B86" t="s">
        <v>191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8">
        <v>0.84530000000000005</v>
      </c>
      <c r="K86">
        <v>75000</v>
      </c>
      <c r="L86" s="2">
        <v>45894</v>
      </c>
    </row>
    <row r="87" spans="1:12">
      <c r="A87" t="s">
        <v>192</v>
      </c>
      <c r="B87" t="s">
        <v>79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8">
        <v>0.74470000000000003</v>
      </c>
      <c r="K87">
        <v>120000</v>
      </c>
      <c r="L87" s="2">
        <v>45762</v>
      </c>
    </row>
    <row r="88" spans="1:12">
      <c r="A88" t="s">
        <v>193</v>
      </c>
      <c r="B88" t="s">
        <v>194</v>
      </c>
      <c r="C88" t="s">
        <v>14</v>
      </c>
      <c r="D88" t="s">
        <v>36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8">
        <v>0.67400000000000004</v>
      </c>
      <c r="K88">
        <v>75000</v>
      </c>
      <c r="L88" s="2">
        <v>45538</v>
      </c>
    </row>
    <row r="89" spans="1:12">
      <c r="A89" t="s">
        <v>195</v>
      </c>
      <c r="B89" t="s">
        <v>196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8">
        <v>0.76039999999999996</v>
      </c>
      <c r="K89">
        <v>90000</v>
      </c>
      <c r="L89" s="2">
        <v>45871</v>
      </c>
    </row>
    <row r="90" spans="1:12">
      <c r="A90" t="s">
        <v>197</v>
      </c>
      <c r="B90" t="s">
        <v>198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8">
        <v>0.84550000000000003</v>
      </c>
      <c r="K90">
        <v>75000</v>
      </c>
      <c r="L90" s="2">
        <v>45641</v>
      </c>
    </row>
    <row r="91" spans="1:12">
      <c r="A91" t="s">
        <v>199</v>
      </c>
      <c r="B91" t="s">
        <v>200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8">
        <v>0.67589999999999995</v>
      </c>
      <c r="K91">
        <v>85000</v>
      </c>
      <c r="L91" s="2">
        <v>46220</v>
      </c>
    </row>
    <row r="92" spans="1:12">
      <c r="A92" t="s">
        <v>201</v>
      </c>
      <c r="B92" t="s">
        <v>202</v>
      </c>
      <c r="C92" t="s">
        <v>14</v>
      </c>
      <c r="D92" t="s">
        <v>32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 s="8">
        <v>0.89300000000000002</v>
      </c>
      <c r="K92">
        <v>85000</v>
      </c>
      <c r="L92" s="2">
        <v>45739</v>
      </c>
    </row>
    <row r="93" spans="1:12">
      <c r="A93" t="s">
        <v>203</v>
      </c>
      <c r="B93" t="s">
        <v>204</v>
      </c>
      <c r="C93" t="s">
        <v>19</v>
      </c>
      <c r="D93" t="s">
        <v>53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8">
        <v>0.94669999999999999</v>
      </c>
      <c r="K93">
        <v>100000</v>
      </c>
      <c r="L93" s="2">
        <v>45868</v>
      </c>
    </row>
    <row r="94" spans="1:12">
      <c r="A94" t="s">
        <v>205</v>
      </c>
      <c r="B94" t="s">
        <v>79</v>
      </c>
      <c r="C94" t="s">
        <v>19</v>
      </c>
      <c r="D94" t="s">
        <v>36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 s="8">
        <v>0.82809999999999995</v>
      </c>
      <c r="K94">
        <v>85000</v>
      </c>
      <c r="L94" s="2">
        <v>45549</v>
      </c>
    </row>
    <row r="95" spans="1:12">
      <c r="A95" t="s">
        <v>206</v>
      </c>
      <c r="B95" t="s">
        <v>207</v>
      </c>
      <c r="C95" t="s">
        <v>14</v>
      </c>
      <c r="D95" t="s">
        <v>32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 s="8">
        <v>0.73799999999999999</v>
      </c>
      <c r="K95">
        <v>85000</v>
      </c>
      <c r="L95" s="2">
        <v>45627</v>
      </c>
    </row>
    <row r="96" spans="1:12">
      <c r="A96" t="s">
        <v>208</v>
      </c>
      <c r="B96" t="s">
        <v>96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8">
        <v>0.88939999999999997</v>
      </c>
      <c r="K96">
        <v>100000</v>
      </c>
      <c r="L96" s="2">
        <v>45681</v>
      </c>
    </row>
    <row r="97" spans="1:12">
      <c r="A97" t="s">
        <v>209</v>
      </c>
      <c r="B97" t="s">
        <v>210</v>
      </c>
      <c r="C97" t="s">
        <v>14</v>
      </c>
      <c r="D97" t="s">
        <v>32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 s="8">
        <v>0.83150000000000002</v>
      </c>
      <c r="K97">
        <v>80000</v>
      </c>
      <c r="L97" s="2">
        <v>45572</v>
      </c>
    </row>
    <row r="98" spans="1:12">
      <c r="A98" t="s">
        <v>211</v>
      </c>
      <c r="B98" t="s">
        <v>13</v>
      </c>
      <c r="C98" t="s">
        <v>14</v>
      </c>
      <c r="D98" t="s">
        <v>32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 s="8">
        <v>0.92949999999999999</v>
      </c>
      <c r="K98">
        <v>85000</v>
      </c>
      <c r="L98" s="2">
        <v>46044</v>
      </c>
    </row>
    <row r="99" spans="1:12">
      <c r="A99" t="s">
        <v>212</v>
      </c>
      <c r="B99" t="s">
        <v>213</v>
      </c>
      <c r="C99" t="s">
        <v>19</v>
      </c>
      <c r="D99" t="s">
        <v>28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 s="8">
        <v>0.94189999999999996</v>
      </c>
      <c r="K99">
        <v>50000</v>
      </c>
      <c r="L99" s="2">
        <v>46197</v>
      </c>
    </row>
    <row r="100" spans="1:12">
      <c r="A100" t="s">
        <v>214</v>
      </c>
      <c r="B100" t="s">
        <v>104</v>
      </c>
      <c r="C100" t="s">
        <v>19</v>
      </c>
      <c r="D100" t="s">
        <v>20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 s="8">
        <v>0.92549999999999999</v>
      </c>
      <c r="K100">
        <v>120000</v>
      </c>
      <c r="L100" s="2">
        <v>46225</v>
      </c>
    </row>
    <row r="101" spans="1:12">
      <c r="A101" t="s">
        <v>215</v>
      </c>
      <c r="B101" t="s">
        <v>216</v>
      </c>
      <c r="C101" t="s">
        <v>14</v>
      </c>
      <c r="D101" t="s">
        <v>15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 s="8">
        <v>0.78510000000000002</v>
      </c>
      <c r="K101">
        <v>60000</v>
      </c>
      <c r="L101" s="2">
        <v>45722</v>
      </c>
    </row>
    <row r="102" spans="1:12">
      <c r="A102" t="s">
        <v>217</v>
      </c>
      <c r="B102" t="s">
        <v>218</v>
      </c>
      <c r="C102" t="s">
        <v>19</v>
      </c>
      <c r="D102" t="s">
        <v>53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 s="8">
        <v>0.80259999999999998</v>
      </c>
      <c r="K102">
        <v>120000</v>
      </c>
      <c r="L102" s="2">
        <v>46088</v>
      </c>
    </row>
    <row r="103" spans="1:12">
      <c r="A103" t="s">
        <v>219</v>
      </c>
      <c r="B103" t="s">
        <v>220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 s="8">
        <v>0.79849999999999999</v>
      </c>
      <c r="K103">
        <v>110000</v>
      </c>
      <c r="L103" s="2">
        <v>45888</v>
      </c>
    </row>
    <row r="104" spans="1:12">
      <c r="A104" t="s">
        <v>221</v>
      </c>
      <c r="B104" t="s">
        <v>31</v>
      </c>
      <c r="C104" t="s">
        <v>19</v>
      </c>
      <c r="D104" t="s">
        <v>53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 s="8">
        <v>0.62409999999999999</v>
      </c>
      <c r="K104">
        <v>130000</v>
      </c>
      <c r="L104" s="2">
        <v>45568</v>
      </c>
    </row>
    <row r="105" spans="1:12">
      <c r="A105" t="s">
        <v>222</v>
      </c>
      <c r="B105" t="s">
        <v>178</v>
      </c>
      <c r="C105" t="s">
        <v>14</v>
      </c>
      <c r="D105" t="s">
        <v>36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 s="8">
        <v>0.90580000000000005</v>
      </c>
      <c r="K105">
        <v>50000</v>
      </c>
      <c r="L105" s="2">
        <v>45599</v>
      </c>
    </row>
    <row r="106" spans="1:12">
      <c r="A106" t="s">
        <v>223</v>
      </c>
      <c r="B106" t="s">
        <v>224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 s="8">
        <v>0.6411</v>
      </c>
      <c r="K106">
        <v>70000</v>
      </c>
      <c r="L106" s="2">
        <v>45919</v>
      </c>
    </row>
    <row r="107" spans="1:12">
      <c r="A107" t="s">
        <v>225</v>
      </c>
      <c r="B107" t="s">
        <v>226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 s="8">
        <v>0.89759999999999995</v>
      </c>
      <c r="K107">
        <v>50000</v>
      </c>
      <c r="L107" s="2">
        <v>45832</v>
      </c>
    </row>
    <row r="108" spans="1:12">
      <c r="A108" t="s">
        <v>227</v>
      </c>
      <c r="B108" t="s">
        <v>191</v>
      </c>
      <c r="C108" t="s">
        <v>19</v>
      </c>
      <c r="D108" t="s">
        <v>53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 s="8">
        <v>0.85189999999999999</v>
      </c>
      <c r="K108">
        <v>80000</v>
      </c>
      <c r="L108" s="2">
        <v>45541</v>
      </c>
    </row>
    <row r="109" spans="1:12">
      <c r="A109" t="s">
        <v>228</v>
      </c>
      <c r="B109" t="s">
        <v>229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 s="8">
        <v>0.79859999999999998</v>
      </c>
      <c r="K109">
        <v>120000</v>
      </c>
      <c r="L109" s="2">
        <v>46187</v>
      </c>
    </row>
    <row r="110" spans="1:12">
      <c r="A110" t="s">
        <v>230</v>
      </c>
      <c r="B110" t="s">
        <v>231</v>
      </c>
      <c r="C110" t="s">
        <v>14</v>
      </c>
      <c r="D110" t="s">
        <v>36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 s="8">
        <v>0.98750000000000004</v>
      </c>
      <c r="K110">
        <v>110000</v>
      </c>
      <c r="L110" s="2">
        <v>46047</v>
      </c>
    </row>
    <row r="111" spans="1:12">
      <c r="A111" t="s">
        <v>232</v>
      </c>
      <c r="B111" t="s">
        <v>233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 s="8">
        <v>0.8972</v>
      </c>
      <c r="K111">
        <v>100000</v>
      </c>
      <c r="L111" s="2">
        <v>45887</v>
      </c>
    </row>
    <row r="112" spans="1:12">
      <c r="A112" t="s">
        <v>234</v>
      </c>
      <c r="B112" t="s">
        <v>235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 s="8">
        <v>0.88100000000000001</v>
      </c>
      <c r="K112">
        <v>120000</v>
      </c>
      <c r="L112" s="2">
        <v>46226</v>
      </c>
    </row>
    <row r="113" spans="1:12">
      <c r="A113" t="s">
        <v>236</v>
      </c>
      <c r="B113" t="s">
        <v>237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 s="8">
        <v>0.89270000000000005</v>
      </c>
      <c r="K113">
        <v>50000</v>
      </c>
      <c r="L113" s="2">
        <v>46215</v>
      </c>
    </row>
    <row r="114" spans="1:12">
      <c r="A114" t="s">
        <v>238</v>
      </c>
      <c r="B114" t="s">
        <v>239</v>
      </c>
      <c r="C114" t="s">
        <v>19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 s="8">
        <v>0.84499999999999997</v>
      </c>
      <c r="K114">
        <v>110000</v>
      </c>
      <c r="L114" s="2">
        <v>46217</v>
      </c>
    </row>
    <row r="115" spans="1:12">
      <c r="A115" t="s">
        <v>240</v>
      </c>
      <c r="B115" t="s">
        <v>241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 s="8">
        <v>0.80830000000000002</v>
      </c>
      <c r="K115">
        <v>75000</v>
      </c>
      <c r="L115" s="2">
        <v>45717</v>
      </c>
    </row>
    <row r="116" spans="1:12">
      <c r="A116" t="s">
        <v>242</v>
      </c>
      <c r="B116" t="s">
        <v>243</v>
      </c>
      <c r="C116" t="s">
        <v>19</v>
      </c>
      <c r="D116" t="s">
        <v>53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 s="8">
        <v>0.55089999999999995</v>
      </c>
      <c r="K116">
        <v>100000</v>
      </c>
      <c r="L116" s="2">
        <v>46152</v>
      </c>
    </row>
    <row r="117" spans="1:12">
      <c r="A117" t="s">
        <v>244</v>
      </c>
      <c r="B117" t="s">
        <v>173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 s="8">
        <v>0.91290000000000004</v>
      </c>
      <c r="K117">
        <v>110000</v>
      </c>
      <c r="L117" s="2">
        <v>45889</v>
      </c>
    </row>
    <row r="118" spans="1:12">
      <c r="A118" t="s">
        <v>245</v>
      </c>
      <c r="B118" t="s">
        <v>246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 s="8">
        <v>0.66739999999999999</v>
      </c>
      <c r="K118">
        <v>100000</v>
      </c>
      <c r="L118" s="2">
        <v>46044</v>
      </c>
    </row>
    <row r="119" spans="1:12">
      <c r="A119" t="s">
        <v>247</v>
      </c>
      <c r="B119" t="s">
        <v>248</v>
      </c>
      <c r="C119" t="s">
        <v>14</v>
      </c>
      <c r="D119" t="s">
        <v>53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 s="8">
        <v>0.94169999999999998</v>
      </c>
      <c r="K119">
        <v>80000</v>
      </c>
      <c r="L119" s="2">
        <v>46137</v>
      </c>
    </row>
    <row r="120" spans="1:12">
      <c r="A120" t="s">
        <v>249</v>
      </c>
      <c r="B120" t="s">
        <v>100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 s="8">
        <v>0.82340000000000002</v>
      </c>
      <c r="K120">
        <v>90000</v>
      </c>
      <c r="L120" s="2">
        <v>45650</v>
      </c>
    </row>
    <row r="121" spans="1:12">
      <c r="A121" t="s">
        <v>250</v>
      </c>
      <c r="B121" t="s">
        <v>251</v>
      </c>
      <c r="C121" t="s">
        <v>14</v>
      </c>
      <c r="D121" t="s">
        <v>36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 s="8">
        <v>0.77759999999999996</v>
      </c>
      <c r="K121">
        <v>85000</v>
      </c>
      <c r="L121" s="2">
        <v>45849</v>
      </c>
    </row>
    <row r="122" spans="1:12">
      <c r="A122" t="s">
        <v>252</v>
      </c>
      <c r="B122" t="s">
        <v>253</v>
      </c>
      <c r="C122" t="s">
        <v>14</v>
      </c>
      <c r="D122" t="s">
        <v>53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 s="8">
        <v>0.87290000000000001</v>
      </c>
      <c r="K122">
        <v>90000</v>
      </c>
      <c r="L122" s="2">
        <v>45626</v>
      </c>
    </row>
    <row r="123" spans="1:12">
      <c r="A123" t="s">
        <v>254</v>
      </c>
      <c r="B123" t="s">
        <v>71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 s="8">
        <v>0.83599999999999997</v>
      </c>
      <c r="K123">
        <v>85000</v>
      </c>
      <c r="L123" s="2">
        <v>45731</v>
      </c>
    </row>
    <row r="124" spans="1:12">
      <c r="A124" t="s">
        <v>255</v>
      </c>
      <c r="B124" t="s">
        <v>256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 s="8">
        <v>0.8034</v>
      </c>
      <c r="K124">
        <v>80000</v>
      </c>
      <c r="L124" s="2">
        <v>45825</v>
      </c>
    </row>
    <row r="125" spans="1:12">
      <c r="A125" t="s">
        <v>257</v>
      </c>
      <c r="B125" t="s">
        <v>258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 s="8">
        <v>0.70330000000000004</v>
      </c>
      <c r="K125">
        <v>70000</v>
      </c>
      <c r="L125" s="2">
        <v>46134</v>
      </c>
    </row>
    <row r="126" spans="1:12">
      <c r="A126" t="s">
        <v>259</v>
      </c>
      <c r="B126" t="s">
        <v>260</v>
      </c>
      <c r="C126" t="s">
        <v>19</v>
      </c>
      <c r="D126" t="s">
        <v>53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 s="8">
        <v>0.77380000000000004</v>
      </c>
      <c r="K126">
        <v>80000</v>
      </c>
      <c r="L126" s="2">
        <v>46139</v>
      </c>
    </row>
    <row r="127" spans="1:12">
      <c r="A127" t="s">
        <v>261</v>
      </c>
      <c r="B127" t="s">
        <v>262</v>
      </c>
      <c r="C127" t="s">
        <v>19</v>
      </c>
      <c r="D127" t="s">
        <v>36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 s="8">
        <v>0.82779999999999998</v>
      </c>
      <c r="K127">
        <v>100000</v>
      </c>
      <c r="L127" s="2">
        <v>45808</v>
      </c>
    </row>
    <row r="128" spans="1:12">
      <c r="A128" t="s">
        <v>263</v>
      </c>
      <c r="B128" t="s">
        <v>264</v>
      </c>
      <c r="C128" t="s">
        <v>14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 s="8">
        <v>0.83150000000000002</v>
      </c>
      <c r="K128">
        <v>120000</v>
      </c>
      <c r="L128" s="2">
        <v>45766</v>
      </c>
    </row>
    <row r="129" spans="1:12">
      <c r="A129" t="s">
        <v>265</v>
      </c>
      <c r="B129" t="s">
        <v>123</v>
      </c>
      <c r="C129" t="s">
        <v>19</v>
      </c>
      <c r="D129" t="s">
        <v>36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 s="8">
        <v>0.89610000000000001</v>
      </c>
      <c r="K129">
        <v>60000</v>
      </c>
      <c r="L129" s="2">
        <v>45907</v>
      </c>
    </row>
    <row r="130" spans="1:12">
      <c r="A130" t="s">
        <v>266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 s="8">
        <v>0.75839999999999996</v>
      </c>
      <c r="K130">
        <v>70000</v>
      </c>
      <c r="L130" s="2">
        <v>46174</v>
      </c>
    </row>
    <row r="131" spans="1:12">
      <c r="A131" t="s">
        <v>267</v>
      </c>
      <c r="B131" t="s">
        <v>268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 s="8">
        <v>0.76829999999999998</v>
      </c>
      <c r="K131">
        <v>85000</v>
      </c>
      <c r="L131" s="2">
        <v>46219</v>
      </c>
    </row>
    <row r="132" spans="1:12">
      <c r="A132" t="s">
        <v>269</v>
      </c>
      <c r="B132" t="s">
        <v>270</v>
      </c>
      <c r="C132" t="s">
        <v>19</v>
      </c>
      <c r="D132" t="s">
        <v>53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 s="8">
        <v>0.56440000000000001</v>
      </c>
      <c r="K132">
        <v>100000</v>
      </c>
      <c r="L132" s="2">
        <v>45694</v>
      </c>
    </row>
    <row r="133" spans="1:12">
      <c r="A133" t="s">
        <v>271</v>
      </c>
      <c r="B133" t="s">
        <v>272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 s="8">
        <v>0.71589999999999998</v>
      </c>
      <c r="K133">
        <v>60000</v>
      </c>
      <c r="L133" s="2">
        <v>45666</v>
      </c>
    </row>
    <row r="134" spans="1:12">
      <c r="A134" t="s">
        <v>273</v>
      </c>
      <c r="B134" t="s">
        <v>274</v>
      </c>
      <c r="C134" t="s">
        <v>14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 s="8">
        <v>0.58899999999999997</v>
      </c>
      <c r="K134">
        <v>75000</v>
      </c>
      <c r="L134" s="2">
        <v>46030</v>
      </c>
    </row>
    <row r="135" spans="1:12">
      <c r="A135" t="s">
        <v>275</v>
      </c>
      <c r="B135" t="s">
        <v>18</v>
      </c>
      <c r="C135" t="s">
        <v>19</v>
      </c>
      <c r="D135" t="s">
        <v>28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 s="8">
        <v>0.81699999999999995</v>
      </c>
      <c r="K135">
        <v>50000</v>
      </c>
      <c r="L135" s="2">
        <v>45746</v>
      </c>
    </row>
    <row r="136" spans="1:12">
      <c r="A136" t="s">
        <v>276</v>
      </c>
      <c r="B136" t="s">
        <v>125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 s="8">
        <v>0.95309999999999995</v>
      </c>
      <c r="K136">
        <v>50000</v>
      </c>
      <c r="L136" s="2">
        <v>45675</v>
      </c>
    </row>
    <row r="137" spans="1:12">
      <c r="A137" t="s">
        <v>277</v>
      </c>
      <c r="B137" t="s">
        <v>278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 s="8">
        <v>0.94479999999999997</v>
      </c>
      <c r="K137">
        <v>60000</v>
      </c>
      <c r="L137" s="2">
        <v>45557</v>
      </c>
    </row>
    <row r="138" spans="1:12">
      <c r="A138" t="s">
        <v>279</v>
      </c>
      <c r="B138" t="s">
        <v>280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 s="8">
        <v>0.93310000000000004</v>
      </c>
      <c r="K138">
        <v>110000</v>
      </c>
      <c r="L138" s="2">
        <v>45818</v>
      </c>
    </row>
    <row r="139" spans="1:12">
      <c r="A139" t="s">
        <v>281</v>
      </c>
      <c r="B139" t="s">
        <v>115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 s="8">
        <v>0.79290000000000005</v>
      </c>
      <c r="K139">
        <v>120000</v>
      </c>
      <c r="L139" s="2">
        <v>45810</v>
      </c>
    </row>
    <row r="140" spans="1:12">
      <c r="A140" t="s">
        <v>282</v>
      </c>
      <c r="B140" t="s">
        <v>283</v>
      </c>
      <c r="C140" t="s">
        <v>14</v>
      </c>
      <c r="D140" t="s">
        <v>32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 s="8">
        <v>0.83130000000000004</v>
      </c>
      <c r="K140">
        <v>85000</v>
      </c>
      <c r="L140" s="2">
        <v>45930</v>
      </c>
    </row>
    <row r="141" spans="1:12">
      <c r="A141" t="s">
        <v>284</v>
      </c>
      <c r="B141" t="s">
        <v>285</v>
      </c>
      <c r="C141" t="s">
        <v>14</v>
      </c>
      <c r="D141" t="s">
        <v>53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 s="8">
        <v>0.95430000000000004</v>
      </c>
      <c r="K141">
        <v>60000</v>
      </c>
      <c r="L141" s="2">
        <v>45676</v>
      </c>
    </row>
    <row r="142" spans="1:12">
      <c r="A142" t="s">
        <v>286</v>
      </c>
      <c r="B142" t="s">
        <v>260</v>
      </c>
      <c r="C142" t="s">
        <v>19</v>
      </c>
      <c r="D142" t="s">
        <v>32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 s="8">
        <v>0.80449999999999999</v>
      </c>
      <c r="K142">
        <v>130000</v>
      </c>
      <c r="L142" s="2">
        <v>46036</v>
      </c>
    </row>
    <row r="143" spans="1:12">
      <c r="A143" t="s">
        <v>287</v>
      </c>
      <c r="B143" t="s">
        <v>288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 s="8">
        <v>0.85609999999999997</v>
      </c>
      <c r="K143">
        <v>75000</v>
      </c>
      <c r="L143" s="2">
        <v>46012</v>
      </c>
    </row>
    <row r="144" spans="1:12">
      <c r="A144" t="s">
        <v>289</v>
      </c>
      <c r="B144" t="s">
        <v>196</v>
      </c>
      <c r="C144" t="s">
        <v>14</v>
      </c>
      <c r="D144" t="s">
        <v>32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 s="8">
        <v>0.76539999999999997</v>
      </c>
      <c r="K144">
        <v>60000</v>
      </c>
      <c r="L144" s="2">
        <v>45859</v>
      </c>
    </row>
    <row r="145" spans="1:12">
      <c r="A145" t="s">
        <v>290</v>
      </c>
      <c r="B145" t="s">
        <v>291</v>
      </c>
      <c r="C145" t="s">
        <v>14</v>
      </c>
      <c r="D145" t="s">
        <v>20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 s="8">
        <v>0.8982</v>
      </c>
      <c r="K145">
        <v>60000</v>
      </c>
      <c r="L145" s="2">
        <v>45662</v>
      </c>
    </row>
    <row r="146" spans="1:12">
      <c r="A146" t="s">
        <v>292</v>
      </c>
      <c r="B146" t="s">
        <v>63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 s="8">
        <v>0.72319999999999995</v>
      </c>
      <c r="K146">
        <v>75000</v>
      </c>
      <c r="L146" s="2">
        <v>45890</v>
      </c>
    </row>
    <row r="147" spans="1:12">
      <c r="A147" t="s">
        <v>293</v>
      </c>
      <c r="B147" t="s">
        <v>144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 s="8">
        <v>0.91400000000000003</v>
      </c>
      <c r="K147">
        <v>110000</v>
      </c>
      <c r="L147" s="2">
        <v>46008</v>
      </c>
    </row>
    <row r="148" spans="1:12">
      <c r="A148" t="s">
        <v>294</v>
      </c>
      <c r="B148" t="s">
        <v>295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 s="8">
        <v>0.81269999999999998</v>
      </c>
      <c r="K148">
        <v>80000</v>
      </c>
      <c r="L148" s="2">
        <v>45796</v>
      </c>
    </row>
    <row r="149" spans="1:12">
      <c r="A149" t="s">
        <v>296</v>
      </c>
      <c r="B149" t="s">
        <v>297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 s="8">
        <v>0.94320000000000004</v>
      </c>
      <c r="K149">
        <v>80000</v>
      </c>
      <c r="L149" s="2">
        <v>45720</v>
      </c>
    </row>
    <row r="150" spans="1:12">
      <c r="A150" t="s">
        <v>298</v>
      </c>
      <c r="B150" t="s">
        <v>272</v>
      </c>
      <c r="C150" t="s">
        <v>19</v>
      </c>
      <c r="D150" t="s">
        <v>36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 s="8">
        <v>0.70140000000000002</v>
      </c>
      <c r="K150">
        <v>75000</v>
      </c>
      <c r="L150" s="2">
        <v>45890</v>
      </c>
    </row>
    <row r="151" spans="1:12">
      <c r="A151" t="s">
        <v>299</v>
      </c>
      <c r="B151" t="s">
        <v>35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 s="8">
        <v>0.68049999999999999</v>
      </c>
      <c r="K151">
        <v>130000</v>
      </c>
      <c r="L151" s="2">
        <v>45784</v>
      </c>
    </row>
    <row r="152" spans="1:12">
      <c r="A152" t="s">
        <v>300</v>
      </c>
      <c r="B152" t="s">
        <v>301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 s="8">
        <v>0.81130000000000002</v>
      </c>
      <c r="K152">
        <v>100000</v>
      </c>
      <c r="L152" s="2">
        <v>45816</v>
      </c>
    </row>
    <row r="153" spans="1:12">
      <c r="A153" t="s">
        <v>302</v>
      </c>
      <c r="B153" t="s">
        <v>47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 s="8">
        <v>0.90129999999999999</v>
      </c>
      <c r="K153">
        <v>100000</v>
      </c>
      <c r="L153" s="2">
        <v>45780</v>
      </c>
    </row>
    <row r="154" spans="1:12">
      <c r="A154" t="s">
        <v>303</v>
      </c>
      <c r="B154" t="s">
        <v>180</v>
      </c>
      <c r="C154" t="s">
        <v>19</v>
      </c>
      <c r="D154" t="s">
        <v>20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 s="8">
        <v>0.74870000000000003</v>
      </c>
      <c r="K154">
        <v>80000</v>
      </c>
      <c r="L154" s="2">
        <v>45748</v>
      </c>
    </row>
    <row r="155" spans="1:12">
      <c r="A155" t="s">
        <v>304</v>
      </c>
      <c r="B155" t="s">
        <v>231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 s="8">
        <v>0.84219999999999995</v>
      </c>
      <c r="K155">
        <v>85000</v>
      </c>
      <c r="L155" s="2">
        <v>46037</v>
      </c>
    </row>
    <row r="156" spans="1:12">
      <c r="A156" t="s">
        <v>305</v>
      </c>
      <c r="B156" t="s">
        <v>288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 s="8">
        <v>0.71230000000000004</v>
      </c>
      <c r="K156">
        <v>120000</v>
      </c>
      <c r="L156" s="2">
        <v>45858</v>
      </c>
    </row>
    <row r="157" spans="1:12">
      <c r="A157" t="s">
        <v>306</v>
      </c>
      <c r="B157" t="s">
        <v>307</v>
      </c>
      <c r="C157" t="s">
        <v>19</v>
      </c>
      <c r="D157" t="s">
        <v>36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 s="8">
        <v>0.89759999999999995</v>
      </c>
      <c r="K157">
        <v>100000</v>
      </c>
      <c r="L157" s="2">
        <v>45862</v>
      </c>
    </row>
    <row r="158" spans="1:12">
      <c r="A158" t="s">
        <v>308</v>
      </c>
      <c r="B158" t="s">
        <v>152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 s="8">
        <v>0.92930000000000001</v>
      </c>
      <c r="K158">
        <v>110000</v>
      </c>
      <c r="L158" s="2">
        <v>45993</v>
      </c>
    </row>
    <row r="159" spans="1:12">
      <c r="A159" t="s">
        <v>309</v>
      </c>
      <c r="B159" t="s">
        <v>310</v>
      </c>
      <c r="C159" t="s">
        <v>19</v>
      </c>
      <c r="D159" t="s">
        <v>36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 s="8">
        <v>0.82089999999999996</v>
      </c>
      <c r="K159">
        <v>50000</v>
      </c>
      <c r="L159" s="2">
        <v>45788</v>
      </c>
    </row>
    <row r="160" spans="1:12">
      <c r="A160" t="s">
        <v>311</v>
      </c>
      <c r="B160" t="s">
        <v>224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 s="8">
        <v>0.6431</v>
      </c>
      <c r="K160">
        <v>120000</v>
      </c>
      <c r="L160" s="2">
        <v>45606</v>
      </c>
    </row>
    <row r="161" spans="1:12">
      <c r="A161" t="s">
        <v>312</v>
      </c>
      <c r="B161" t="s">
        <v>313</v>
      </c>
      <c r="C161" t="s">
        <v>19</v>
      </c>
      <c r="D161" t="s">
        <v>36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 s="8">
        <v>0.83650000000000002</v>
      </c>
      <c r="K161">
        <v>130000</v>
      </c>
      <c r="L161" s="2">
        <v>46132</v>
      </c>
    </row>
    <row r="162" spans="1:12">
      <c r="A162" t="s">
        <v>314</v>
      </c>
      <c r="B162" t="s">
        <v>315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 s="8">
        <v>0.91639999999999999</v>
      </c>
      <c r="K162">
        <v>100000</v>
      </c>
      <c r="L162" s="2">
        <v>45574</v>
      </c>
    </row>
    <row r="163" spans="1:12">
      <c r="A163" t="s">
        <v>316</v>
      </c>
      <c r="B163" t="s">
        <v>317</v>
      </c>
      <c r="C163" t="s">
        <v>19</v>
      </c>
      <c r="D163" t="s">
        <v>36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 s="8">
        <v>0.74680000000000002</v>
      </c>
      <c r="K163">
        <v>130000</v>
      </c>
      <c r="L163" s="2">
        <v>45936</v>
      </c>
    </row>
    <row r="164" spans="1:12">
      <c r="A164" t="s">
        <v>318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 s="8">
        <v>0.91080000000000005</v>
      </c>
      <c r="K164">
        <v>90000</v>
      </c>
      <c r="L164" s="2">
        <v>45722</v>
      </c>
    </row>
    <row r="165" spans="1:12">
      <c r="A165" t="s">
        <v>319</v>
      </c>
      <c r="B165" t="s">
        <v>320</v>
      </c>
      <c r="C165" t="s">
        <v>14</v>
      </c>
      <c r="D165" t="s">
        <v>36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 s="8">
        <v>0.9526</v>
      </c>
      <c r="K165">
        <v>75000</v>
      </c>
      <c r="L165" s="2">
        <v>45685</v>
      </c>
    </row>
    <row r="166" spans="1:12">
      <c r="A166" t="s">
        <v>321</v>
      </c>
      <c r="B166" t="s">
        <v>285</v>
      </c>
      <c r="C166" t="s">
        <v>14</v>
      </c>
      <c r="D166" t="s">
        <v>53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 s="8">
        <v>0.55000000000000004</v>
      </c>
      <c r="K166">
        <v>90000</v>
      </c>
      <c r="L166" s="2">
        <v>45565</v>
      </c>
    </row>
    <row r="167" spans="1:12">
      <c r="A167" t="s">
        <v>322</v>
      </c>
      <c r="B167" t="s">
        <v>323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 s="8">
        <v>0.86670000000000003</v>
      </c>
      <c r="K167">
        <v>90000</v>
      </c>
      <c r="L167" s="2">
        <v>46166</v>
      </c>
    </row>
    <row r="168" spans="1:12">
      <c r="A168" t="s">
        <v>324</v>
      </c>
      <c r="B168" t="s">
        <v>325</v>
      </c>
      <c r="C168" t="s">
        <v>14</v>
      </c>
      <c r="D168" t="s">
        <v>36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 s="8">
        <v>0.76029999999999998</v>
      </c>
      <c r="K168">
        <v>60000</v>
      </c>
      <c r="L168" s="2">
        <v>45836</v>
      </c>
    </row>
    <row r="169" spans="1:12">
      <c r="A169" t="s">
        <v>326</v>
      </c>
      <c r="B169" t="s">
        <v>88</v>
      </c>
      <c r="C169" t="s">
        <v>14</v>
      </c>
      <c r="D169" t="s">
        <v>53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 s="8">
        <v>0.93049999999999999</v>
      </c>
      <c r="K169">
        <v>70000</v>
      </c>
      <c r="L169" s="2">
        <v>45775</v>
      </c>
    </row>
    <row r="170" spans="1:12">
      <c r="A170" t="s">
        <v>327</v>
      </c>
      <c r="B170" t="s">
        <v>231</v>
      </c>
      <c r="C170" t="s">
        <v>14</v>
      </c>
      <c r="D170" t="s">
        <v>32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 s="8">
        <v>0.85829999999999995</v>
      </c>
      <c r="K170">
        <v>75000</v>
      </c>
      <c r="L170" s="2">
        <v>46054</v>
      </c>
    </row>
    <row r="171" spans="1:12">
      <c r="A171" t="s">
        <v>328</v>
      </c>
      <c r="B171" t="s">
        <v>329</v>
      </c>
      <c r="C171" t="s">
        <v>14</v>
      </c>
      <c r="D171" t="s">
        <v>53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 s="8">
        <v>0.8236</v>
      </c>
      <c r="K171">
        <v>90000</v>
      </c>
      <c r="L171" s="2">
        <v>45563</v>
      </c>
    </row>
    <row r="172" spans="1:12">
      <c r="A172" t="s">
        <v>330</v>
      </c>
      <c r="B172" t="s">
        <v>331</v>
      </c>
      <c r="C172" t="s">
        <v>14</v>
      </c>
      <c r="D172" t="s">
        <v>32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 s="8">
        <v>0.90839999999999999</v>
      </c>
      <c r="K172">
        <v>60000</v>
      </c>
      <c r="L172" s="2">
        <v>45931</v>
      </c>
    </row>
    <row r="173" spans="1:12">
      <c r="A173" t="s">
        <v>332</v>
      </c>
      <c r="B173" t="s">
        <v>161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 s="8">
        <v>0.91259999999999997</v>
      </c>
      <c r="K173">
        <v>110000</v>
      </c>
      <c r="L173" s="2">
        <v>45882</v>
      </c>
    </row>
    <row r="174" spans="1:12">
      <c r="A174" t="s">
        <v>333</v>
      </c>
      <c r="B174" t="s">
        <v>313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 s="8">
        <v>0.94269999999999998</v>
      </c>
      <c r="K174">
        <v>60000</v>
      </c>
      <c r="L174" s="2">
        <v>45923</v>
      </c>
    </row>
    <row r="175" spans="1:12">
      <c r="A175" t="s">
        <v>334</v>
      </c>
      <c r="B175" t="s">
        <v>119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 s="8">
        <v>0.85809999999999997</v>
      </c>
      <c r="K175">
        <v>130000</v>
      </c>
      <c r="L175" s="2">
        <v>45622</v>
      </c>
    </row>
    <row r="176" spans="1:12">
      <c r="A176" t="s">
        <v>335</v>
      </c>
      <c r="B176" t="s">
        <v>104</v>
      </c>
      <c r="C176" t="s">
        <v>19</v>
      </c>
      <c r="D176" t="s">
        <v>53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 s="8">
        <v>0.71509999999999996</v>
      </c>
      <c r="K176">
        <v>100000</v>
      </c>
      <c r="L176" s="2">
        <v>46202</v>
      </c>
    </row>
    <row r="177" spans="1:12">
      <c r="A177" t="s">
        <v>336</v>
      </c>
      <c r="B177" t="s">
        <v>337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 s="8">
        <v>0.93520000000000003</v>
      </c>
      <c r="K177">
        <v>75000</v>
      </c>
      <c r="L177" s="2">
        <v>45702</v>
      </c>
    </row>
    <row r="178" spans="1:12">
      <c r="A178" t="s">
        <v>338</v>
      </c>
      <c r="B178" t="s">
        <v>146</v>
      </c>
      <c r="C178" t="s">
        <v>19</v>
      </c>
      <c r="D178" t="s">
        <v>36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 s="8">
        <v>0.83160000000000001</v>
      </c>
      <c r="K178">
        <v>80000</v>
      </c>
      <c r="L178" s="2">
        <v>46010</v>
      </c>
    </row>
    <row r="179" spans="1:12">
      <c r="A179" t="s">
        <v>339</v>
      </c>
      <c r="B179" t="s">
        <v>340</v>
      </c>
      <c r="C179" t="s">
        <v>14</v>
      </c>
      <c r="D179" t="s">
        <v>36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 s="8">
        <v>0.91769999999999996</v>
      </c>
      <c r="K179">
        <v>100000</v>
      </c>
      <c r="L179" s="2">
        <v>46058</v>
      </c>
    </row>
    <row r="180" spans="1:12">
      <c r="A180" t="s">
        <v>341</v>
      </c>
      <c r="B180" t="s">
        <v>342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 s="8">
        <v>0.77470000000000006</v>
      </c>
      <c r="K180">
        <v>50000</v>
      </c>
      <c r="L180" s="2">
        <v>45776</v>
      </c>
    </row>
    <row r="181" spans="1:12">
      <c r="A181" t="s">
        <v>343</v>
      </c>
      <c r="B181" t="s">
        <v>344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 s="8">
        <v>0.74880000000000002</v>
      </c>
      <c r="K181">
        <v>100000</v>
      </c>
      <c r="L181" s="2">
        <v>45627</v>
      </c>
    </row>
    <row r="182" spans="1:12">
      <c r="A182" t="s">
        <v>345</v>
      </c>
      <c r="B182" t="s">
        <v>346</v>
      </c>
      <c r="C182" t="s">
        <v>19</v>
      </c>
      <c r="D182" t="s">
        <v>53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 s="8">
        <v>0.74060000000000004</v>
      </c>
      <c r="K182">
        <v>90000</v>
      </c>
      <c r="L182" s="2">
        <v>45743</v>
      </c>
    </row>
    <row r="183" spans="1:12">
      <c r="A183" t="s">
        <v>347</v>
      </c>
      <c r="B183" t="s">
        <v>231</v>
      </c>
      <c r="C183" t="s">
        <v>14</v>
      </c>
      <c r="D183" t="s">
        <v>36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 s="8">
        <v>0.88170000000000004</v>
      </c>
      <c r="K183">
        <v>70000</v>
      </c>
      <c r="L183" s="2">
        <v>46100</v>
      </c>
    </row>
    <row r="184" spans="1:12">
      <c r="A184" t="s">
        <v>348</v>
      </c>
      <c r="B184" t="s">
        <v>235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 s="8">
        <v>0.83099999999999996</v>
      </c>
      <c r="K184">
        <v>120000</v>
      </c>
      <c r="L184" s="2">
        <v>46170</v>
      </c>
    </row>
    <row r="185" spans="1:12">
      <c r="A185" t="s">
        <v>349</v>
      </c>
      <c r="B185" t="s">
        <v>270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 s="8">
        <v>0.90920000000000001</v>
      </c>
      <c r="K185">
        <v>90000</v>
      </c>
      <c r="L185" s="2">
        <v>46191</v>
      </c>
    </row>
    <row r="186" spans="1:12">
      <c r="A186" t="s">
        <v>350</v>
      </c>
      <c r="B186" t="s">
        <v>351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 s="8">
        <v>0.89990000000000003</v>
      </c>
      <c r="K186">
        <v>60000</v>
      </c>
      <c r="L186" s="2">
        <v>45694</v>
      </c>
    </row>
    <row r="187" spans="1:12">
      <c r="A187" t="s">
        <v>352</v>
      </c>
      <c r="B187" t="s">
        <v>115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 s="8">
        <v>0.77890000000000004</v>
      </c>
      <c r="K187">
        <v>100000</v>
      </c>
      <c r="L187" s="2">
        <v>45960</v>
      </c>
    </row>
    <row r="188" spans="1:12">
      <c r="A188" t="s">
        <v>353</v>
      </c>
      <c r="B188" t="s">
        <v>354</v>
      </c>
      <c r="C188" t="s">
        <v>14</v>
      </c>
      <c r="D188" t="s">
        <v>53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 s="8">
        <v>0.77200000000000002</v>
      </c>
      <c r="K188">
        <v>80000</v>
      </c>
      <c r="L188" s="2">
        <v>45641</v>
      </c>
    </row>
    <row r="189" spans="1:12">
      <c r="A189" t="s">
        <v>355</v>
      </c>
      <c r="B189" t="s">
        <v>47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 s="8">
        <v>0.83209999999999995</v>
      </c>
      <c r="K189">
        <v>110000</v>
      </c>
      <c r="L189" s="2">
        <v>46033</v>
      </c>
    </row>
    <row r="190" spans="1:12">
      <c r="A190" t="s">
        <v>356</v>
      </c>
      <c r="B190" t="s">
        <v>357</v>
      </c>
      <c r="C190" t="s">
        <v>14</v>
      </c>
      <c r="D190" t="s">
        <v>28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 s="8">
        <v>0.90059999999999996</v>
      </c>
      <c r="K190">
        <v>85000</v>
      </c>
      <c r="L190" s="2">
        <v>45827</v>
      </c>
    </row>
    <row r="191" spans="1:12">
      <c r="A191" t="s">
        <v>358</v>
      </c>
      <c r="B191" t="s">
        <v>359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 s="8">
        <v>0.96360000000000001</v>
      </c>
      <c r="K191">
        <v>130000</v>
      </c>
      <c r="L191" s="2">
        <v>46035</v>
      </c>
    </row>
    <row r="192" spans="1:12">
      <c r="A192" t="s">
        <v>360</v>
      </c>
      <c r="B192" t="s">
        <v>270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 s="8">
        <v>0.6754</v>
      </c>
      <c r="K192">
        <v>130000</v>
      </c>
      <c r="L192" s="2">
        <v>46015</v>
      </c>
    </row>
    <row r="193" spans="1:12">
      <c r="A193" t="s">
        <v>361</v>
      </c>
      <c r="B193" t="s">
        <v>362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 s="8">
        <v>0.97640000000000005</v>
      </c>
      <c r="K193">
        <v>50000</v>
      </c>
      <c r="L193" s="2">
        <v>46230</v>
      </c>
    </row>
    <row r="194" spans="1:12">
      <c r="A194" t="s">
        <v>363</v>
      </c>
      <c r="B194" t="s">
        <v>127</v>
      </c>
      <c r="C194" t="s">
        <v>19</v>
      </c>
      <c r="D194" t="s">
        <v>15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 s="8">
        <v>0.91849999999999998</v>
      </c>
      <c r="K194">
        <v>80000</v>
      </c>
      <c r="L194" s="2">
        <v>45878</v>
      </c>
    </row>
    <row r="195" spans="1:12">
      <c r="A195" t="s">
        <v>364</v>
      </c>
      <c r="B195" t="s">
        <v>100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 s="8">
        <v>0.72919999999999996</v>
      </c>
      <c r="K195">
        <v>70000</v>
      </c>
      <c r="L195" s="2">
        <v>45775</v>
      </c>
    </row>
    <row r="196" spans="1:12">
      <c r="A196" t="s">
        <v>365</v>
      </c>
      <c r="B196" t="s">
        <v>366</v>
      </c>
      <c r="C196" t="s">
        <v>19</v>
      </c>
      <c r="D196" t="s">
        <v>53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 s="8">
        <v>0.76680000000000004</v>
      </c>
      <c r="K196">
        <v>80000</v>
      </c>
      <c r="L196" s="2">
        <v>45904</v>
      </c>
    </row>
    <row r="197" spans="1:12">
      <c r="A197" t="s">
        <v>367</v>
      </c>
      <c r="B197" t="s">
        <v>331</v>
      </c>
      <c r="C197" t="s">
        <v>14</v>
      </c>
      <c r="D197" t="s">
        <v>36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 s="8">
        <v>0.74980000000000002</v>
      </c>
      <c r="K197">
        <v>60000</v>
      </c>
      <c r="L197" s="2">
        <v>45649</v>
      </c>
    </row>
    <row r="198" spans="1:12">
      <c r="A198" t="s">
        <v>368</v>
      </c>
      <c r="B198" t="s">
        <v>283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 s="8">
        <v>0.8337</v>
      </c>
      <c r="K198">
        <v>85000</v>
      </c>
      <c r="L198" s="2">
        <v>45614</v>
      </c>
    </row>
    <row r="199" spans="1:12">
      <c r="A199" t="s">
        <v>369</v>
      </c>
      <c r="B199" t="s">
        <v>370</v>
      </c>
      <c r="C199" t="s">
        <v>14</v>
      </c>
      <c r="D199" t="s">
        <v>32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 s="8">
        <v>0.94599999999999995</v>
      </c>
      <c r="K199">
        <v>60000</v>
      </c>
      <c r="L199" s="2">
        <v>45899</v>
      </c>
    </row>
    <row r="200" spans="1:12">
      <c r="A200" t="s">
        <v>371</v>
      </c>
      <c r="B200" t="s">
        <v>372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 s="8">
        <v>0.93899999999999995</v>
      </c>
      <c r="K200">
        <v>90000</v>
      </c>
      <c r="L200" s="2">
        <v>46113</v>
      </c>
    </row>
    <row r="201" spans="1:12">
      <c r="A201" t="s">
        <v>373</v>
      </c>
      <c r="B201" t="s">
        <v>272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 s="8">
        <v>0.61180000000000001</v>
      </c>
      <c r="K201">
        <v>80000</v>
      </c>
      <c r="L201" s="2">
        <v>45909</v>
      </c>
    </row>
    <row r="202" spans="1:12">
      <c r="A202" t="s">
        <v>374</v>
      </c>
      <c r="B202" t="s">
        <v>194</v>
      </c>
      <c r="C202" t="s">
        <v>14</v>
      </c>
      <c r="D202" t="s">
        <v>15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 s="8">
        <v>0.67989999999999995</v>
      </c>
      <c r="K202">
        <v>130000</v>
      </c>
      <c r="L202" s="2">
        <v>46083</v>
      </c>
    </row>
    <row r="203" spans="1:12">
      <c r="A203" t="s">
        <v>375</v>
      </c>
      <c r="B203" t="s">
        <v>376</v>
      </c>
      <c r="C203" t="s">
        <v>19</v>
      </c>
      <c r="D203" t="s">
        <v>20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 s="8">
        <v>0.74199999999999999</v>
      </c>
      <c r="K203">
        <v>120000</v>
      </c>
      <c r="L203" s="2">
        <v>45660</v>
      </c>
    </row>
    <row r="204" spans="1:12">
      <c r="A204" t="s">
        <v>377</v>
      </c>
      <c r="B204" t="s">
        <v>378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 s="8">
        <v>0.77929999999999999</v>
      </c>
      <c r="K204">
        <v>90000</v>
      </c>
      <c r="L204" s="2">
        <v>45850</v>
      </c>
    </row>
    <row r="205" spans="1:12">
      <c r="A205" t="s">
        <v>379</v>
      </c>
      <c r="B205" t="s">
        <v>380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 s="8">
        <v>0.89129999999999998</v>
      </c>
      <c r="K205">
        <v>80000</v>
      </c>
      <c r="L205" s="2">
        <v>45965</v>
      </c>
    </row>
    <row r="206" spans="1:12">
      <c r="A206" t="s">
        <v>381</v>
      </c>
      <c r="B206" t="s">
        <v>382</v>
      </c>
      <c r="C206" t="s">
        <v>14</v>
      </c>
      <c r="D206" t="s">
        <v>53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 s="8">
        <v>0.57250000000000001</v>
      </c>
      <c r="K206">
        <v>100000</v>
      </c>
      <c r="L206" s="2">
        <v>45779</v>
      </c>
    </row>
    <row r="207" spans="1:12">
      <c r="A207" t="s">
        <v>383</v>
      </c>
      <c r="B207" t="s">
        <v>378</v>
      </c>
      <c r="C207" t="s">
        <v>14</v>
      </c>
      <c r="D207" t="s">
        <v>15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 s="8">
        <v>0.86299999999999999</v>
      </c>
      <c r="K207">
        <v>100000</v>
      </c>
      <c r="L207" s="2">
        <v>45545</v>
      </c>
    </row>
    <row r="208" spans="1:12">
      <c r="A208" t="s">
        <v>384</v>
      </c>
      <c r="B208" t="s">
        <v>129</v>
      </c>
      <c r="C208" t="s">
        <v>19</v>
      </c>
      <c r="D208" t="s">
        <v>15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 s="8">
        <v>0.97829999999999995</v>
      </c>
      <c r="K208">
        <v>60000</v>
      </c>
      <c r="L208" s="2">
        <v>45587</v>
      </c>
    </row>
    <row r="209" spans="1:12">
      <c r="A209" t="s">
        <v>385</v>
      </c>
      <c r="B209" t="s">
        <v>386</v>
      </c>
      <c r="C209" t="s">
        <v>19</v>
      </c>
      <c r="D209" t="s">
        <v>28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 s="8">
        <v>0.98960000000000004</v>
      </c>
      <c r="K209">
        <v>80000</v>
      </c>
      <c r="L209" s="2">
        <v>46185</v>
      </c>
    </row>
    <row r="210" spans="1:12">
      <c r="A210" t="s">
        <v>387</v>
      </c>
      <c r="B210" t="s">
        <v>388</v>
      </c>
      <c r="C210" t="s">
        <v>14</v>
      </c>
      <c r="D210" t="s">
        <v>53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 s="8">
        <v>0.90839999999999999</v>
      </c>
      <c r="K210">
        <v>130000</v>
      </c>
      <c r="L210" s="2">
        <v>45959</v>
      </c>
    </row>
    <row r="211" spans="1:12">
      <c r="A211" t="s">
        <v>389</v>
      </c>
      <c r="B211" t="s">
        <v>31</v>
      </c>
      <c r="C211" t="s">
        <v>19</v>
      </c>
      <c r="D211" t="s">
        <v>53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 s="8">
        <v>0.64800000000000002</v>
      </c>
      <c r="K211">
        <v>75000</v>
      </c>
      <c r="L211" s="2">
        <v>45721</v>
      </c>
    </row>
    <row r="212" spans="1:12">
      <c r="A212" t="s">
        <v>390</v>
      </c>
      <c r="B212" t="s">
        <v>161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 s="8">
        <v>0.79520000000000002</v>
      </c>
      <c r="K212">
        <v>50000</v>
      </c>
      <c r="L212" s="2">
        <v>45717</v>
      </c>
    </row>
    <row r="213" spans="1:12">
      <c r="A213" t="s">
        <v>391</v>
      </c>
      <c r="B213" t="s">
        <v>392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 s="8">
        <v>0.76449999999999996</v>
      </c>
      <c r="K213">
        <v>120000</v>
      </c>
      <c r="L213" s="2">
        <v>45563</v>
      </c>
    </row>
    <row r="214" spans="1:12">
      <c r="A214" t="s">
        <v>393</v>
      </c>
      <c r="B214" t="s">
        <v>113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 s="8">
        <v>0.84589999999999999</v>
      </c>
      <c r="K214">
        <v>130000</v>
      </c>
      <c r="L214" s="2">
        <v>46197</v>
      </c>
    </row>
    <row r="215" spans="1:12">
      <c r="A215" t="s">
        <v>394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 s="8">
        <v>0.97270000000000001</v>
      </c>
      <c r="K215">
        <v>100000</v>
      </c>
      <c r="L215" s="2">
        <v>45611</v>
      </c>
    </row>
    <row r="216" spans="1:12">
      <c r="A216" t="s">
        <v>395</v>
      </c>
      <c r="B216" t="s">
        <v>81</v>
      </c>
      <c r="C216" t="s">
        <v>19</v>
      </c>
      <c r="D216" t="s">
        <v>36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 s="8">
        <v>0.89070000000000005</v>
      </c>
      <c r="K216">
        <v>90000</v>
      </c>
      <c r="L216" s="2">
        <v>46067</v>
      </c>
    </row>
    <row r="217" spans="1:12">
      <c r="A217" t="s">
        <v>396</v>
      </c>
      <c r="B217" t="s">
        <v>92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 s="8">
        <v>0.79590000000000005</v>
      </c>
      <c r="K217">
        <v>75000</v>
      </c>
      <c r="L217" s="2">
        <v>45704</v>
      </c>
    </row>
    <row r="218" spans="1:12">
      <c r="A218" t="s">
        <v>397</v>
      </c>
      <c r="B218" t="s">
        <v>133</v>
      </c>
      <c r="C218" t="s">
        <v>14</v>
      </c>
      <c r="D218" t="s">
        <v>28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 s="8">
        <v>0.55000000000000004</v>
      </c>
      <c r="K218">
        <v>75000</v>
      </c>
      <c r="L218" s="2">
        <v>45770</v>
      </c>
    </row>
    <row r="219" spans="1:12">
      <c r="A219" t="s">
        <v>398</v>
      </c>
      <c r="B219" t="s">
        <v>274</v>
      </c>
      <c r="C219" t="s">
        <v>14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 s="8">
        <v>0.92500000000000004</v>
      </c>
      <c r="K219">
        <v>130000</v>
      </c>
      <c r="L219" s="2">
        <v>45727</v>
      </c>
    </row>
    <row r="220" spans="1:12">
      <c r="A220" t="s">
        <v>399</v>
      </c>
      <c r="B220" t="s">
        <v>372</v>
      </c>
      <c r="C220" t="s">
        <v>14</v>
      </c>
      <c r="D220" t="s">
        <v>36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 s="8">
        <v>0.86780000000000002</v>
      </c>
      <c r="K220">
        <v>120000</v>
      </c>
      <c r="L220" s="2">
        <v>46113</v>
      </c>
    </row>
    <row r="221" spans="1:12">
      <c r="A221" t="s">
        <v>400</v>
      </c>
      <c r="B221" t="s">
        <v>173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 s="8">
        <v>0.7833</v>
      </c>
      <c r="K221">
        <v>85000</v>
      </c>
      <c r="L221" s="2">
        <v>45558</v>
      </c>
    </row>
    <row r="222" spans="1:12">
      <c r="A222" t="s">
        <v>401</v>
      </c>
      <c r="B222" t="s">
        <v>331</v>
      </c>
      <c r="C222" t="s">
        <v>14</v>
      </c>
      <c r="D222" t="s">
        <v>20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 s="8">
        <v>0.71450000000000002</v>
      </c>
      <c r="K222">
        <v>75000</v>
      </c>
      <c r="L222" s="2">
        <v>45782</v>
      </c>
    </row>
    <row r="223" spans="1:12">
      <c r="A223" t="s">
        <v>402</v>
      </c>
      <c r="B223" t="s">
        <v>202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 s="8">
        <v>0.59699999999999998</v>
      </c>
      <c r="K223">
        <v>70000</v>
      </c>
      <c r="L223" s="2">
        <v>45731</v>
      </c>
    </row>
    <row r="224" spans="1:12">
      <c r="A224" t="s">
        <v>403</v>
      </c>
      <c r="B224" t="s">
        <v>404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 s="8">
        <v>0.76500000000000001</v>
      </c>
      <c r="K224">
        <v>50000</v>
      </c>
      <c r="L224" s="2">
        <v>45727</v>
      </c>
    </row>
    <row r="225" spans="1:12">
      <c r="A225" t="s">
        <v>405</v>
      </c>
      <c r="B225" t="s">
        <v>406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 s="8">
        <v>0.86499999999999999</v>
      </c>
      <c r="K225">
        <v>85000</v>
      </c>
      <c r="L225" s="2">
        <v>45671</v>
      </c>
    </row>
    <row r="226" spans="1:12">
      <c r="A226" t="s">
        <v>407</v>
      </c>
      <c r="B226" t="s">
        <v>408</v>
      </c>
      <c r="C226" t="s">
        <v>19</v>
      </c>
      <c r="D226" t="s">
        <v>53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 s="8">
        <v>0.94030000000000002</v>
      </c>
      <c r="K226">
        <v>90000</v>
      </c>
      <c r="L226" s="2">
        <v>46174</v>
      </c>
    </row>
    <row r="227" spans="1:12">
      <c r="A227" t="s">
        <v>409</v>
      </c>
      <c r="B227" t="s">
        <v>410</v>
      </c>
      <c r="C227" t="s">
        <v>14</v>
      </c>
      <c r="D227" t="s">
        <v>32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 s="8">
        <v>0.67549999999999999</v>
      </c>
      <c r="K227">
        <v>100000</v>
      </c>
      <c r="L227" s="2">
        <v>45801</v>
      </c>
    </row>
    <row r="228" spans="1:12">
      <c r="A228" t="s">
        <v>411</v>
      </c>
      <c r="B228" t="s">
        <v>412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 s="8">
        <v>0.9395</v>
      </c>
      <c r="K228">
        <v>110000</v>
      </c>
      <c r="L228" s="2">
        <v>45828</v>
      </c>
    </row>
    <row r="229" spans="1:12">
      <c r="A229" t="s">
        <v>413</v>
      </c>
      <c r="B229" t="s">
        <v>229</v>
      </c>
      <c r="C229" t="s">
        <v>19</v>
      </c>
      <c r="D229" t="s">
        <v>32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 s="8">
        <v>0.79869999999999997</v>
      </c>
      <c r="K229">
        <v>80000</v>
      </c>
      <c r="L229" s="2">
        <v>45805</v>
      </c>
    </row>
    <row r="230" spans="1:12">
      <c r="A230" t="s">
        <v>414</v>
      </c>
      <c r="B230" t="s">
        <v>415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 s="8">
        <v>0.64900000000000002</v>
      </c>
      <c r="K230">
        <v>60000</v>
      </c>
      <c r="L230" s="2">
        <v>46222</v>
      </c>
    </row>
    <row r="231" spans="1:12">
      <c r="A231" t="s">
        <v>416</v>
      </c>
      <c r="B231" t="s">
        <v>417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 s="8">
        <v>0.79449999999999998</v>
      </c>
      <c r="K231">
        <v>120000</v>
      </c>
      <c r="L231" s="2">
        <v>45773</v>
      </c>
    </row>
    <row r="232" spans="1:12">
      <c r="A232" t="s">
        <v>418</v>
      </c>
      <c r="B232" t="s">
        <v>35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 s="8">
        <v>0.94510000000000005</v>
      </c>
      <c r="K232">
        <v>110000</v>
      </c>
      <c r="L232" s="2">
        <v>45775</v>
      </c>
    </row>
    <row r="233" spans="1:12">
      <c r="A233" t="s">
        <v>419</v>
      </c>
      <c r="B233" t="s">
        <v>420</v>
      </c>
      <c r="C233" t="s">
        <v>19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 s="8">
        <v>0.75680000000000003</v>
      </c>
      <c r="K233">
        <v>85000</v>
      </c>
      <c r="L233" s="2">
        <v>45765</v>
      </c>
    </row>
    <row r="234" spans="1:12">
      <c r="A234" t="s">
        <v>421</v>
      </c>
      <c r="B234" t="s">
        <v>135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 s="8">
        <v>0.55000000000000004</v>
      </c>
      <c r="K234">
        <v>50000</v>
      </c>
      <c r="L234" s="2">
        <v>45764</v>
      </c>
    </row>
    <row r="235" spans="1:12">
      <c r="A235" t="s">
        <v>422</v>
      </c>
      <c r="B235" t="s">
        <v>423</v>
      </c>
      <c r="C235" t="s">
        <v>19</v>
      </c>
      <c r="D235" t="s">
        <v>20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 s="8">
        <v>0.90759999999999996</v>
      </c>
      <c r="K235">
        <v>85000</v>
      </c>
      <c r="L235" s="2">
        <v>45598</v>
      </c>
    </row>
    <row r="236" spans="1:12">
      <c r="A236" t="s">
        <v>424</v>
      </c>
      <c r="B236" t="s">
        <v>425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 s="8">
        <v>0.59889999999999999</v>
      </c>
      <c r="K236">
        <v>90000</v>
      </c>
      <c r="L236" s="2">
        <v>45958</v>
      </c>
    </row>
    <row r="237" spans="1:12">
      <c r="A237" t="s">
        <v>426</v>
      </c>
      <c r="B237" t="s">
        <v>301</v>
      </c>
      <c r="C237" t="s">
        <v>19</v>
      </c>
      <c r="D237" t="s">
        <v>36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 s="8">
        <v>0.69740000000000002</v>
      </c>
      <c r="K237">
        <v>120000</v>
      </c>
      <c r="L237" s="2">
        <v>45553</v>
      </c>
    </row>
    <row r="238" spans="1:12">
      <c r="A238" t="s">
        <v>427</v>
      </c>
      <c r="B238" t="s">
        <v>428</v>
      </c>
      <c r="C238" t="s">
        <v>19</v>
      </c>
      <c r="D238" t="s">
        <v>53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 s="8">
        <v>0.77359999999999995</v>
      </c>
      <c r="K238">
        <v>85000</v>
      </c>
      <c r="L238" s="2">
        <v>45694</v>
      </c>
    </row>
    <row r="239" spans="1:12">
      <c r="A239" t="s">
        <v>429</v>
      </c>
      <c r="B239" t="s">
        <v>354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 s="8">
        <v>0.91810000000000003</v>
      </c>
      <c r="K239">
        <v>85000</v>
      </c>
      <c r="L239" s="2">
        <v>45677</v>
      </c>
    </row>
    <row r="240" spans="1:12">
      <c r="A240" t="s">
        <v>430</v>
      </c>
      <c r="B240" t="s">
        <v>431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 s="8">
        <v>0.8478</v>
      </c>
      <c r="K240">
        <v>80000</v>
      </c>
      <c r="L240" s="2">
        <v>45740</v>
      </c>
    </row>
    <row r="241" spans="1:12">
      <c r="A241" t="s">
        <v>432</v>
      </c>
      <c r="B241" t="s">
        <v>433</v>
      </c>
      <c r="C241" t="s">
        <v>19</v>
      </c>
      <c r="D241" t="s">
        <v>36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 s="8">
        <v>0.93389999999999995</v>
      </c>
      <c r="K241">
        <v>80000</v>
      </c>
      <c r="L241" s="2">
        <v>46065</v>
      </c>
    </row>
    <row r="242" spans="1:12">
      <c r="A242" t="s">
        <v>434</v>
      </c>
      <c r="B242" t="s">
        <v>285</v>
      </c>
      <c r="C242" t="s">
        <v>14</v>
      </c>
      <c r="D242" t="s">
        <v>28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 s="8">
        <v>0.80379999999999996</v>
      </c>
      <c r="K242">
        <v>50000</v>
      </c>
      <c r="L242" s="2">
        <v>45955</v>
      </c>
    </row>
    <row r="243" spans="1:12">
      <c r="A243" t="s">
        <v>435</v>
      </c>
      <c r="B243" t="s">
        <v>436</v>
      </c>
      <c r="C243" t="s">
        <v>19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 s="8">
        <v>0.72509999999999997</v>
      </c>
      <c r="K243">
        <v>60000</v>
      </c>
      <c r="L243" s="2">
        <v>46229</v>
      </c>
    </row>
    <row r="244" spans="1:12">
      <c r="A244" t="s">
        <v>437</v>
      </c>
      <c r="B244" t="s">
        <v>139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 s="8">
        <v>0.87749999999999995</v>
      </c>
      <c r="K244">
        <v>110000</v>
      </c>
      <c r="L244" s="2">
        <v>45781</v>
      </c>
    </row>
    <row r="245" spans="1:12">
      <c r="A245" t="s">
        <v>438</v>
      </c>
      <c r="B245" t="s">
        <v>317</v>
      </c>
      <c r="C245" t="s">
        <v>19</v>
      </c>
      <c r="D245" t="s">
        <v>53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 s="8">
        <v>0.79690000000000005</v>
      </c>
      <c r="K245">
        <v>75000</v>
      </c>
      <c r="L245" s="2">
        <v>46185</v>
      </c>
    </row>
    <row r="246" spans="1:12">
      <c r="A246" t="s">
        <v>439</v>
      </c>
      <c r="B246" t="s">
        <v>111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 s="8">
        <v>0.76190000000000002</v>
      </c>
      <c r="K246">
        <v>120000</v>
      </c>
      <c r="L246" s="2">
        <v>45567</v>
      </c>
    </row>
    <row r="247" spans="1:12">
      <c r="A247" t="s">
        <v>440</v>
      </c>
      <c r="B247" t="s">
        <v>139</v>
      </c>
      <c r="C247" t="s">
        <v>14</v>
      </c>
      <c r="D247" t="s">
        <v>20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 s="8">
        <v>0.95069999999999999</v>
      </c>
      <c r="K247">
        <v>80000</v>
      </c>
      <c r="L247" s="2">
        <v>45888</v>
      </c>
    </row>
    <row r="248" spans="1:12">
      <c r="A248" t="s">
        <v>441</v>
      </c>
      <c r="B248" t="s">
        <v>442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 s="8">
        <v>0.84540000000000004</v>
      </c>
      <c r="K248">
        <v>130000</v>
      </c>
      <c r="L248" s="2">
        <v>46095</v>
      </c>
    </row>
    <row r="249" spans="1:12">
      <c r="A249" t="s">
        <v>443</v>
      </c>
      <c r="B249" t="s">
        <v>444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 s="8">
        <v>0.92369999999999997</v>
      </c>
      <c r="K249">
        <v>60000</v>
      </c>
      <c r="L249" s="2">
        <v>45908</v>
      </c>
    </row>
    <row r="250" spans="1:12">
      <c r="A250" t="s">
        <v>445</v>
      </c>
      <c r="B250" t="s">
        <v>301</v>
      </c>
      <c r="C250" t="s">
        <v>19</v>
      </c>
      <c r="D250" t="s">
        <v>28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 s="8">
        <v>0.87739999999999996</v>
      </c>
      <c r="K250">
        <v>70000</v>
      </c>
      <c r="L250" s="2">
        <v>46189</v>
      </c>
    </row>
    <row r="251" spans="1:12">
      <c r="A251" t="s">
        <v>446</v>
      </c>
      <c r="B251" t="s">
        <v>231</v>
      </c>
      <c r="C251" t="s">
        <v>14</v>
      </c>
      <c r="D251" t="s">
        <v>36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 s="8">
        <v>0.94869999999999999</v>
      </c>
      <c r="K251">
        <v>90000</v>
      </c>
      <c r="L251" s="2">
        <v>45756</v>
      </c>
    </row>
    <row r="252" spans="1:12">
      <c r="A252" t="s">
        <v>447</v>
      </c>
      <c r="B252" t="s">
        <v>431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 s="8">
        <v>0.83479999999999999</v>
      </c>
      <c r="K252">
        <v>110000</v>
      </c>
      <c r="L252" s="2">
        <v>45559</v>
      </c>
    </row>
    <row r="253" spans="1:12">
      <c r="A253" t="s">
        <v>448</v>
      </c>
      <c r="B253" t="s">
        <v>449</v>
      </c>
      <c r="C253" t="s">
        <v>14</v>
      </c>
      <c r="D253" t="s">
        <v>53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 s="8">
        <v>0.91059999999999997</v>
      </c>
      <c r="K253">
        <v>60000</v>
      </c>
      <c r="L253" s="2">
        <v>46077</v>
      </c>
    </row>
    <row r="254" spans="1:12">
      <c r="A254" t="s">
        <v>450</v>
      </c>
      <c r="B254" t="s">
        <v>451</v>
      </c>
      <c r="C254" t="s">
        <v>14</v>
      </c>
      <c r="D254" t="s">
        <v>53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 s="8">
        <v>0.94679999999999997</v>
      </c>
      <c r="K254">
        <v>85000</v>
      </c>
      <c r="L254" s="2">
        <v>45583</v>
      </c>
    </row>
    <row r="255" spans="1:12">
      <c r="A255" t="s">
        <v>452</v>
      </c>
      <c r="B255" t="s">
        <v>453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 s="8">
        <v>0.68320000000000003</v>
      </c>
      <c r="K255">
        <v>70000</v>
      </c>
      <c r="L255" s="2">
        <v>46071</v>
      </c>
    </row>
    <row r="256" spans="1:12">
      <c r="A256" t="s">
        <v>454</v>
      </c>
      <c r="B256" t="s">
        <v>455</v>
      </c>
      <c r="C256" t="s">
        <v>19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 s="8">
        <v>0.96360000000000001</v>
      </c>
      <c r="K256">
        <v>110000</v>
      </c>
      <c r="L256" s="2">
        <v>46049</v>
      </c>
    </row>
    <row r="257" spans="1:12">
      <c r="A257" t="s">
        <v>456</v>
      </c>
      <c r="B257" t="s">
        <v>451</v>
      </c>
      <c r="C257" t="s">
        <v>14</v>
      </c>
      <c r="D257" t="s">
        <v>15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 s="8">
        <v>0.63129999999999997</v>
      </c>
      <c r="K257">
        <v>90000</v>
      </c>
      <c r="L257" s="2">
        <v>46126</v>
      </c>
    </row>
    <row r="258" spans="1:12">
      <c r="A258" t="s">
        <v>457</v>
      </c>
      <c r="B258" t="s">
        <v>458</v>
      </c>
      <c r="C258" t="s">
        <v>19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 s="8">
        <v>0.92749999999999999</v>
      </c>
      <c r="K258">
        <v>100000</v>
      </c>
      <c r="L258" s="2">
        <v>45871</v>
      </c>
    </row>
    <row r="259" spans="1:12">
      <c r="A259" t="s">
        <v>459</v>
      </c>
      <c r="B259" t="s">
        <v>460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 s="8">
        <v>0.79310000000000003</v>
      </c>
      <c r="K259">
        <v>70000</v>
      </c>
      <c r="L259" s="2">
        <v>46162</v>
      </c>
    </row>
    <row r="260" spans="1:12">
      <c r="A260" t="s">
        <v>461</v>
      </c>
      <c r="B260" t="s">
        <v>285</v>
      </c>
      <c r="C260" t="s">
        <v>14</v>
      </c>
      <c r="D260" t="s">
        <v>28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 s="8">
        <v>0.97809999999999997</v>
      </c>
      <c r="K260">
        <v>75000</v>
      </c>
      <c r="L260" s="2">
        <v>45654</v>
      </c>
    </row>
    <row r="261" spans="1:12">
      <c r="A261" t="s">
        <v>462</v>
      </c>
      <c r="B261" t="s">
        <v>310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 s="8">
        <v>0.82909999999999995</v>
      </c>
      <c r="K261">
        <v>100000</v>
      </c>
      <c r="L261" s="2">
        <v>45840</v>
      </c>
    </row>
    <row r="262" spans="1:12">
      <c r="A262" t="s">
        <v>463</v>
      </c>
      <c r="B262" t="s">
        <v>464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 s="8">
        <v>0.83850000000000002</v>
      </c>
      <c r="K262">
        <v>75000</v>
      </c>
      <c r="L262" s="2">
        <v>45621</v>
      </c>
    </row>
    <row r="263" spans="1:12">
      <c r="A263" t="s">
        <v>465</v>
      </c>
      <c r="B263" t="s">
        <v>410</v>
      </c>
      <c r="C263" t="s">
        <v>14</v>
      </c>
      <c r="D263" t="s">
        <v>36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 s="8">
        <v>0.92810000000000004</v>
      </c>
      <c r="K263">
        <v>100000</v>
      </c>
      <c r="L263" s="2">
        <v>46072</v>
      </c>
    </row>
    <row r="264" spans="1:12">
      <c r="A264" t="s">
        <v>466</v>
      </c>
      <c r="B264" t="s">
        <v>467</v>
      </c>
      <c r="C264" t="s">
        <v>14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 s="8">
        <v>0.82140000000000002</v>
      </c>
      <c r="K264">
        <v>60000</v>
      </c>
      <c r="L264" s="2">
        <v>46035</v>
      </c>
    </row>
    <row r="265" spans="1:12">
      <c r="A265" t="s">
        <v>468</v>
      </c>
      <c r="B265" t="s">
        <v>469</v>
      </c>
      <c r="C265" t="s">
        <v>19</v>
      </c>
      <c r="D265" t="s">
        <v>53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 s="8">
        <v>0.93889999999999996</v>
      </c>
      <c r="K265">
        <v>75000</v>
      </c>
      <c r="L265" s="2">
        <v>46100</v>
      </c>
    </row>
    <row r="266" spans="1:12">
      <c r="A266" t="s">
        <v>470</v>
      </c>
      <c r="B266" t="s">
        <v>471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 s="8">
        <v>0.98360000000000003</v>
      </c>
      <c r="K266">
        <v>60000</v>
      </c>
      <c r="L266" s="2">
        <v>46071</v>
      </c>
    </row>
    <row r="267" spans="1:12">
      <c r="A267" t="s">
        <v>472</v>
      </c>
      <c r="B267" t="s">
        <v>98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 s="8">
        <v>0.98909999999999998</v>
      </c>
      <c r="K267">
        <v>50000</v>
      </c>
      <c r="L267" s="2">
        <v>45751</v>
      </c>
    </row>
    <row r="268" spans="1:12">
      <c r="A268" t="s">
        <v>473</v>
      </c>
      <c r="B268" t="s">
        <v>474</v>
      </c>
      <c r="C268" t="s">
        <v>14</v>
      </c>
      <c r="D268" t="s">
        <v>15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 s="8">
        <v>0.9153</v>
      </c>
      <c r="K268">
        <v>70000</v>
      </c>
      <c r="L268" s="2">
        <v>45583</v>
      </c>
    </row>
    <row r="269" spans="1:12">
      <c r="A269" t="s">
        <v>475</v>
      </c>
      <c r="B269" t="s">
        <v>88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 s="8">
        <v>0.67179999999999995</v>
      </c>
      <c r="K269">
        <v>85000</v>
      </c>
      <c r="L269" s="2">
        <v>46186</v>
      </c>
    </row>
    <row r="270" spans="1:12">
      <c r="A270" t="s">
        <v>476</v>
      </c>
      <c r="B270" t="s">
        <v>477</v>
      </c>
      <c r="C270" t="s">
        <v>19</v>
      </c>
      <c r="D270" t="s">
        <v>53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 s="8">
        <v>0.81479999999999997</v>
      </c>
      <c r="K270">
        <v>60000</v>
      </c>
      <c r="L270" s="2">
        <v>45880</v>
      </c>
    </row>
    <row r="271" spans="1:12">
      <c r="A271" t="s">
        <v>478</v>
      </c>
      <c r="B271" t="s">
        <v>479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 s="8">
        <v>0.55000000000000004</v>
      </c>
      <c r="K271">
        <v>60000</v>
      </c>
      <c r="L271" s="2">
        <v>45602</v>
      </c>
    </row>
    <row r="272" spans="1:12">
      <c r="A272" t="s">
        <v>480</v>
      </c>
      <c r="B272" t="s">
        <v>88</v>
      </c>
      <c r="C272" t="s">
        <v>14</v>
      </c>
      <c r="D272" t="s">
        <v>53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 s="8">
        <v>0.83330000000000004</v>
      </c>
      <c r="K272">
        <v>120000</v>
      </c>
      <c r="L272" s="2">
        <v>46184</v>
      </c>
    </row>
    <row r="273" spans="1:12">
      <c r="A273" t="s">
        <v>481</v>
      </c>
      <c r="B273" t="s">
        <v>482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 s="8">
        <v>0.84279999999999999</v>
      </c>
      <c r="K273">
        <v>85000</v>
      </c>
      <c r="L273" s="2">
        <v>46231</v>
      </c>
    </row>
    <row r="274" spans="1:12">
      <c r="A274" t="s">
        <v>483</v>
      </c>
      <c r="B274" t="s">
        <v>135</v>
      </c>
      <c r="C274" t="s">
        <v>14</v>
      </c>
      <c r="D274" t="s">
        <v>53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 s="8">
        <v>0.55000000000000004</v>
      </c>
      <c r="K274">
        <v>100000</v>
      </c>
      <c r="L274" s="2">
        <v>45847</v>
      </c>
    </row>
    <row r="275" spans="1:12">
      <c r="A275" t="s">
        <v>484</v>
      </c>
      <c r="B275" t="s">
        <v>485</v>
      </c>
      <c r="C275" t="s">
        <v>19</v>
      </c>
      <c r="D275" t="s">
        <v>36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 s="8">
        <v>0.62019999999999997</v>
      </c>
      <c r="K275">
        <v>100000</v>
      </c>
      <c r="L275" s="2">
        <v>46075</v>
      </c>
    </row>
    <row r="276" spans="1:12">
      <c r="A276" t="s">
        <v>486</v>
      </c>
      <c r="B276" t="s">
        <v>155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 s="8">
        <v>0.88829999999999998</v>
      </c>
      <c r="K276">
        <v>60000</v>
      </c>
      <c r="L276" s="2">
        <v>45561</v>
      </c>
    </row>
    <row r="277" spans="1:12">
      <c r="A277" t="s">
        <v>487</v>
      </c>
      <c r="B277" t="s">
        <v>453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 s="8">
        <v>0.60209999999999997</v>
      </c>
      <c r="K277">
        <v>90000</v>
      </c>
      <c r="L277" s="2">
        <v>45601</v>
      </c>
    </row>
    <row r="278" spans="1:12">
      <c r="A278" t="s">
        <v>488</v>
      </c>
      <c r="B278" t="s">
        <v>382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 s="8">
        <v>0.83730000000000004</v>
      </c>
      <c r="K278">
        <v>120000</v>
      </c>
      <c r="L278" s="2">
        <v>45729</v>
      </c>
    </row>
    <row r="279" spans="1:12">
      <c r="A279" t="s">
        <v>489</v>
      </c>
      <c r="B279" t="s">
        <v>490</v>
      </c>
      <c r="C279" t="s">
        <v>19</v>
      </c>
      <c r="D279" t="s">
        <v>53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 s="8">
        <v>0.85229999999999995</v>
      </c>
      <c r="K279">
        <v>80000</v>
      </c>
      <c r="L279" s="2">
        <v>45995</v>
      </c>
    </row>
    <row r="280" spans="1:12">
      <c r="A280" t="s">
        <v>491</v>
      </c>
      <c r="B280" t="s">
        <v>492</v>
      </c>
      <c r="C280" t="s">
        <v>14</v>
      </c>
      <c r="D280" t="s">
        <v>53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 s="8">
        <v>0.82589999999999997</v>
      </c>
      <c r="K280">
        <v>120000</v>
      </c>
      <c r="L280" s="2">
        <v>45629</v>
      </c>
    </row>
    <row r="281" spans="1:12">
      <c r="A281" t="s">
        <v>493</v>
      </c>
      <c r="B281" t="s">
        <v>494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 s="8">
        <v>0.88490000000000002</v>
      </c>
      <c r="K281">
        <v>130000</v>
      </c>
      <c r="L281" s="2">
        <v>45559</v>
      </c>
    </row>
    <row r="282" spans="1:12">
      <c r="A282" t="s">
        <v>495</v>
      </c>
      <c r="B282" t="s">
        <v>496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 s="8">
        <v>0.95240000000000002</v>
      </c>
      <c r="K282">
        <v>90000</v>
      </c>
      <c r="L282" s="2">
        <v>46004</v>
      </c>
    </row>
    <row r="283" spans="1:12">
      <c r="A283" t="s">
        <v>497</v>
      </c>
      <c r="B283" t="s">
        <v>453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 s="8">
        <v>0.74180000000000001</v>
      </c>
      <c r="K283">
        <v>60000</v>
      </c>
      <c r="L283" s="2">
        <v>46075</v>
      </c>
    </row>
    <row r="284" spans="1:12">
      <c r="A284" t="s">
        <v>498</v>
      </c>
      <c r="B284" t="s">
        <v>146</v>
      </c>
      <c r="C284" t="s">
        <v>19</v>
      </c>
      <c r="D284" t="s">
        <v>20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 s="8">
        <v>0.95789999999999997</v>
      </c>
      <c r="K284">
        <v>90000</v>
      </c>
      <c r="L284" s="2">
        <v>46053</v>
      </c>
    </row>
    <row r="285" spans="1:12">
      <c r="A285" t="s">
        <v>499</v>
      </c>
      <c r="B285" t="s">
        <v>500</v>
      </c>
      <c r="C285" t="s">
        <v>14</v>
      </c>
      <c r="D285" t="s">
        <v>53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 s="8">
        <v>0.71940000000000004</v>
      </c>
      <c r="K285">
        <v>120000</v>
      </c>
      <c r="L285" s="2">
        <v>46095</v>
      </c>
    </row>
    <row r="286" spans="1:12">
      <c r="A286" t="s">
        <v>501</v>
      </c>
      <c r="B286" t="s">
        <v>288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 s="8">
        <v>0.91659999999999997</v>
      </c>
      <c r="K286">
        <v>90000</v>
      </c>
      <c r="L286" s="2">
        <v>46097</v>
      </c>
    </row>
    <row r="287" spans="1:12">
      <c r="A287" t="s">
        <v>502</v>
      </c>
      <c r="B287" t="s">
        <v>433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 s="8">
        <v>0.83550000000000002</v>
      </c>
      <c r="K287">
        <v>110000</v>
      </c>
      <c r="L287" s="2">
        <v>45957</v>
      </c>
    </row>
    <row r="288" spans="1:12">
      <c r="A288" t="s">
        <v>503</v>
      </c>
      <c r="B288" t="s">
        <v>370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 s="8">
        <v>0.67620000000000002</v>
      </c>
      <c r="K288">
        <v>85000</v>
      </c>
      <c r="L288" s="2">
        <v>45899</v>
      </c>
    </row>
    <row r="289" spans="1:12">
      <c r="A289" t="s">
        <v>504</v>
      </c>
      <c r="B289" t="s">
        <v>55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 s="8">
        <v>0.59109999999999996</v>
      </c>
      <c r="K289">
        <v>80000</v>
      </c>
      <c r="L289" s="2">
        <v>46135</v>
      </c>
    </row>
    <row r="290" spans="1:12">
      <c r="A290" t="s">
        <v>505</v>
      </c>
      <c r="B290" t="s">
        <v>506</v>
      </c>
      <c r="C290" t="s">
        <v>19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 s="8">
        <v>0.91249999999999998</v>
      </c>
      <c r="K290">
        <v>130000</v>
      </c>
      <c r="L290" s="2">
        <v>45779</v>
      </c>
    </row>
    <row r="291" spans="1:12">
      <c r="A291" t="s">
        <v>507</v>
      </c>
      <c r="B291" t="s">
        <v>161</v>
      </c>
      <c r="C291" t="s">
        <v>14</v>
      </c>
      <c r="D291" t="s">
        <v>53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 s="8">
        <v>0.84230000000000005</v>
      </c>
      <c r="K291">
        <v>60000</v>
      </c>
      <c r="L291" s="2">
        <v>45604</v>
      </c>
    </row>
    <row r="292" spans="1:12">
      <c r="A292" t="s">
        <v>508</v>
      </c>
      <c r="B292" t="s">
        <v>509</v>
      </c>
      <c r="C292" t="s">
        <v>19</v>
      </c>
      <c r="D292" t="s">
        <v>36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 s="8">
        <v>0.83460000000000001</v>
      </c>
      <c r="K292">
        <v>80000</v>
      </c>
      <c r="L292" s="2">
        <v>46062</v>
      </c>
    </row>
    <row r="293" spans="1:12">
      <c r="A293" t="s">
        <v>510</v>
      </c>
      <c r="B293" t="s">
        <v>511</v>
      </c>
      <c r="C293" t="s">
        <v>14</v>
      </c>
      <c r="D293" t="s">
        <v>53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 s="8">
        <v>0.88360000000000005</v>
      </c>
      <c r="K293">
        <v>60000</v>
      </c>
      <c r="L293" s="2">
        <v>45729</v>
      </c>
    </row>
    <row r="294" spans="1:12">
      <c r="A294" t="s">
        <v>512</v>
      </c>
      <c r="B294" t="s">
        <v>113</v>
      </c>
      <c r="C294" t="s">
        <v>19</v>
      </c>
      <c r="D294" t="s">
        <v>20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 s="8">
        <v>0.89810000000000001</v>
      </c>
      <c r="K294">
        <v>100000</v>
      </c>
      <c r="L294" s="2">
        <v>46221</v>
      </c>
    </row>
    <row r="295" spans="1:12">
      <c r="A295" t="s">
        <v>513</v>
      </c>
      <c r="B295" t="s">
        <v>514</v>
      </c>
      <c r="C295" t="s">
        <v>14</v>
      </c>
      <c r="D295" t="s">
        <v>36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 s="8">
        <v>0.92490000000000006</v>
      </c>
      <c r="K295">
        <v>130000</v>
      </c>
      <c r="L295" s="2">
        <v>45825</v>
      </c>
    </row>
    <row r="296" spans="1:12">
      <c r="A296" t="s">
        <v>515</v>
      </c>
      <c r="B296" t="s">
        <v>516</v>
      </c>
      <c r="C296" t="s">
        <v>19</v>
      </c>
      <c r="D296" t="s">
        <v>15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 s="8">
        <v>0.87549999999999994</v>
      </c>
      <c r="K296">
        <v>130000</v>
      </c>
      <c r="L296" s="2">
        <v>46132</v>
      </c>
    </row>
    <row r="297" spans="1:12">
      <c r="A297" t="s">
        <v>517</v>
      </c>
      <c r="B297" t="s">
        <v>518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 s="8">
        <v>0.94489999999999996</v>
      </c>
      <c r="K297">
        <v>70000</v>
      </c>
      <c r="L297" s="2">
        <v>45565</v>
      </c>
    </row>
    <row r="298" spans="1:12">
      <c r="A298" t="s">
        <v>519</v>
      </c>
      <c r="B298" t="s">
        <v>191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 s="8">
        <v>0.71930000000000005</v>
      </c>
      <c r="K298">
        <v>110000</v>
      </c>
      <c r="L298" s="2">
        <v>45997</v>
      </c>
    </row>
    <row r="299" spans="1:12">
      <c r="A299" t="s">
        <v>520</v>
      </c>
      <c r="B299" t="s">
        <v>521</v>
      </c>
      <c r="C299" t="s">
        <v>14</v>
      </c>
      <c r="D299" t="s">
        <v>36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 s="8">
        <v>0.78539999999999999</v>
      </c>
      <c r="K299">
        <v>120000</v>
      </c>
      <c r="L299" s="2">
        <v>45849</v>
      </c>
    </row>
    <row r="300" spans="1:12">
      <c r="A300" t="s">
        <v>522</v>
      </c>
      <c r="B300" t="s">
        <v>460</v>
      </c>
      <c r="C300" t="s">
        <v>14</v>
      </c>
      <c r="D300" t="s">
        <v>53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 s="8">
        <v>0.75690000000000002</v>
      </c>
      <c r="K300">
        <v>120000</v>
      </c>
      <c r="L300" s="2">
        <v>45859</v>
      </c>
    </row>
    <row r="301" spans="1:12">
      <c r="A301" t="s">
        <v>523</v>
      </c>
      <c r="B301" t="s">
        <v>83</v>
      </c>
      <c r="C301" t="s">
        <v>14</v>
      </c>
      <c r="D301" t="s">
        <v>36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 s="8">
        <v>0.69230000000000003</v>
      </c>
      <c r="K301">
        <v>85000</v>
      </c>
      <c r="L301" s="2">
        <v>45721</v>
      </c>
    </row>
    <row r="302" spans="1:12">
      <c r="A302" t="s">
        <v>524</v>
      </c>
      <c r="B302" t="s">
        <v>274</v>
      </c>
      <c r="C302" t="s">
        <v>14</v>
      </c>
      <c r="D302" t="s">
        <v>36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 s="8">
        <v>0.97560000000000002</v>
      </c>
      <c r="K302">
        <v>60000</v>
      </c>
      <c r="L302" s="2">
        <v>46215</v>
      </c>
    </row>
    <row r="303" spans="1:12">
      <c r="A303" t="s">
        <v>525</v>
      </c>
      <c r="B303" t="s">
        <v>526</v>
      </c>
      <c r="C303" t="s">
        <v>19</v>
      </c>
      <c r="D303" t="s">
        <v>53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 s="8">
        <v>0.81740000000000002</v>
      </c>
      <c r="K303">
        <v>85000</v>
      </c>
      <c r="L303" s="2">
        <v>45810</v>
      </c>
    </row>
    <row r="304" spans="1:12">
      <c r="A304" t="s">
        <v>527</v>
      </c>
      <c r="B304" t="s">
        <v>528</v>
      </c>
      <c r="C304" t="s">
        <v>14</v>
      </c>
      <c r="D304" t="s">
        <v>53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 s="8">
        <v>0.7198</v>
      </c>
      <c r="K304">
        <v>110000</v>
      </c>
      <c r="L304" s="2">
        <v>46131</v>
      </c>
    </row>
    <row r="305" spans="1:12">
      <c r="A305" t="s">
        <v>529</v>
      </c>
      <c r="B305" t="s">
        <v>61</v>
      </c>
      <c r="C305" t="s">
        <v>19</v>
      </c>
      <c r="D305" t="s">
        <v>20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 s="8">
        <v>0.7026</v>
      </c>
      <c r="K305">
        <v>90000</v>
      </c>
      <c r="L305" s="2">
        <v>45833</v>
      </c>
    </row>
    <row r="306" spans="1:12">
      <c r="A306" t="s">
        <v>530</v>
      </c>
      <c r="B306" t="s">
        <v>125</v>
      </c>
      <c r="C306" t="s">
        <v>19</v>
      </c>
      <c r="D306" t="s">
        <v>53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 s="8">
        <v>0.84230000000000005</v>
      </c>
      <c r="K306">
        <v>80000</v>
      </c>
      <c r="L306" s="2">
        <v>45569</v>
      </c>
    </row>
    <row r="307" spans="1:12">
      <c r="A307" t="s">
        <v>531</v>
      </c>
      <c r="B307" t="s">
        <v>532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 s="8">
        <v>0.55000000000000004</v>
      </c>
      <c r="K307">
        <v>70000</v>
      </c>
      <c r="L307" s="2">
        <v>46151</v>
      </c>
    </row>
    <row r="308" spans="1:12">
      <c r="A308" t="s">
        <v>533</v>
      </c>
      <c r="B308" t="s">
        <v>431</v>
      </c>
      <c r="C308" t="s">
        <v>14</v>
      </c>
      <c r="D308" t="s">
        <v>53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 s="8">
        <v>0.79059999999999997</v>
      </c>
      <c r="K308">
        <v>100000</v>
      </c>
      <c r="L308" s="2">
        <v>45665</v>
      </c>
    </row>
    <row r="309" spans="1:12">
      <c r="A309" t="s">
        <v>534</v>
      </c>
      <c r="B309" t="s">
        <v>535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 s="8">
        <v>0.74919999999999998</v>
      </c>
      <c r="K309">
        <v>80000</v>
      </c>
      <c r="L309" s="2">
        <v>45725</v>
      </c>
    </row>
    <row r="310" spans="1:12">
      <c r="A310" t="s">
        <v>536</v>
      </c>
      <c r="B310" t="s">
        <v>444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 s="8">
        <v>0.77869999999999995</v>
      </c>
      <c r="K310">
        <v>85000</v>
      </c>
      <c r="L310" s="2">
        <v>46138</v>
      </c>
    </row>
    <row r="311" spans="1:12">
      <c r="A311" t="s">
        <v>537</v>
      </c>
      <c r="B311" t="s">
        <v>372</v>
      </c>
      <c r="C311" t="s">
        <v>14</v>
      </c>
      <c r="D311" t="s">
        <v>53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 s="8">
        <v>0.64239999999999997</v>
      </c>
      <c r="K311">
        <v>130000</v>
      </c>
      <c r="L311" s="2">
        <v>46161</v>
      </c>
    </row>
    <row r="312" spans="1:12">
      <c r="A312" t="s">
        <v>538</v>
      </c>
      <c r="B312" t="s">
        <v>539</v>
      </c>
      <c r="C312" t="s">
        <v>19</v>
      </c>
      <c r="D312" t="s">
        <v>53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 s="8">
        <v>0.91190000000000004</v>
      </c>
      <c r="K312">
        <v>50000</v>
      </c>
      <c r="L312" s="2">
        <v>46177</v>
      </c>
    </row>
    <row r="313" spans="1:12">
      <c r="A313" t="s">
        <v>540</v>
      </c>
      <c r="B313" t="s">
        <v>541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 s="8">
        <v>0.8952</v>
      </c>
      <c r="K313">
        <v>70000</v>
      </c>
      <c r="L313" s="2">
        <v>45834</v>
      </c>
    </row>
    <row r="314" spans="1:12">
      <c r="A314" t="s">
        <v>542</v>
      </c>
      <c r="B314" t="s">
        <v>543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 s="8">
        <v>0.88970000000000005</v>
      </c>
      <c r="K314">
        <v>130000</v>
      </c>
      <c r="L314" s="2">
        <v>46065</v>
      </c>
    </row>
    <row r="315" spans="1:12">
      <c r="A315" t="s">
        <v>544</v>
      </c>
      <c r="B315" t="s">
        <v>511</v>
      </c>
      <c r="C315" t="s">
        <v>14</v>
      </c>
      <c r="D315" t="s">
        <v>53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 s="8">
        <v>0.78210000000000002</v>
      </c>
      <c r="K315">
        <v>130000</v>
      </c>
      <c r="L315" s="2">
        <v>45765</v>
      </c>
    </row>
    <row r="316" spans="1:12">
      <c r="A316" t="s">
        <v>545</v>
      </c>
      <c r="B316" t="s">
        <v>246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 s="8">
        <v>0.78939999999999999</v>
      </c>
      <c r="K316">
        <v>75000</v>
      </c>
      <c r="L316" s="2">
        <v>46054</v>
      </c>
    </row>
    <row r="317" spans="1:12">
      <c r="A317" t="s">
        <v>546</v>
      </c>
      <c r="B317" t="s">
        <v>256</v>
      </c>
      <c r="C317" t="s">
        <v>19</v>
      </c>
      <c r="D317" t="s">
        <v>28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 s="8">
        <v>0.60060000000000002</v>
      </c>
      <c r="K317">
        <v>130000</v>
      </c>
      <c r="L317" s="2">
        <v>45887</v>
      </c>
    </row>
    <row r="318" spans="1:12">
      <c r="A318" t="s">
        <v>547</v>
      </c>
      <c r="B318" t="s">
        <v>423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 s="8">
        <v>0.86739999999999995</v>
      </c>
      <c r="K318">
        <v>70000</v>
      </c>
      <c r="L318" s="2">
        <v>45572</v>
      </c>
    </row>
    <row r="319" spans="1:12">
      <c r="A319" t="s">
        <v>548</v>
      </c>
      <c r="B319" t="s">
        <v>539</v>
      </c>
      <c r="C319" t="s">
        <v>19</v>
      </c>
      <c r="D319" t="s">
        <v>36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 s="8">
        <v>0.98650000000000004</v>
      </c>
      <c r="K319">
        <v>50000</v>
      </c>
      <c r="L319" s="2">
        <v>45828</v>
      </c>
    </row>
    <row r="320" spans="1:12">
      <c r="A320" t="s">
        <v>549</v>
      </c>
      <c r="B320" t="s">
        <v>550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 s="8">
        <v>0.87139999999999995</v>
      </c>
      <c r="K320">
        <v>75000</v>
      </c>
      <c r="L320" s="2">
        <v>45863</v>
      </c>
    </row>
    <row r="321" spans="1:12">
      <c r="A321" t="s">
        <v>551</v>
      </c>
      <c r="B321" t="s">
        <v>552</v>
      </c>
      <c r="C321" t="s">
        <v>19</v>
      </c>
      <c r="D321" t="s">
        <v>20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 s="8">
        <v>0.96179999999999999</v>
      </c>
      <c r="K321">
        <v>85000</v>
      </c>
      <c r="L321" s="2">
        <v>45716</v>
      </c>
    </row>
    <row r="322" spans="1:12">
      <c r="A322" t="s">
        <v>553</v>
      </c>
      <c r="B322" t="s">
        <v>175</v>
      </c>
      <c r="C322" t="s">
        <v>14</v>
      </c>
      <c r="D322" t="s">
        <v>32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 s="8">
        <v>0.55000000000000004</v>
      </c>
      <c r="K322">
        <v>50000</v>
      </c>
      <c r="L322" s="2">
        <v>45798</v>
      </c>
    </row>
    <row r="323" spans="1:12">
      <c r="A323" t="s">
        <v>554</v>
      </c>
      <c r="B323" t="s">
        <v>555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 s="8">
        <v>0.67400000000000004</v>
      </c>
      <c r="K323">
        <v>60000</v>
      </c>
      <c r="L323" s="2">
        <v>45887</v>
      </c>
    </row>
    <row r="324" spans="1:12">
      <c r="A324" t="s">
        <v>556</v>
      </c>
      <c r="B324" t="s">
        <v>557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 s="8">
        <v>0.8901</v>
      </c>
      <c r="K324">
        <v>110000</v>
      </c>
      <c r="L324" s="2">
        <v>45570</v>
      </c>
    </row>
    <row r="325" spans="1:12">
      <c r="A325" t="s">
        <v>558</v>
      </c>
      <c r="B325" t="s">
        <v>182</v>
      </c>
      <c r="C325" t="s">
        <v>19</v>
      </c>
      <c r="D325" t="s">
        <v>36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 s="8">
        <v>0.66690000000000005</v>
      </c>
      <c r="K325">
        <v>90000</v>
      </c>
      <c r="L325" s="2">
        <v>45642</v>
      </c>
    </row>
    <row r="326" spans="1:12">
      <c r="A326" t="s">
        <v>559</v>
      </c>
      <c r="B326" t="s">
        <v>79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 s="8">
        <v>0.92649999999999999</v>
      </c>
      <c r="K326">
        <v>90000</v>
      </c>
      <c r="L326" s="2">
        <v>46072</v>
      </c>
    </row>
    <row r="327" spans="1:12">
      <c r="A327" t="s">
        <v>560</v>
      </c>
      <c r="B327" t="s">
        <v>69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 s="8">
        <v>0.9254</v>
      </c>
      <c r="K327">
        <v>130000</v>
      </c>
      <c r="L327" s="2">
        <v>45782</v>
      </c>
    </row>
    <row r="328" spans="1:12">
      <c r="A328" t="s">
        <v>561</v>
      </c>
      <c r="B328" t="s">
        <v>562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 s="8">
        <v>0.89339999999999997</v>
      </c>
      <c r="K328">
        <v>70000</v>
      </c>
      <c r="L328" s="2">
        <v>45961</v>
      </c>
    </row>
    <row r="329" spans="1:12">
      <c r="A329" t="s">
        <v>563</v>
      </c>
      <c r="B329" t="s">
        <v>564</v>
      </c>
      <c r="C329" t="s">
        <v>14</v>
      </c>
      <c r="D329" t="s">
        <v>53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 s="8">
        <v>0.80220000000000002</v>
      </c>
      <c r="K329">
        <v>120000</v>
      </c>
      <c r="L329" s="2">
        <v>45932</v>
      </c>
    </row>
    <row r="330" spans="1:12">
      <c r="A330" t="s">
        <v>565</v>
      </c>
      <c r="B330" t="s">
        <v>382</v>
      </c>
      <c r="C330" t="s">
        <v>14</v>
      </c>
      <c r="D330" t="s">
        <v>53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 s="8">
        <v>0.67269999999999996</v>
      </c>
      <c r="K330">
        <v>75000</v>
      </c>
      <c r="L330" s="2">
        <v>45921</v>
      </c>
    </row>
    <row r="331" spans="1:12">
      <c r="A331" t="s">
        <v>566</v>
      </c>
      <c r="B331" t="s">
        <v>552</v>
      </c>
      <c r="C331" t="s">
        <v>19</v>
      </c>
      <c r="D331" t="s">
        <v>36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 s="8">
        <v>0.85360000000000003</v>
      </c>
      <c r="K331">
        <v>130000</v>
      </c>
      <c r="L331" s="2">
        <v>45825</v>
      </c>
    </row>
    <row r="332" spans="1:12">
      <c r="A332" t="s">
        <v>567</v>
      </c>
      <c r="B332" t="s">
        <v>270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 s="8">
        <v>0.78349999999999997</v>
      </c>
      <c r="K332">
        <v>110000</v>
      </c>
      <c r="L332" s="2">
        <v>45874</v>
      </c>
    </row>
    <row r="333" spans="1:12">
      <c r="A333" t="s">
        <v>568</v>
      </c>
      <c r="B333" t="s">
        <v>453</v>
      </c>
      <c r="C333" t="s">
        <v>14</v>
      </c>
      <c r="D333" t="s">
        <v>15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 s="8">
        <v>0.83299999999999996</v>
      </c>
      <c r="K333">
        <v>70000</v>
      </c>
      <c r="L333" s="2">
        <v>46112</v>
      </c>
    </row>
    <row r="334" spans="1:12">
      <c r="A334" t="s">
        <v>569</v>
      </c>
      <c r="B334" t="s">
        <v>220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 s="8">
        <v>0.95879999999999999</v>
      </c>
      <c r="K334">
        <v>70000</v>
      </c>
      <c r="L334" s="2">
        <v>46211</v>
      </c>
    </row>
    <row r="335" spans="1:12">
      <c r="A335" t="s">
        <v>570</v>
      </c>
      <c r="B335" t="s">
        <v>111</v>
      </c>
      <c r="C335" t="s">
        <v>19</v>
      </c>
      <c r="D335" t="s">
        <v>53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 s="8">
        <v>0.95950000000000002</v>
      </c>
      <c r="K335">
        <v>85000</v>
      </c>
      <c r="L335" s="2">
        <v>45715</v>
      </c>
    </row>
    <row r="336" spans="1:12">
      <c r="A336" t="s">
        <v>571</v>
      </c>
      <c r="B336" t="s">
        <v>320</v>
      </c>
      <c r="C336" t="s">
        <v>14</v>
      </c>
      <c r="D336" t="s">
        <v>53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 s="8">
        <v>0.93059999999999998</v>
      </c>
      <c r="K336">
        <v>85000</v>
      </c>
      <c r="L336" s="2">
        <v>46004</v>
      </c>
    </row>
    <row r="337" spans="1:12">
      <c r="A337" t="s">
        <v>572</v>
      </c>
      <c r="B337" t="s">
        <v>477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 s="8">
        <v>0.84789999999999999</v>
      </c>
      <c r="K337">
        <v>70000</v>
      </c>
      <c r="L337" s="2">
        <v>46214</v>
      </c>
    </row>
    <row r="338" spans="1:12">
      <c r="A338" t="s">
        <v>573</v>
      </c>
      <c r="B338" t="s">
        <v>485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 s="8">
        <v>0.8589</v>
      </c>
      <c r="K338">
        <v>70000</v>
      </c>
      <c r="L338" s="2">
        <v>45541</v>
      </c>
    </row>
    <row r="339" spans="1:12">
      <c r="A339" t="s">
        <v>574</v>
      </c>
      <c r="B339" t="s">
        <v>575</v>
      </c>
      <c r="C339" t="s">
        <v>14</v>
      </c>
      <c r="D339" t="s">
        <v>36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 s="8">
        <v>0.73309999999999997</v>
      </c>
      <c r="K339">
        <v>120000</v>
      </c>
      <c r="L339" s="2">
        <v>46085</v>
      </c>
    </row>
    <row r="340" spans="1:12">
      <c r="A340" t="s">
        <v>576</v>
      </c>
      <c r="B340" t="s">
        <v>170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 s="8">
        <v>0.80679999999999996</v>
      </c>
      <c r="K340">
        <v>110000</v>
      </c>
      <c r="L340" s="2">
        <v>45883</v>
      </c>
    </row>
    <row r="341" spans="1:12">
      <c r="A341" t="s">
        <v>577</v>
      </c>
      <c r="B341" t="s">
        <v>578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 s="8">
        <v>0.95840000000000003</v>
      </c>
      <c r="K341">
        <v>70000</v>
      </c>
      <c r="L341" s="2">
        <v>46213</v>
      </c>
    </row>
    <row r="342" spans="1:12">
      <c r="A342" t="s">
        <v>579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 s="8">
        <v>0.93799999999999994</v>
      </c>
      <c r="K342">
        <v>100000</v>
      </c>
      <c r="L342" s="2">
        <v>45940</v>
      </c>
    </row>
    <row r="343" spans="1:12">
      <c r="A343" t="s">
        <v>580</v>
      </c>
      <c r="B343" t="s">
        <v>581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 s="8">
        <v>0.81640000000000001</v>
      </c>
      <c r="K343">
        <v>60000</v>
      </c>
      <c r="L343" s="2">
        <v>46122</v>
      </c>
    </row>
    <row r="344" spans="1:12">
      <c r="A344" t="s">
        <v>582</v>
      </c>
      <c r="B344" t="s">
        <v>243</v>
      </c>
      <c r="C344" t="s">
        <v>19</v>
      </c>
      <c r="D344" t="s">
        <v>20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 s="8">
        <v>0.67269999999999996</v>
      </c>
      <c r="K344">
        <v>80000</v>
      </c>
      <c r="L344" s="2">
        <v>45652</v>
      </c>
    </row>
    <row r="345" spans="1:12">
      <c r="A345" t="s">
        <v>583</v>
      </c>
      <c r="B345" t="s">
        <v>539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 s="8">
        <v>0.82779999999999998</v>
      </c>
      <c r="K345">
        <v>50000</v>
      </c>
      <c r="L345" s="2">
        <v>45635</v>
      </c>
    </row>
    <row r="346" spans="1:12">
      <c r="A346" t="s">
        <v>584</v>
      </c>
      <c r="B346" t="s">
        <v>585</v>
      </c>
      <c r="C346" t="s">
        <v>19</v>
      </c>
      <c r="D346" t="s">
        <v>53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 s="8">
        <v>0.79369999999999996</v>
      </c>
      <c r="K346">
        <v>100000</v>
      </c>
      <c r="L346" s="2">
        <v>46184</v>
      </c>
    </row>
    <row r="347" spans="1:12">
      <c r="A347" t="s">
        <v>586</v>
      </c>
      <c r="B347" t="s">
        <v>378</v>
      </c>
      <c r="C347" t="s">
        <v>14</v>
      </c>
      <c r="D347" t="s">
        <v>53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 s="8">
        <v>0.85799999999999998</v>
      </c>
      <c r="K347">
        <v>70000</v>
      </c>
      <c r="L347" s="2">
        <v>45904</v>
      </c>
    </row>
    <row r="348" spans="1:12">
      <c r="A348" t="s">
        <v>587</v>
      </c>
      <c r="B348" t="s">
        <v>310</v>
      </c>
      <c r="C348" t="s">
        <v>19</v>
      </c>
      <c r="D348" t="s">
        <v>36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 s="8">
        <v>0.86880000000000002</v>
      </c>
      <c r="K348">
        <v>70000</v>
      </c>
      <c r="L348" s="2">
        <v>45926</v>
      </c>
    </row>
    <row r="349" spans="1:12">
      <c r="A349" t="s">
        <v>588</v>
      </c>
      <c r="B349" t="s">
        <v>589</v>
      </c>
      <c r="C349" t="s">
        <v>19</v>
      </c>
      <c r="D349" t="s">
        <v>53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 s="8">
        <v>0.80469999999999997</v>
      </c>
      <c r="K349">
        <v>70000</v>
      </c>
      <c r="L349" s="2">
        <v>45654</v>
      </c>
    </row>
    <row r="350" spans="1:12">
      <c r="A350" t="s">
        <v>590</v>
      </c>
      <c r="B350" t="s">
        <v>45</v>
      </c>
      <c r="C350" t="s">
        <v>14</v>
      </c>
      <c r="D350" t="s">
        <v>36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 s="8">
        <v>0.9738</v>
      </c>
      <c r="K350">
        <v>70000</v>
      </c>
      <c r="L350" s="2">
        <v>45694</v>
      </c>
    </row>
    <row r="351" spans="1:12">
      <c r="A351" t="s">
        <v>591</v>
      </c>
      <c r="B351" t="s">
        <v>202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 s="8">
        <v>0.58009999999999995</v>
      </c>
      <c r="K351">
        <v>50000</v>
      </c>
      <c r="L351" s="2">
        <v>46108</v>
      </c>
    </row>
    <row r="352" spans="1:12">
      <c r="A352" t="s">
        <v>592</v>
      </c>
      <c r="B352" t="s">
        <v>479</v>
      </c>
      <c r="C352" t="s">
        <v>19</v>
      </c>
      <c r="D352" t="s">
        <v>53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 s="8">
        <v>0.83930000000000005</v>
      </c>
      <c r="K352">
        <v>90000</v>
      </c>
      <c r="L352" s="2">
        <v>45748</v>
      </c>
    </row>
    <row r="353" spans="1:12">
      <c r="A353" t="s">
        <v>593</v>
      </c>
      <c r="B353" t="s">
        <v>594</v>
      </c>
      <c r="C353" t="s">
        <v>14</v>
      </c>
      <c r="D353" t="s">
        <v>36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 s="8">
        <v>0.85319999999999996</v>
      </c>
      <c r="K353">
        <v>120000</v>
      </c>
      <c r="L353" s="2">
        <v>45944</v>
      </c>
    </row>
    <row r="354" spans="1:12">
      <c r="A354" t="s">
        <v>595</v>
      </c>
      <c r="B354" t="s">
        <v>65</v>
      </c>
      <c r="C354" t="s">
        <v>14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 s="8">
        <v>0.84409999999999996</v>
      </c>
      <c r="K354">
        <v>75000</v>
      </c>
      <c r="L354" s="2">
        <v>45757</v>
      </c>
    </row>
    <row r="355" spans="1:12">
      <c r="A355" t="s">
        <v>596</v>
      </c>
      <c r="B355" t="s">
        <v>378</v>
      </c>
      <c r="C355" t="s">
        <v>14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 s="8">
        <v>0.83609999999999995</v>
      </c>
      <c r="K355">
        <v>110000</v>
      </c>
      <c r="L355" s="2">
        <v>45720</v>
      </c>
    </row>
    <row r="356" spans="1:12">
      <c r="A356" t="s">
        <v>597</v>
      </c>
      <c r="B356" t="s">
        <v>256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 s="8">
        <v>0.82279999999999998</v>
      </c>
      <c r="K356">
        <v>85000</v>
      </c>
      <c r="L356" s="2">
        <v>45652</v>
      </c>
    </row>
    <row r="357" spans="1:12">
      <c r="A357" t="s">
        <v>598</v>
      </c>
      <c r="B357" t="s">
        <v>113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 s="8">
        <v>0.90110000000000001</v>
      </c>
      <c r="K357">
        <v>70000</v>
      </c>
      <c r="L357" s="2">
        <v>46186</v>
      </c>
    </row>
    <row r="358" spans="1:12">
      <c r="A358" t="s">
        <v>599</v>
      </c>
      <c r="B358" t="s">
        <v>600</v>
      </c>
      <c r="C358" t="s">
        <v>14</v>
      </c>
      <c r="D358" t="s">
        <v>32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 s="8">
        <v>0.84319999999999995</v>
      </c>
      <c r="K358">
        <v>50000</v>
      </c>
      <c r="L358" s="2">
        <v>46194</v>
      </c>
    </row>
    <row r="359" spans="1:12">
      <c r="A359" t="s">
        <v>601</v>
      </c>
      <c r="B359" t="s">
        <v>119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 s="8">
        <v>0.94010000000000005</v>
      </c>
      <c r="K359">
        <v>110000</v>
      </c>
      <c r="L359" s="2">
        <v>45616</v>
      </c>
    </row>
    <row r="360" spans="1:12">
      <c r="A360" t="s">
        <v>602</v>
      </c>
      <c r="B360" t="s">
        <v>340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 s="8">
        <v>0.87829999999999997</v>
      </c>
      <c r="K360">
        <v>50000</v>
      </c>
      <c r="L360" s="2">
        <v>45783</v>
      </c>
    </row>
    <row r="361" spans="1:12">
      <c r="A361" t="s">
        <v>603</v>
      </c>
      <c r="B361" t="s">
        <v>146</v>
      </c>
      <c r="C361" t="s">
        <v>19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 s="8">
        <v>0.9587</v>
      </c>
      <c r="K361">
        <v>80000</v>
      </c>
      <c r="L361" s="2">
        <v>45930</v>
      </c>
    </row>
    <row r="362" spans="1:12">
      <c r="A362" t="s">
        <v>604</v>
      </c>
      <c r="B362" t="s">
        <v>233</v>
      </c>
      <c r="C362" t="s">
        <v>19</v>
      </c>
      <c r="D362" t="s">
        <v>32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 s="8">
        <v>0.76790000000000003</v>
      </c>
      <c r="K362">
        <v>50000</v>
      </c>
      <c r="L362" s="2">
        <v>45804</v>
      </c>
    </row>
    <row r="363" spans="1:12">
      <c r="A363" t="s">
        <v>605</v>
      </c>
      <c r="B363" t="s">
        <v>81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 s="8">
        <v>0.80830000000000002</v>
      </c>
      <c r="K363">
        <v>110000</v>
      </c>
      <c r="L363" s="2">
        <v>46040</v>
      </c>
    </row>
    <row r="364" spans="1:12">
      <c r="A364" t="s">
        <v>606</v>
      </c>
      <c r="B364" t="s">
        <v>607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 s="8">
        <v>0.87450000000000006</v>
      </c>
      <c r="K364">
        <v>130000</v>
      </c>
      <c r="L364" s="2">
        <v>45718</v>
      </c>
    </row>
    <row r="365" spans="1:12">
      <c r="A365" t="s">
        <v>608</v>
      </c>
      <c r="B365" t="s">
        <v>464</v>
      </c>
      <c r="C365" t="s">
        <v>19</v>
      </c>
      <c r="D365" t="s">
        <v>20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 s="8">
        <v>0.79049999999999998</v>
      </c>
      <c r="K365">
        <v>75000</v>
      </c>
      <c r="L365" s="2">
        <v>45577</v>
      </c>
    </row>
    <row r="366" spans="1:12">
      <c r="A366" t="s">
        <v>609</v>
      </c>
      <c r="B366" t="s">
        <v>357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 s="8">
        <v>0.75980000000000003</v>
      </c>
      <c r="K366">
        <v>75000</v>
      </c>
      <c r="L366" s="2">
        <v>45771</v>
      </c>
    </row>
    <row r="367" spans="1:12">
      <c r="A367" t="s">
        <v>610</v>
      </c>
      <c r="B367" t="s">
        <v>611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 s="8">
        <v>0.80969999999999998</v>
      </c>
      <c r="K367">
        <v>90000</v>
      </c>
      <c r="L367" s="2">
        <v>45954</v>
      </c>
    </row>
    <row r="368" spans="1:12">
      <c r="A368" t="s">
        <v>612</v>
      </c>
      <c r="B368" t="s">
        <v>600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 s="8">
        <v>0.8569</v>
      </c>
      <c r="K368">
        <v>85000</v>
      </c>
      <c r="L368" s="2">
        <v>45662</v>
      </c>
    </row>
    <row r="369" spans="1:12">
      <c r="A369" t="s">
        <v>613</v>
      </c>
      <c r="B369" t="s">
        <v>65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 s="8">
        <v>0.93240000000000001</v>
      </c>
      <c r="K369">
        <v>80000</v>
      </c>
      <c r="L369" s="2">
        <v>46107</v>
      </c>
    </row>
    <row r="370" spans="1:12">
      <c r="A370" t="s">
        <v>614</v>
      </c>
      <c r="B370" t="s">
        <v>188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 s="8">
        <v>0.72989999999999999</v>
      </c>
      <c r="K370">
        <v>80000</v>
      </c>
      <c r="L370" s="2">
        <v>45544</v>
      </c>
    </row>
    <row r="371" spans="1:12">
      <c r="A371" t="s">
        <v>615</v>
      </c>
      <c r="B371" t="s">
        <v>272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 s="8">
        <v>0.98099999999999998</v>
      </c>
      <c r="K371">
        <v>70000</v>
      </c>
      <c r="L371" s="2">
        <v>45583</v>
      </c>
    </row>
    <row r="372" spans="1:12">
      <c r="A372" t="s">
        <v>616</v>
      </c>
      <c r="B372" t="s">
        <v>194</v>
      </c>
      <c r="C372" t="s">
        <v>14</v>
      </c>
      <c r="D372" t="s">
        <v>28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 s="8">
        <v>0.66879999999999995</v>
      </c>
      <c r="K372">
        <v>70000</v>
      </c>
      <c r="L372" s="2">
        <v>45892</v>
      </c>
    </row>
    <row r="373" spans="1:12">
      <c r="A373" t="s">
        <v>617</v>
      </c>
      <c r="B373" t="s">
        <v>618</v>
      </c>
      <c r="C373" t="s">
        <v>19</v>
      </c>
      <c r="D373" t="s">
        <v>53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 s="8">
        <v>0.88249999999999995</v>
      </c>
      <c r="K373">
        <v>90000</v>
      </c>
      <c r="L373" s="2">
        <v>45894</v>
      </c>
    </row>
    <row r="374" spans="1:12">
      <c r="A374" t="s">
        <v>619</v>
      </c>
      <c r="B374" t="s">
        <v>620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 s="8">
        <v>0.69179999999999997</v>
      </c>
      <c r="K374">
        <v>110000</v>
      </c>
      <c r="L374" s="2">
        <v>45742</v>
      </c>
    </row>
    <row r="375" spans="1:12">
      <c r="A375" t="s">
        <v>621</v>
      </c>
      <c r="B375" t="s">
        <v>444</v>
      </c>
      <c r="C375" t="s">
        <v>14</v>
      </c>
      <c r="D375" t="s">
        <v>53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 s="8">
        <v>0.89070000000000005</v>
      </c>
      <c r="K375">
        <v>110000</v>
      </c>
      <c r="L375" s="2">
        <v>45716</v>
      </c>
    </row>
    <row r="376" spans="1:12">
      <c r="A376" t="s">
        <v>622</v>
      </c>
      <c r="B376" t="s">
        <v>623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 s="8">
        <v>0.64280000000000004</v>
      </c>
      <c r="K376">
        <v>85000</v>
      </c>
      <c r="L376" s="2">
        <v>45584</v>
      </c>
    </row>
    <row r="377" spans="1:12">
      <c r="A377" t="s">
        <v>624</v>
      </c>
      <c r="B377" t="s">
        <v>625</v>
      </c>
      <c r="C377" t="s">
        <v>14</v>
      </c>
      <c r="D377" t="s">
        <v>36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 s="8">
        <v>0.95150000000000001</v>
      </c>
      <c r="K377">
        <v>110000</v>
      </c>
      <c r="L377" s="2">
        <v>46000</v>
      </c>
    </row>
    <row r="378" spans="1:12">
      <c r="A378" t="s">
        <v>626</v>
      </c>
      <c r="B378" t="s">
        <v>627</v>
      </c>
      <c r="C378" t="s">
        <v>19</v>
      </c>
      <c r="D378" t="s">
        <v>28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 s="8">
        <v>0.90229999999999999</v>
      </c>
      <c r="K378">
        <v>90000</v>
      </c>
      <c r="L378" s="2">
        <v>45801</v>
      </c>
    </row>
    <row r="379" spans="1:12">
      <c r="A379" t="s">
        <v>628</v>
      </c>
      <c r="B379" t="s">
        <v>589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 s="8">
        <v>0.84560000000000002</v>
      </c>
      <c r="K379">
        <v>75000</v>
      </c>
      <c r="L379" s="2">
        <v>45619</v>
      </c>
    </row>
    <row r="380" spans="1:12">
      <c r="A380" t="s">
        <v>629</v>
      </c>
      <c r="B380" t="s">
        <v>630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 s="8">
        <v>0.96209999999999996</v>
      </c>
      <c r="K380">
        <v>75000</v>
      </c>
      <c r="L380" s="2">
        <v>45815</v>
      </c>
    </row>
    <row r="381" spans="1:12">
      <c r="A381" t="s">
        <v>631</v>
      </c>
      <c r="B381" t="s">
        <v>632</v>
      </c>
      <c r="C381" t="s">
        <v>14</v>
      </c>
      <c r="D381" t="s">
        <v>36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 s="8">
        <v>0.67779999999999996</v>
      </c>
      <c r="K381">
        <v>85000</v>
      </c>
      <c r="L381" s="2">
        <v>46191</v>
      </c>
    </row>
    <row r="382" spans="1:12">
      <c r="A382" t="s">
        <v>633</v>
      </c>
      <c r="B382" t="s">
        <v>135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 s="8">
        <v>0.9073</v>
      </c>
      <c r="K382">
        <v>75000</v>
      </c>
      <c r="L382" s="2">
        <v>45718</v>
      </c>
    </row>
    <row r="383" spans="1:12">
      <c r="A383" t="s">
        <v>634</v>
      </c>
      <c r="B383" t="s">
        <v>509</v>
      </c>
      <c r="C383" t="s">
        <v>19</v>
      </c>
      <c r="D383" t="s">
        <v>36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 s="8">
        <v>0.65949999999999998</v>
      </c>
      <c r="K383">
        <v>110000</v>
      </c>
      <c r="L383" s="2">
        <v>46162</v>
      </c>
    </row>
    <row r="384" spans="1:12">
      <c r="A384" t="s">
        <v>635</v>
      </c>
      <c r="B384" t="s">
        <v>636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 s="8">
        <v>0.80689999999999995</v>
      </c>
      <c r="K384">
        <v>70000</v>
      </c>
      <c r="L384" s="2">
        <v>45717</v>
      </c>
    </row>
    <row r="385" spans="1:12">
      <c r="A385" t="s">
        <v>637</v>
      </c>
      <c r="B385" t="s">
        <v>75</v>
      </c>
      <c r="C385" t="s">
        <v>14</v>
      </c>
      <c r="D385" t="s">
        <v>28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 s="8">
        <v>0.87890000000000001</v>
      </c>
      <c r="K385">
        <v>50000</v>
      </c>
      <c r="L385" s="2">
        <v>45666</v>
      </c>
    </row>
    <row r="386" spans="1:12">
      <c r="A386" t="s">
        <v>638</v>
      </c>
      <c r="B386" t="s">
        <v>157</v>
      </c>
      <c r="C386" t="s">
        <v>14</v>
      </c>
      <c r="D386" t="s">
        <v>28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 s="8">
        <v>0.73029999999999995</v>
      </c>
      <c r="K386">
        <v>85000</v>
      </c>
      <c r="L386" s="2">
        <v>45718</v>
      </c>
    </row>
    <row r="387" spans="1:12">
      <c r="A387" t="s">
        <v>639</v>
      </c>
      <c r="B387" t="s">
        <v>640</v>
      </c>
      <c r="C387" t="s">
        <v>14</v>
      </c>
      <c r="D387" t="s">
        <v>36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 s="8">
        <v>0.9486</v>
      </c>
      <c r="K387">
        <v>50000</v>
      </c>
      <c r="L387" s="2">
        <v>45762</v>
      </c>
    </row>
    <row r="388" spans="1:12">
      <c r="A388" t="s">
        <v>641</v>
      </c>
      <c r="B388" t="s">
        <v>248</v>
      </c>
      <c r="C388" t="s">
        <v>14</v>
      </c>
      <c r="D388" t="s">
        <v>36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 s="8">
        <v>0.60780000000000001</v>
      </c>
      <c r="K388">
        <v>70000</v>
      </c>
      <c r="L388" s="2">
        <v>45620</v>
      </c>
    </row>
    <row r="389" spans="1:12">
      <c r="A389" t="s">
        <v>642</v>
      </c>
      <c r="B389" t="s">
        <v>552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 s="8">
        <v>0.86929999999999996</v>
      </c>
      <c r="K389">
        <v>80000</v>
      </c>
      <c r="L389" s="2">
        <v>45947</v>
      </c>
    </row>
    <row r="390" spans="1:12">
      <c r="A390" t="s">
        <v>643</v>
      </c>
      <c r="B390" t="s">
        <v>262</v>
      </c>
      <c r="C390" t="s">
        <v>19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 s="8">
        <v>0.9224</v>
      </c>
      <c r="K390">
        <v>50000</v>
      </c>
      <c r="L390" s="2">
        <v>45769</v>
      </c>
    </row>
    <row r="391" spans="1:12">
      <c r="A391" t="s">
        <v>644</v>
      </c>
      <c r="B391" t="s">
        <v>370</v>
      </c>
      <c r="C391" t="s">
        <v>14</v>
      </c>
      <c r="D391" t="s">
        <v>53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 s="8">
        <v>0.78449999999999998</v>
      </c>
      <c r="K391">
        <v>70000</v>
      </c>
      <c r="L391" s="2">
        <v>46038</v>
      </c>
    </row>
    <row r="392" spans="1:12">
      <c r="A392" t="s">
        <v>645</v>
      </c>
      <c r="B392" t="s">
        <v>646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 s="8">
        <v>0.92059999999999997</v>
      </c>
      <c r="K392">
        <v>85000</v>
      </c>
      <c r="L392" s="2">
        <v>45879</v>
      </c>
    </row>
    <row r="393" spans="1:12">
      <c r="A393" t="s">
        <v>647</v>
      </c>
      <c r="B393" t="s">
        <v>202</v>
      </c>
      <c r="C393" t="s">
        <v>14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 s="8">
        <v>0.82630000000000003</v>
      </c>
      <c r="K393">
        <v>80000</v>
      </c>
      <c r="L393" s="2">
        <v>45845</v>
      </c>
    </row>
    <row r="394" spans="1:12">
      <c r="A394" t="s">
        <v>648</v>
      </c>
      <c r="B394" t="s">
        <v>649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 s="8">
        <v>0.94930000000000003</v>
      </c>
      <c r="K394">
        <v>120000</v>
      </c>
      <c r="L394" s="2">
        <v>45865</v>
      </c>
    </row>
    <row r="395" spans="1:12">
      <c r="A395" t="s">
        <v>650</v>
      </c>
      <c r="B395" t="s">
        <v>651</v>
      </c>
      <c r="C395" t="s">
        <v>19</v>
      </c>
      <c r="D395" t="s">
        <v>53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 s="8">
        <v>0.55000000000000004</v>
      </c>
      <c r="K395">
        <v>60000</v>
      </c>
      <c r="L395" s="2">
        <v>45645</v>
      </c>
    </row>
    <row r="396" spans="1:12">
      <c r="A396" t="s">
        <v>652</v>
      </c>
      <c r="B396" t="s">
        <v>653</v>
      </c>
      <c r="C396" t="s">
        <v>19</v>
      </c>
      <c r="D396" t="s">
        <v>36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 s="8">
        <v>0.89339999999999997</v>
      </c>
      <c r="K396">
        <v>100000</v>
      </c>
      <c r="L396" s="2">
        <v>46035</v>
      </c>
    </row>
    <row r="397" spans="1:12">
      <c r="A397" t="s">
        <v>654</v>
      </c>
      <c r="B397" t="s">
        <v>655</v>
      </c>
      <c r="C397" t="s">
        <v>19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 s="8">
        <v>0.95520000000000005</v>
      </c>
      <c r="K397">
        <v>90000</v>
      </c>
      <c r="L397" s="2">
        <v>45608</v>
      </c>
    </row>
    <row r="398" spans="1:12">
      <c r="A398" t="s">
        <v>656</v>
      </c>
      <c r="B398" t="s">
        <v>657</v>
      </c>
      <c r="C398" t="s">
        <v>14</v>
      </c>
      <c r="D398" t="s">
        <v>28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 s="8">
        <v>0.81210000000000004</v>
      </c>
      <c r="K398">
        <v>100000</v>
      </c>
      <c r="L398" s="2">
        <v>46041</v>
      </c>
    </row>
    <row r="399" spans="1:12">
      <c r="A399" t="s">
        <v>658</v>
      </c>
      <c r="B399" t="s">
        <v>659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 s="8">
        <v>0.86140000000000005</v>
      </c>
      <c r="K399">
        <v>100000</v>
      </c>
      <c r="L399" s="2">
        <v>46235</v>
      </c>
    </row>
    <row r="400" spans="1:12">
      <c r="A400" t="s">
        <v>660</v>
      </c>
      <c r="B400" t="s">
        <v>514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 s="8">
        <v>0.76500000000000001</v>
      </c>
      <c r="K400">
        <v>50000</v>
      </c>
      <c r="L400" s="2">
        <v>46070</v>
      </c>
    </row>
    <row r="401" spans="1:12">
      <c r="A401" t="s">
        <v>661</v>
      </c>
      <c r="B401" t="s">
        <v>662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 s="8">
        <v>0.94640000000000002</v>
      </c>
      <c r="K401">
        <v>110000</v>
      </c>
      <c r="L401" s="2">
        <v>45854</v>
      </c>
    </row>
    <row r="402" spans="1:12">
      <c r="A402" t="s">
        <v>663</v>
      </c>
      <c r="B402" t="s">
        <v>79</v>
      </c>
      <c r="C402" t="s">
        <v>19</v>
      </c>
      <c r="D402" t="s">
        <v>36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 s="8">
        <v>0.96989999999999998</v>
      </c>
      <c r="K402">
        <v>75000</v>
      </c>
      <c r="L402" s="2">
        <v>45756</v>
      </c>
    </row>
    <row r="403" spans="1:12">
      <c r="A403" t="s">
        <v>664</v>
      </c>
      <c r="B403" t="s">
        <v>362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 s="8">
        <v>0.84499999999999997</v>
      </c>
      <c r="K403">
        <v>100000</v>
      </c>
      <c r="L403" s="2">
        <v>46146</v>
      </c>
    </row>
    <row r="404" spans="1:12">
      <c r="A404" t="s">
        <v>665</v>
      </c>
      <c r="B404" t="s">
        <v>258</v>
      </c>
      <c r="C404" t="s">
        <v>14</v>
      </c>
      <c r="D404" t="s">
        <v>36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 s="8">
        <v>0.91410000000000002</v>
      </c>
      <c r="K404">
        <v>75000</v>
      </c>
      <c r="L404" s="2">
        <v>45716</v>
      </c>
    </row>
    <row r="405" spans="1:12">
      <c r="A405" t="s">
        <v>666</v>
      </c>
      <c r="B405" t="s">
        <v>667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 s="8">
        <v>0.66739999999999999</v>
      </c>
      <c r="K405">
        <v>80000</v>
      </c>
      <c r="L405" s="2">
        <v>45873</v>
      </c>
    </row>
    <row r="406" spans="1:12">
      <c r="A406" t="s">
        <v>668</v>
      </c>
      <c r="B406" t="s">
        <v>669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 s="8">
        <v>0.80230000000000001</v>
      </c>
      <c r="K406">
        <v>100000</v>
      </c>
      <c r="L406" s="2">
        <v>46075</v>
      </c>
    </row>
    <row r="407" spans="1:12">
      <c r="A407" t="s">
        <v>670</v>
      </c>
      <c r="B407" t="s">
        <v>671</v>
      </c>
      <c r="C407" t="s">
        <v>19</v>
      </c>
      <c r="D407" t="s">
        <v>53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 s="8">
        <v>0.92069999999999996</v>
      </c>
      <c r="K407">
        <v>130000</v>
      </c>
      <c r="L407" s="2">
        <v>46181</v>
      </c>
    </row>
    <row r="408" spans="1:12">
      <c r="A408" t="s">
        <v>672</v>
      </c>
      <c r="B408" t="s">
        <v>337</v>
      </c>
      <c r="C408" t="s">
        <v>14</v>
      </c>
      <c r="D408" t="s">
        <v>36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 s="8">
        <v>0.87849999999999995</v>
      </c>
      <c r="K408">
        <v>120000</v>
      </c>
      <c r="L408" s="2">
        <v>46180</v>
      </c>
    </row>
    <row r="409" spans="1:12">
      <c r="A409" t="s">
        <v>673</v>
      </c>
      <c r="B409" t="s">
        <v>291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 s="8">
        <v>0.66169999999999995</v>
      </c>
      <c r="K409">
        <v>100000</v>
      </c>
      <c r="L409" s="2">
        <v>45597</v>
      </c>
    </row>
    <row r="410" spans="1:12">
      <c r="A410" t="s">
        <v>674</v>
      </c>
      <c r="B410" t="s">
        <v>675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 s="8">
        <v>0.86729999999999996</v>
      </c>
      <c r="K410">
        <v>85000</v>
      </c>
      <c r="L410" s="2">
        <v>46164</v>
      </c>
    </row>
    <row r="411" spans="1:12">
      <c r="A411" t="s">
        <v>676</v>
      </c>
      <c r="B411" t="s">
        <v>417</v>
      </c>
      <c r="C411" t="s">
        <v>14</v>
      </c>
      <c r="D411" t="s">
        <v>15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 s="8">
        <v>0.80100000000000005</v>
      </c>
      <c r="K411">
        <v>85000</v>
      </c>
      <c r="L411" s="2">
        <v>45615</v>
      </c>
    </row>
    <row r="412" spans="1:12">
      <c r="A412" t="s">
        <v>677</v>
      </c>
      <c r="B412" t="s">
        <v>564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 s="8">
        <v>0.77969999999999995</v>
      </c>
      <c r="K412">
        <v>130000</v>
      </c>
      <c r="L412" s="2">
        <v>45945</v>
      </c>
    </row>
    <row r="413" spans="1:12">
      <c r="A413" t="s">
        <v>678</v>
      </c>
      <c r="B413" t="s">
        <v>679</v>
      </c>
      <c r="C413" t="s">
        <v>14</v>
      </c>
      <c r="D413" t="s">
        <v>53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 s="8">
        <v>0.6956</v>
      </c>
      <c r="K413">
        <v>70000</v>
      </c>
      <c r="L413" s="2">
        <v>46186</v>
      </c>
    </row>
    <row r="414" spans="1:12">
      <c r="A414" t="s">
        <v>680</v>
      </c>
      <c r="B414" t="s">
        <v>555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 s="8">
        <v>0.95930000000000004</v>
      </c>
      <c r="K414">
        <v>130000</v>
      </c>
      <c r="L414" s="2">
        <v>45994</v>
      </c>
    </row>
    <row r="415" spans="1:12">
      <c r="A415" t="s">
        <v>681</v>
      </c>
      <c r="B415" t="s">
        <v>117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 s="8">
        <v>0.72550000000000003</v>
      </c>
      <c r="K415">
        <v>100000</v>
      </c>
      <c r="L415" s="2">
        <v>46199</v>
      </c>
    </row>
    <row r="416" spans="1:12">
      <c r="A416" t="s">
        <v>682</v>
      </c>
      <c r="B416" t="s">
        <v>683</v>
      </c>
      <c r="C416" t="s">
        <v>14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 s="8">
        <v>0.77539999999999998</v>
      </c>
      <c r="K416">
        <v>90000</v>
      </c>
      <c r="L416" s="2">
        <v>45777</v>
      </c>
    </row>
    <row r="417" spans="1:12">
      <c r="A417" t="s">
        <v>684</v>
      </c>
      <c r="B417" t="s">
        <v>148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 s="8">
        <v>0.80400000000000005</v>
      </c>
      <c r="K417">
        <v>90000</v>
      </c>
      <c r="L417" s="2">
        <v>45756</v>
      </c>
    </row>
    <row r="418" spans="1:12">
      <c r="A418" t="s">
        <v>685</v>
      </c>
      <c r="B418" t="s">
        <v>346</v>
      </c>
      <c r="C418" t="s">
        <v>19</v>
      </c>
      <c r="D418" t="s">
        <v>36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 s="8">
        <v>0.88229999999999997</v>
      </c>
      <c r="K418">
        <v>110000</v>
      </c>
      <c r="L418" s="2">
        <v>45764</v>
      </c>
    </row>
    <row r="419" spans="1:12">
      <c r="A419" t="s">
        <v>686</v>
      </c>
      <c r="B419" t="s">
        <v>251</v>
      </c>
      <c r="C419" t="s">
        <v>14</v>
      </c>
      <c r="D419" t="s">
        <v>32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 s="8">
        <v>0.61419999999999997</v>
      </c>
      <c r="K419">
        <v>100000</v>
      </c>
      <c r="L419" s="2">
        <v>45784</v>
      </c>
    </row>
    <row r="420" spans="1:12">
      <c r="A420" t="s">
        <v>687</v>
      </c>
      <c r="B420" t="s">
        <v>372</v>
      </c>
      <c r="C420" t="s">
        <v>14</v>
      </c>
      <c r="D420" t="s">
        <v>28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 s="8">
        <v>0.75819999999999999</v>
      </c>
      <c r="K420">
        <v>60000</v>
      </c>
      <c r="L420" s="2">
        <v>46013</v>
      </c>
    </row>
    <row r="421" spans="1:12">
      <c r="A421" t="s">
        <v>688</v>
      </c>
      <c r="B421" t="s">
        <v>270</v>
      </c>
      <c r="C421" t="s">
        <v>19</v>
      </c>
      <c r="D421" t="s">
        <v>20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 s="8">
        <v>0.89410000000000001</v>
      </c>
      <c r="K421">
        <v>110000</v>
      </c>
      <c r="L421" s="2">
        <v>45852</v>
      </c>
    </row>
    <row r="422" spans="1:12">
      <c r="A422" t="s">
        <v>689</v>
      </c>
      <c r="B422" t="s">
        <v>690</v>
      </c>
      <c r="C422" t="s">
        <v>19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 s="8">
        <v>0.6915</v>
      </c>
      <c r="K422">
        <v>110000</v>
      </c>
      <c r="L422" s="2">
        <v>46052</v>
      </c>
    </row>
    <row r="423" spans="1:12">
      <c r="A423" t="s">
        <v>691</v>
      </c>
      <c r="B423" t="s">
        <v>477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 s="8">
        <v>0.8911</v>
      </c>
      <c r="K423">
        <v>130000</v>
      </c>
      <c r="L423" s="2">
        <v>45827</v>
      </c>
    </row>
    <row r="424" spans="1:12">
      <c r="A424" t="s">
        <v>692</v>
      </c>
      <c r="B424" t="s">
        <v>655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 s="8">
        <v>0.83109999999999995</v>
      </c>
      <c r="K424">
        <v>130000</v>
      </c>
      <c r="L424" s="2">
        <v>45751</v>
      </c>
    </row>
    <row r="425" spans="1:12">
      <c r="A425" t="s">
        <v>693</v>
      </c>
      <c r="B425" t="s">
        <v>455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 s="8">
        <v>0.75629999999999997</v>
      </c>
      <c r="K425">
        <v>130000</v>
      </c>
      <c r="L425" s="2">
        <v>45669</v>
      </c>
    </row>
    <row r="426" spans="1:12">
      <c r="A426" t="s">
        <v>694</v>
      </c>
      <c r="B426" t="s">
        <v>555</v>
      </c>
      <c r="C426" t="s">
        <v>14</v>
      </c>
      <c r="D426" t="s">
        <v>32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 s="8">
        <v>0.61680000000000001</v>
      </c>
      <c r="K426">
        <v>50000</v>
      </c>
      <c r="L426" s="2">
        <v>45921</v>
      </c>
    </row>
    <row r="427" spans="1:12">
      <c r="A427" t="s">
        <v>695</v>
      </c>
      <c r="B427" t="s">
        <v>264</v>
      </c>
      <c r="C427" t="s">
        <v>14</v>
      </c>
      <c r="D427" t="s">
        <v>53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 s="8">
        <v>0.90069999999999995</v>
      </c>
      <c r="K427">
        <v>90000</v>
      </c>
      <c r="L427" s="2">
        <v>46164</v>
      </c>
    </row>
    <row r="428" spans="1:12">
      <c r="A428" t="s">
        <v>696</v>
      </c>
      <c r="B428" t="s">
        <v>697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 s="8">
        <v>0.89200000000000002</v>
      </c>
      <c r="K428">
        <v>130000</v>
      </c>
      <c r="L428" s="2">
        <v>46137</v>
      </c>
    </row>
    <row r="429" spans="1:12">
      <c r="A429" t="s">
        <v>698</v>
      </c>
      <c r="B429" t="s">
        <v>699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 s="8">
        <v>0.89590000000000003</v>
      </c>
      <c r="K429">
        <v>130000</v>
      </c>
      <c r="L429" s="2">
        <v>45713</v>
      </c>
    </row>
    <row r="430" spans="1:12">
      <c r="A430" t="s">
        <v>700</v>
      </c>
      <c r="B430" t="s">
        <v>258</v>
      </c>
      <c r="C430" t="s">
        <v>14</v>
      </c>
      <c r="D430" t="s">
        <v>36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 s="8">
        <v>0.74160000000000004</v>
      </c>
      <c r="K430">
        <v>90000</v>
      </c>
      <c r="L430" s="2">
        <v>45870</v>
      </c>
    </row>
    <row r="431" spans="1:12">
      <c r="A431" t="s">
        <v>701</v>
      </c>
      <c r="B431" t="s">
        <v>380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 s="8">
        <v>0.626</v>
      </c>
      <c r="K431">
        <v>130000</v>
      </c>
      <c r="L431" s="2">
        <v>46029</v>
      </c>
    </row>
    <row r="432" spans="1:12">
      <c r="A432" t="s">
        <v>702</v>
      </c>
      <c r="B432" t="s">
        <v>467</v>
      </c>
      <c r="C432" t="s">
        <v>14</v>
      </c>
      <c r="D432" t="s">
        <v>15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 s="8">
        <v>0.67689999999999995</v>
      </c>
      <c r="K432">
        <v>120000</v>
      </c>
      <c r="L432" s="2">
        <v>45964</v>
      </c>
    </row>
    <row r="433" spans="1:12">
      <c r="A433" t="s">
        <v>703</v>
      </c>
      <c r="B433" t="s">
        <v>412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 s="8">
        <v>0.76980000000000004</v>
      </c>
      <c r="K433">
        <v>50000</v>
      </c>
      <c r="L433" s="2">
        <v>45583</v>
      </c>
    </row>
    <row r="434" spans="1:12">
      <c r="A434" t="s">
        <v>704</v>
      </c>
      <c r="B434" t="s">
        <v>412</v>
      </c>
      <c r="C434" t="s">
        <v>19</v>
      </c>
      <c r="D434" t="s">
        <v>32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 s="8">
        <v>0.55000000000000004</v>
      </c>
      <c r="K434">
        <v>120000</v>
      </c>
      <c r="L434" s="2">
        <v>45949</v>
      </c>
    </row>
    <row r="435" spans="1:12">
      <c r="A435" t="s">
        <v>705</v>
      </c>
      <c r="B435" t="s">
        <v>683</v>
      </c>
      <c r="C435" t="s">
        <v>14</v>
      </c>
      <c r="D435" t="s">
        <v>28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 s="8">
        <v>0.877</v>
      </c>
      <c r="K435">
        <v>100000</v>
      </c>
      <c r="L435" s="2">
        <v>45563</v>
      </c>
    </row>
    <row r="436" spans="1:12">
      <c r="A436" t="s">
        <v>706</v>
      </c>
      <c r="B436" t="s">
        <v>157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 s="8">
        <v>0.77610000000000001</v>
      </c>
      <c r="K436">
        <v>90000</v>
      </c>
      <c r="L436" s="2">
        <v>45617</v>
      </c>
    </row>
    <row r="437" spans="1:12">
      <c r="A437" t="s">
        <v>707</v>
      </c>
      <c r="B437" t="s">
        <v>92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 s="8">
        <v>0.7661</v>
      </c>
      <c r="K437">
        <v>60000</v>
      </c>
      <c r="L437" s="2">
        <v>45993</v>
      </c>
    </row>
    <row r="438" spans="1:12">
      <c r="A438" t="s">
        <v>708</v>
      </c>
      <c r="B438" t="s">
        <v>408</v>
      </c>
      <c r="C438" t="s">
        <v>19</v>
      </c>
      <c r="D438" t="s">
        <v>32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 s="8">
        <v>0.55000000000000004</v>
      </c>
      <c r="K438">
        <v>130000</v>
      </c>
      <c r="L438" s="2">
        <v>45607</v>
      </c>
    </row>
    <row r="439" spans="1:12">
      <c r="A439" t="s">
        <v>709</v>
      </c>
      <c r="B439" t="s">
        <v>710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 s="8">
        <v>0.71079999999999999</v>
      </c>
      <c r="K439">
        <v>75000</v>
      </c>
      <c r="L439" s="2">
        <v>45773</v>
      </c>
    </row>
    <row r="440" spans="1:12">
      <c r="A440" t="s">
        <v>711</v>
      </c>
      <c r="B440" t="s">
        <v>712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 s="8">
        <v>0.89910000000000001</v>
      </c>
      <c r="K440">
        <v>80000</v>
      </c>
      <c r="L440" s="2">
        <v>45947</v>
      </c>
    </row>
    <row r="441" spans="1:12">
      <c r="A441" t="s">
        <v>713</v>
      </c>
      <c r="B441" t="s">
        <v>378</v>
      </c>
      <c r="C441" t="s">
        <v>14</v>
      </c>
      <c r="D441" t="s">
        <v>53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 s="8">
        <v>0.98099999999999998</v>
      </c>
      <c r="K441">
        <v>75000</v>
      </c>
      <c r="L441" s="2">
        <v>45994</v>
      </c>
    </row>
    <row r="442" spans="1:12">
      <c r="A442" t="s">
        <v>714</v>
      </c>
      <c r="B442" t="s">
        <v>52</v>
      </c>
      <c r="C442" t="s">
        <v>19</v>
      </c>
      <c r="D442" t="s">
        <v>53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 s="8">
        <v>0.55000000000000004</v>
      </c>
      <c r="K442">
        <v>130000</v>
      </c>
      <c r="L442" s="2">
        <v>45848</v>
      </c>
    </row>
    <row r="443" spans="1:12">
      <c r="A443" t="s">
        <v>715</v>
      </c>
      <c r="B443" t="s">
        <v>632</v>
      </c>
      <c r="C443" t="s">
        <v>14</v>
      </c>
      <c r="D443" t="s">
        <v>28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 s="8">
        <v>0.84509999999999996</v>
      </c>
      <c r="K443">
        <v>85000</v>
      </c>
      <c r="L443" s="2">
        <v>45601</v>
      </c>
    </row>
    <row r="444" spans="1:12">
      <c r="A444" t="s">
        <v>716</v>
      </c>
      <c r="B444" t="s">
        <v>135</v>
      </c>
      <c r="C444" t="s">
        <v>14</v>
      </c>
      <c r="D444" t="s">
        <v>15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 s="8">
        <v>0.69399999999999995</v>
      </c>
      <c r="K444">
        <v>60000</v>
      </c>
      <c r="L444" s="2">
        <v>46095</v>
      </c>
    </row>
    <row r="445" spans="1:12">
      <c r="A445" t="s">
        <v>717</v>
      </c>
      <c r="B445" t="s">
        <v>718</v>
      </c>
      <c r="C445" t="s">
        <v>14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 s="8">
        <v>0.89570000000000005</v>
      </c>
      <c r="K445">
        <v>50000</v>
      </c>
      <c r="L445" s="2">
        <v>46200</v>
      </c>
    </row>
    <row r="446" spans="1:12">
      <c r="A446" t="s">
        <v>719</v>
      </c>
      <c r="B446" t="s">
        <v>720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 s="8">
        <v>0.87239999999999995</v>
      </c>
      <c r="K446">
        <v>130000</v>
      </c>
      <c r="L446" s="2">
        <v>46158</v>
      </c>
    </row>
    <row r="447" spans="1:12">
      <c r="A447" t="s">
        <v>721</v>
      </c>
      <c r="B447" t="s">
        <v>98</v>
      </c>
      <c r="C447" t="s">
        <v>19</v>
      </c>
      <c r="D447" t="s">
        <v>53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 s="8">
        <v>0.71199999999999997</v>
      </c>
      <c r="K447">
        <v>70000</v>
      </c>
      <c r="L447" s="2">
        <v>46059</v>
      </c>
    </row>
    <row r="448" spans="1:12">
      <c r="A448" t="s">
        <v>722</v>
      </c>
      <c r="B448" t="s">
        <v>410</v>
      </c>
      <c r="C448" t="s">
        <v>14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 s="8">
        <v>0.72119999999999995</v>
      </c>
      <c r="K448">
        <v>110000</v>
      </c>
      <c r="L448" s="2">
        <v>45817</v>
      </c>
    </row>
    <row r="449" spans="1:12">
      <c r="A449" t="s">
        <v>723</v>
      </c>
      <c r="B449" t="s">
        <v>724</v>
      </c>
      <c r="C449" t="s">
        <v>19</v>
      </c>
      <c r="D449" t="s">
        <v>53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 s="8">
        <v>0.82889999999999997</v>
      </c>
      <c r="K449">
        <v>50000</v>
      </c>
      <c r="L449" s="2">
        <v>46149</v>
      </c>
    </row>
    <row r="450" spans="1:12">
      <c r="A450" t="s">
        <v>725</v>
      </c>
      <c r="B450" t="s">
        <v>380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 s="8">
        <v>0.6764</v>
      </c>
      <c r="K450">
        <v>120000</v>
      </c>
      <c r="L450" s="2">
        <v>45877</v>
      </c>
    </row>
    <row r="451" spans="1:12">
      <c r="A451" t="s">
        <v>726</v>
      </c>
      <c r="B451" t="s">
        <v>581</v>
      </c>
      <c r="C451" t="s">
        <v>14</v>
      </c>
      <c r="D451" t="s">
        <v>36</v>
      </c>
      <c r="E451" t="s">
        <v>29</v>
      </c>
      <c r="F451">
        <v>20</v>
      </c>
      <c r="G451">
        <v>20</v>
      </c>
      <c r="H451">
        <v>20</v>
      </c>
      <c r="I451">
        <v>20</v>
      </c>
      <c r="J451" s="8">
        <v>0.55000000000000004</v>
      </c>
      <c r="K451">
        <v>100000</v>
      </c>
      <c r="L451" s="2">
        <v>45631</v>
      </c>
    </row>
    <row r="452" spans="1:12">
      <c r="A452" t="s">
        <v>727</v>
      </c>
      <c r="B452" t="s">
        <v>50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 s="8">
        <v>0.91100000000000003</v>
      </c>
      <c r="K452">
        <v>70000</v>
      </c>
      <c r="L452" s="2">
        <v>46131</v>
      </c>
    </row>
    <row r="453" spans="1:12">
      <c r="A453" t="s">
        <v>728</v>
      </c>
      <c r="B453" t="s">
        <v>729</v>
      </c>
      <c r="C453" t="s">
        <v>19</v>
      </c>
      <c r="D453" t="s">
        <v>32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 s="8">
        <v>0.9627</v>
      </c>
      <c r="K453">
        <v>120000</v>
      </c>
      <c r="L453" s="2">
        <v>45760</v>
      </c>
    </row>
    <row r="454" spans="1:12">
      <c r="A454" t="s">
        <v>730</v>
      </c>
      <c r="B454" t="s">
        <v>731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 s="8">
        <v>0.68140000000000001</v>
      </c>
      <c r="K454">
        <v>75000</v>
      </c>
      <c r="L454" s="2">
        <v>46193</v>
      </c>
    </row>
    <row r="455" spans="1:12">
      <c r="A455" t="s">
        <v>732</v>
      </c>
      <c r="B455" t="s">
        <v>640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 s="8">
        <v>0.86570000000000003</v>
      </c>
      <c r="K455">
        <v>130000</v>
      </c>
      <c r="L455" s="2">
        <v>45793</v>
      </c>
    </row>
    <row r="456" spans="1:12">
      <c r="A456" t="s">
        <v>733</v>
      </c>
      <c r="B456" t="s">
        <v>734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 s="8">
        <v>0.93779999999999997</v>
      </c>
      <c r="K456">
        <v>90000</v>
      </c>
      <c r="L456" s="2">
        <v>46144</v>
      </c>
    </row>
    <row r="457" spans="1:12">
      <c r="A457" t="s">
        <v>735</v>
      </c>
      <c r="B457" t="s">
        <v>104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 s="8">
        <v>0.68189999999999995</v>
      </c>
      <c r="K457">
        <v>80000</v>
      </c>
      <c r="L457" s="2">
        <v>45912</v>
      </c>
    </row>
    <row r="458" spans="1:12">
      <c r="A458" t="s">
        <v>736</v>
      </c>
      <c r="B458" t="s">
        <v>737</v>
      </c>
      <c r="C458" t="s">
        <v>14</v>
      </c>
      <c r="D458" t="s">
        <v>28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 s="8">
        <v>0.67410000000000003</v>
      </c>
      <c r="K458">
        <v>50000</v>
      </c>
      <c r="L458" s="2">
        <v>45863</v>
      </c>
    </row>
    <row r="459" spans="1:12">
      <c r="A459" t="s">
        <v>738</v>
      </c>
      <c r="B459" t="s">
        <v>218</v>
      </c>
      <c r="C459" t="s">
        <v>19</v>
      </c>
      <c r="D459" t="s">
        <v>36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 s="8">
        <v>0.86150000000000004</v>
      </c>
      <c r="K459">
        <v>70000</v>
      </c>
      <c r="L459" s="2">
        <v>45743</v>
      </c>
    </row>
    <row r="460" spans="1:12">
      <c r="A460" t="s">
        <v>739</v>
      </c>
      <c r="B460" t="s">
        <v>471</v>
      </c>
      <c r="C460" t="s">
        <v>19</v>
      </c>
      <c r="D460" t="s">
        <v>36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 s="8">
        <v>0.55000000000000004</v>
      </c>
      <c r="K460">
        <v>50000</v>
      </c>
      <c r="L460" s="2">
        <v>46120</v>
      </c>
    </row>
    <row r="461" spans="1:12">
      <c r="A461" t="s">
        <v>740</v>
      </c>
      <c r="B461" t="s">
        <v>285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 s="8">
        <v>0.99160000000000004</v>
      </c>
      <c r="K461">
        <v>120000</v>
      </c>
      <c r="L461" s="2">
        <v>45578</v>
      </c>
    </row>
    <row r="462" spans="1:12">
      <c r="A462" t="s">
        <v>741</v>
      </c>
      <c r="B462" t="s">
        <v>148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 s="8">
        <v>0.55000000000000004</v>
      </c>
      <c r="K462">
        <v>60000</v>
      </c>
      <c r="L462" s="2">
        <v>45864</v>
      </c>
    </row>
    <row r="463" spans="1:12">
      <c r="A463" t="s">
        <v>742</v>
      </c>
      <c r="B463" t="s">
        <v>600</v>
      </c>
      <c r="C463" t="s">
        <v>14</v>
      </c>
      <c r="D463" t="s">
        <v>36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 s="8">
        <v>0.83799999999999997</v>
      </c>
      <c r="K463">
        <v>60000</v>
      </c>
      <c r="L463" s="2">
        <v>45794</v>
      </c>
    </row>
    <row r="464" spans="1:12">
      <c r="A464" t="s">
        <v>743</v>
      </c>
      <c r="B464" t="s">
        <v>744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 s="8">
        <v>0.98150000000000004</v>
      </c>
      <c r="K464">
        <v>60000</v>
      </c>
      <c r="L464" s="2">
        <v>45916</v>
      </c>
    </row>
    <row r="465" spans="1:12">
      <c r="A465" t="s">
        <v>745</v>
      </c>
      <c r="B465" t="s">
        <v>137</v>
      </c>
      <c r="C465" t="s">
        <v>14</v>
      </c>
      <c r="D465" t="s">
        <v>32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 s="8">
        <v>0.89729999999999999</v>
      </c>
      <c r="K465">
        <v>130000</v>
      </c>
      <c r="L465" s="2">
        <v>45714</v>
      </c>
    </row>
    <row r="466" spans="1:12">
      <c r="A466" t="s">
        <v>746</v>
      </c>
      <c r="B466" t="s">
        <v>13</v>
      </c>
      <c r="C466" t="s">
        <v>14</v>
      </c>
      <c r="D466" t="s">
        <v>53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 s="8">
        <v>0.82530000000000003</v>
      </c>
      <c r="K466">
        <v>130000</v>
      </c>
      <c r="L466" s="2">
        <v>46001</v>
      </c>
    </row>
    <row r="467" spans="1:12">
      <c r="A467" t="s">
        <v>747</v>
      </c>
      <c r="B467" t="s">
        <v>748</v>
      </c>
      <c r="C467" t="s">
        <v>19</v>
      </c>
      <c r="D467" t="s">
        <v>53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 s="8">
        <v>0.78610000000000002</v>
      </c>
      <c r="K467">
        <v>100000</v>
      </c>
      <c r="L467" s="2">
        <v>45806</v>
      </c>
    </row>
    <row r="468" spans="1:12">
      <c r="A468" t="s">
        <v>749</v>
      </c>
      <c r="B468" t="s">
        <v>532</v>
      </c>
      <c r="C468" t="s">
        <v>14</v>
      </c>
      <c r="D468" t="s">
        <v>36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 s="8">
        <v>0.74929999999999997</v>
      </c>
      <c r="K468">
        <v>50000</v>
      </c>
      <c r="L468" s="2">
        <v>45667</v>
      </c>
    </row>
    <row r="469" spans="1:12">
      <c r="A469" t="s">
        <v>750</v>
      </c>
      <c r="B469" t="s">
        <v>751</v>
      </c>
      <c r="C469" t="s">
        <v>19</v>
      </c>
      <c r="D469" t="s">
        <v>28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 s="8">
        <v>0.94889999999999997</v>
      </c>
      <c r="K469">
        <v>85000</v>
      </c>
      <c r="L469" s="2">
        <v>45673</v>
      </c>
    </row>
    <row r="470" spans="1:12">
      <c r="A470" t="s">
        <v>752</v>
      </c>
      <c r="B470" t="s">
        <v>155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 s="8">
        <v>0.93579999999999997</v>
      </c>
      <c r="K470">
        <v>130000</v>
      </c>
      <c r="L470" s="2">
        <v>46023</v>
      </c>
    </row>
    <row r="471" spans="1:12">
      <c r="A471" t="s">
        <v>753</v>
      </c>
      <c r="B471" t="s">
        <v>744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 s="8">
        <v>0.97750000000000004</v>
      </c>
      <c r="K471">
        <v>60000</v>
      </c>
      <c r="L471" s="2">
        <v>45719</v>
      </c>
    </row>
    <row r="472" spans="1:12">
      <c r="A472" t="s">
        <v>754</v>
      </c>
      <c r="B472" t="s">
        <v>310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 s="8">
        <v>0.72319999999999995</v>
      </c>
      <c r="K472">
        <v>110000</v>
      </c>
      <c r="L472" s="2">
        <v>45751</v>
      </c>
    </row>
    <row r="473" spans="1:12">
      <c r="A473" t="s">
        <v>755</v>
      </c>
      <c r="B473" t="s">
        <v>125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 s="8">
        <v>0.86040000000000005</v>
      </c>
      <c r="K473">
        <v>50000</v>
      </c>
      <c r="L473" s="2">
        <v>45974</v>
      </c>
    </row>
    <row r="474" spans="1:12">
      <c r="A474" t="s">
        <v>756</v>
      </c>
      <c r="B474" t="s">
        <v>757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 s="8">
        <v>0.93049999999999999</v>
      </c>
      <c r="K474">
        <v>110000</v>
      </c>
      <c r="L474" s="2">
        <v>45766</v>
      </c>
    </row>
    <row r="475" spans="1:12">
      <c r="A475" t="s">
        <v>758</v>
      </c>
      <c r="B475" t="s">
        <v>759</v>
      </c>
      <c r="C475" t="s">
        <v>14</v>
      </c>
      <c r="D475" t="s">
        <v>36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 s="8">
        <v>0.85699999999999998</v>
      </c>
      <c r="K475">
        <v>85000</v>
      </c>
      <c r="L475" s="2">
        <v>45807</v>
      </c>
    </row>
    <row r="476" spans="1:12">
      <c r="A476" t="s">
        <v>760</v>
      </c>
      <c r="B476" t="s">
        <v>761</v>
      </c>
      <c r="C476" t="s">
        <v>19</v>
      </c>
      <c r="D476" t="s">
        <v>32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 s="8">
        <v>0.70750000000000002</v>
      </c>
      <c r="K476">
        <v>120000</v>
      </c>
      <c r="L476" s="2">
        <v>45707</v>
      </c>
    </row>
    <row r="477" spans="1:12">
      <c r="A477" t="s">
        <v>762</v>
      </c>
      <c r="B477" t="s">
        <v>618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 s="8">
        <v>0.9546</v>
      </c>
      <c r="K477">
        <v>80000</v>
      </c>
      <c r="L477" s="2">
        <v>45777</v>
      </c>
    </row>
    <row r="478" spans="1:12">
      <c r="A478" t="s">
        <v>763</v>
      </c>
      <c r="B478" t="s">
        <v>173</v>
      </c>
      <c r="C478" t="s">
        <v>19</v>
      </c>
      <c r="D478" t="s">
        <v>53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 s="8">
        <v>0.74709999999999999</v>
      </c>
      <c r="K478">
        <v>110000</v>
      </c>
      <c r="L478" s="2">
        <v>46020</v>
      </c>
    </row>
    <row r="479" spans="1:12">
      <c r="A479" t="s">
        <v>764</v>
      </c>
      <c r="B479" t="s">
        <v>607</v>
      </c>
      <c r="C479" t="s">
        <v>14</v>
      </c>
      <c r="D479" t="s">
        <v>36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 s="8">
        <v>0.75880000000000003</v>
      </c>
      <c r="K479">
        <v>120000</v>
      </c>
      <c r="L479" s="2">
        <v>45909</v>
      </c>
    </row>
    <row r="480" spans="1:12">
      <c r="A480" t="s">
        <v>765</v>
      </c>
      <c r="B480" t="s">
        <v>50</v>
      </c>
      <c r="C480" t="s">
        <v>19</v>
      </c>
      <c r="D480" t="s">
        <v>28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 s="8">
        <v>0.8881</v>
      </c>
      <c r="K480">
        <v>75000</v>
      </c>
      <c r="L480" s="2">
        <v>46234</v>
      </c>
    </row>
    <row r="481" spans="1:12">
      <c r="A481" t="s">
        <v>766</v>
      </c>
      <c r="B481" t="s">
        <v>220</v>
      </c>
      <c r="C481" t="s">
        <v>14</v>
      </c>
      <c r="D481" t="s">
        <v>28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 s="8">
        <v>0.87219999999999998</v>
      </c>
      <c r="K481">
        <v>100000</v>
      </c>
      <c r="L481" s="2">
        <v>46076</v>
      </c>
    </row>
    <row r="482" spans="1:12">
      <c r="A482" t="s">
        <v>767</v>
      </c>
      <c r="B482" t="s">
        <v>178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 s="8">
        <v>0.89580000000000004</v>
      </c>
      <c r="K482">
        <v>85000</v>
      </c>
      <c r="L482" s="2">
        <v>45547</v>
      </c>
    </row>
    <row r="483" spans="1:12">
      <c r="A483" t="s">
        <v>768</v>
      </c>
      <c r="B483" t="s">
        <v>611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 s="8">
        <v>0.83789999999999998</v>
      </c>
      <c r="K483">
        <v>80000</v>
      </c>
      <c r="L483" s="2">
        <v>45801</v>
      </c>
    </row>
    <row r="484" spans="1:12">
      <c r="A484" t="s">
        <v>769</v>
      </c>
      <c r="B484" t="s">
        <v>770</v>
      </c>
      <c r="C484" t="s">
        <v>14</v>
      </c>
      <c r="D484" t="s">
        <v>36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 s="8">
        <v>0.61839999999999995</v>
      </c>
      <c r="K484">
        <v>110000</v>
      </c>
      <c r="L484" s="2">
        <v>45738</v>
      </c>
    </row>
    <row r="485" spans="1:12">
      <c r="A485" t="s">
        <v>771</v>
      </c>
      <c r="B485" t="s">
        <v>243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 s="8">
        <v>0.68830000000000002</v>
      </c>
      <c r="K485">
        <v>70000</v>
      </c>
      <c r="L485" s="2">
        <v>45947</v>
      </c>
    </row>
    <row r="486" spans="1:12">
      <c r="A486" t="s">
        <v>772</v>
      </c>
      <c r="B486" t="s">
        <v>106</v>
      </c>
      <c r="C486" t="s">
        <v>14</v>
      </c>
      <c r="D486" t="s">
        <v>20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 s="8">
        <v>0.73089999999999999</v>
      </c>
      <c r="K486">
        <v>60000</v>
      </c>
      <c r="L486" s="2">
        <v>45721</v>
      </c>
    </row>
    <row r="487" spans="1:12">
      <c r="A487" t="s">
        <v>773</v>
      </c>
      <c r="B487" t="s">
        <v>372</v>
      </c>
      <c r="C487" t="s">
        <v>14</v>
      </c>
      <c r="D487" t="s">
        <v>53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 s="8">
        <v>0.97099999999999997</v>
      </c>
      <c r="K487">
        <v>85000</v>
      </c>
      <c r="L487" s="2">
        <v>46212</v>
      </c>
    </row>
    <row r="488" spans="1:12">
      <c r="A488" t="s">
        <v>774</v>
      </c>
      <c r="B488" t="s">
        <v>340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 s="8">
        <v>0.55000000000000004</v>
      </c>
      <c r="K488">
        <v>120000</v>
      </c>
      <c r="L488" s="2">
        <v>45745</v>
      </c>
    </row>
    <row r="489" spans="1:12">
      <c r="A489" t="s">
        <v>775</v>
      </c>
      <c r="B489" t="s">
        <v>71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 s="8">
        <v>0.87280000000000002</v>
      </c>
      <c r="K489">
        <v>60000</v>
      </c>
      <c r="L489" s="2">
        <v>45901</v>
      </c>
    </row>
    <row r="490" spans="1:12">
      <c r="A490" t="s">
        <v>776</v>
      </c>
      <c r="B490" t="s">
        <v>777</v>
      </c>
      <c r="C490" t="s">
        <v>19</v>
      </c>
      <c r="D490" t="s">
        <v>53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 s="8">
        <v>0.55000000000000004</v>
      </c>
      <c r="K490">
        <v>75000</v>
      </c>
      <c r="L490" s="2">
        <v>45622</v>
      </c>
    </row>
    <row r="491" spans="1:12">
      <c r="A491" t="s">
        <v>778</v>
      </c>
      <c r="B491" t="s">
        <v>43</v>
      </c>
      <c r="C491" t="s">
        <v>19</v>
      </c>
      <c r="D491" t="s">
        <v>53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 s="8">
        <v>0.75860000000000005</v>
      </c>
      <c r="K491">
        <v>100000</v>
      </c>
      <c r="L491" s="2">
        <v>46172</v>
      </c>
    </row>
    <row r="492" spans="1:12">
      <c r="A492" t="s">
        <v>779</v>
      </c>
      <c r="B492" t="s">
        <v>653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 s="8">
        <v>0.59540000000000004</v>
      </c>
      <c r="K492">
        <v>85000</v>
      </c>
      <c r="L492" s="2">
        <v>46174</v>
      </c>
    </row>
    <row r="493" spans="1:12">
      <c r="A493" t="s">
        <v>780</v>
      </c>
      <c r="B493" t="s">
        <v>781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 s="8">
        <v>0.89380000000000004</v>
      </c>
      <c r="K493">
        <v>90000</v>
      </c>
      <c r="L493" s="2">
        <v>46091</v>
      </c>
    </row>
    <row r="494" spans="1:12">
      <c r="A494" t="s">
        <v>782</v>
      </c>
      <c r="B494" t="s">
        <v>729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 s="8">
        <v>0.81130000000000002</v>
      </c>
      <c r="K494">
        <v>85000</v>
      </c>
      <c r="L494" s="2">
        <v>45782</v>
      </c>
    </row>
    <row r="495" spans="1:12">
      <c r="A495" t="s">
        <v>783</v>
      </c>
      <c r="B495" t="s">
        <v>224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 s="8">
        <v>0.92859999999999998</v>
      </c>
      <c r="K495">
        <v>110000</v>
      </c>
      <c r="L495" s="2">
        <v>45577</v>
      </c>
    </row>
    <row r="496" spans="1:12">
      <c r="A496" t="s">
        <v>784</v>
      </c>
      <c r="B496" t="s">
        <v>106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 s="8">
        <v>0.81899999999999995</v>
      </c>
      <c r="K496">
        <v>120000</v>
      </c>
      <c r="L496" s="2">
        <v>46033</v>
      </c>
    </row>
    <row r="497" spans="1:12">
      <c r="A497" t="s">
        <v>785</v>
      </c>
      <c r="B497" t="s">
        <v>251</v>
      </c>
      <c r="C497" t="s">
        <v>14</v>
      </c>
      <c r="D497" t="s">
        <v>53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 s="8">
        <v>0.80289999999999995</v>
      </c>
      <c r="K497">
        <v>80000</v>
      </c>
      <c r="L497" s="2">
        <v>45836</v>
      </c>
    </row>
    <row r="498" spans="1:12">
      <c r="A498" t="s">
        <v>786</v>
      </c>
      <c r="B498" t="s">
        <v>683</v>
      </c>
      <c r="C498" t="s">
        <v>14</v>
      </c>
      <c r="D498" t="s">
        <v>53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 s="8">
        <v>0.80859999999999999</v>
      </c>
      <c r="K498">
        <v>80000</v>
      </c>
      <c r="L498" s="2">
        <v>46229</v>
      </c>
    </row>
    <row r="499" spans="1:12">
      <c r="A499" t="s">
        <v>787</v>
      </c>
      <c r="B499" t="s">
        <v>100</v>
      </c>
      <c r="C499" t="s">
        <v>14</v>
      </c>
      <c r="D499" t="s">
        <v>53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 s="8">
        <v>0.95950000000000002</v>
      </c>
      <c r="K499">
        <v>75000</v>
      </c>
      <c r="L499" s="2">
        <v>46024</v>
      </c>
    </row>
    <row r="500" spans="1:12">
      <c r="A500" t="s">
        <v>788</v>
      </c>
      <c r="B500" t="s">
        <v>270</v>
      </c>
      <c r="C500" t="s">
        <v>19</v>
      </c>
      <c r="D500" t="s">
        <v>53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 s="8">
        <v>0.90559999999999996</v>
      </c>
      <c r="K500">
        <v>80000</v>
      </c>
      <c r="L500" s="2">
        <v>45913</v>
      </c>
    </row>
    <row r="501" spans="1:12">
      <c r="A501" t="s">
        <v>789</v>
      </c>
      <c r="B501" t="s">
        <v>372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 s="8">
        <v>0.86729999999999996</v>
      </c>
      <c r="K501">
        <v>120000</v>
      </c>
      <c r="L501" s="2">
        <v>46226</v>
      </c>
    </row>
    <row r="502" spans="1:12">
      <c r="A502" t="s">
        <v>790</v>
      </c>
      <c r="B502" t="s">
        <v>295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 s="8">
        <v>0.85519999999999996</v>
      </c>
      <c r="K502">
        <v>85000</v>
      </c>
      <c r="L502" s="2">
        <v>46096</v>
      </c>
    </row>
    <row r="503" spans="1:12">
      <c r="A503" t="s">
        <v>791</v>
      </c>
      <c r="B503" t="s">
        <v>237</v>
      </c>
      <c r="C503" t="s">
        <v>19</v>
      </c>
      <c r="D503" t="s">
        <v>53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 s="8">
        <v>0.75849999999999995</v>
      </c>
      <c r="K503">
        <v>100000</v>
      </c>
      <c r="L503" s="2">
        <v>45856</v>
      </c>
    </row>
    <row r="504" spans="1:12">
      <c r="A504" t="s">
        <v>792</v>
      </c>
      <c r="B504" t="s">
        <v>793</v>
      </c>
      <c r="C504" t="s">
        <v>19</v>
      </c>
      <c r="D504" t="s">
        <v>53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 s="8">
        <v>0.71250000000000002</v>
      </c>
      <c r="K504">
        <v>80000</v>
      </c>
      <c r="L504" s="2">
        <v>45549</v>
      </c>
    </row>
    <row r="505" spans="1:12">
      <c r="A505" t="s">
        <v>794</v>
      </c>
      <c r="B505" t="s">
        <v>63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 s="8">
        <v>0.55000000000000004</v>
      </c>
      <c r="K505">
        <v>100000</v>
      </c>
      <c r="L505" s="2">
        <v>45600</v>
      </c>
    </row>
    <row r="506" spans="1:12">
      <c r="A506" t="s">
        <v>795</v>
      </c>
      <c r="B506" t="s">
        <v>248</v>
      </c>
      <c r="C506" t="s">
        <v>14</v>
      </c>
      <c r="D506" t="s">
        <v>36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 s="8">
        <v>0.73099999999999998</v>
      </c>
      <c r="K506">
        <v>100000</v>
      </c>
      <c r="L506" s="2">
        <v>45846</v>
      </c>
    </row>
    <row r="507" spans="1:12">
      <c r="A507" t="s">
        <v>796</v>
      </c>
      <c r="B507" t="s">
        <v>770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 s="8">
        <v>0.55000000000000004</v>
      </c>
      <c r="K507">
        <v>85000</v>
      </c>
      <c r="L507" s="2">
        <v>45929</v>
      </c>
    </row>
    <row r="508" spans="1:12">
      <c r="A508" t="s">
        <v>797</v>
      </c>
      <c r="B508" t="s">
        <v>404</v>
      </c>
      <c r="C508" t="s">
        <v>19</v>
      </c>
      <c r="D508" t="s">
        <v>53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 s="8">
        <v>0.79430000000000001</v>
      </c>
      <c r="K508">
        <v>130000</v>
      </c>
      <c r="L508" s="2">
        <v>45557</v>
      </c>
    </row>
    <row r="509" spans="1:12">
      <c r="A509" t="s">
        <v>798</v>
      </c>
      <c r="B509" t="s">
        <v>620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 s="8">
        <v>0.87590000000000001</v>
      </c>
      <c r="K509">
        <v>120000</v>
      </c>
      <c r="L509" s="2">
        <v>45624</v>
      </c>
    </row>
    <row r="510" spans="1:12">
      <c r="A510" t="s">
        <v>799</v>
      </c>
      <c r="B510" t="s">
        <v>194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 s="8">
        <v>0.89390000000000003</v>
      </c>
      <c r="K510">
        <v>60000</v>
      </c>
      <c r="L510" s="2">
        <v>46029</v>
      </c>
    </row>
    <row r="511" spans="1:12">
      <c r="A511" t="s">
        <v>800</v>
      </c>
      <c r="B511" t="s">
        <v>532</v>
      </c>
      <c r="C511" t="s">
        <v>14</v>
      </c>
      <c r="D511" t="s">
        <v>32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 s="8">
        <v>0.90200000000000002</v>
      </c>
      <c r="K511">
        <v>70000</v>
      </c>
      <c r="L511" s="2">
        <v>46062</v>
      </c>
    </row>
    <row r="512" spans="1:12">
      <c r="A512" t="s">
        <v>801</v>
      </c>
      <c r="B512" t="s">
        <v>541</v>
      </c>
      <c r="C512" t="s">
        <v>19</v>
      </c>
      <c r="D512" t="s">
        <v>36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 s="8">
        <v>0.84670000000000001</v>
      </c>
      <c r="K512">
        <v>130000</v>
      </c>
      <c r="L512" s="2">
        <v>45556</v>
      </c>
    </row>
    <row r="513" spans="1:12">
      <c r="A513" t="s">
        <v>802</v>
      </c>
      <c r="B513" t="s">
        <v>803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 s="8">
        <v>0.95030000000000003</v>
      </c>
      <c r="K513">
        <v>80000</v>
      </c>
      <c r="L513" s="2">
        <v>45891</v>
      </c>
    </row>
    <row r="514" spans="1:12">
      <c r="A514" t="s">
        <v>804</v>
      </c>
      <c r="B514" t="s">
        <v>805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 s="8">
        <v>0.64149999999999996</v>
      </c>
      <c r="K514">
        <v>75000</v>
      </c>
      <c r="L514" s="2">
        <v>45592</v>
      </c>
    </row>
    <row r="515" spans="1:12">
      <c r="A515" t="s">
        <v>806</v>
      </c>
      <c r="B515" t="s">
        <v>96</v>
      </c>
      <c r="C515" t="s">
        <v>19</v>
      </c>
      <c r="D515" t="s">
        <v>36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 s="8">
        <v>0.79949999999999999</v>
      </c>
      <c r="K515">
        <v>110000</v>
      </c>
      <c r="L515" s="2">
        <v>46042</v>
      </c>
    </row>
    <row r="516" spans="1:12">
      <c r="A516" t="s">
        <v>807</v>
      </c>
      <c r="B516" t="s">
        <v>342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 s="8">
        <v>0.90680000000000005</v>
      </c>
      <c r="K516">
        <v>90000</v>
      </c>
      <c r="L516" s="2">
        <v>46119</v>
      </c>
    </row>
    <row r="517" spans="1:12">
      <c r="A517" t="s">
        <v>808</v>
      </c>
      <c r="B517" t="s">
        <v>737</v>
      </c>
      <c r="C517" t="s">
        <v>14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 s="8">
        <v>0.81320000000000003</v>
      </c>
      <c r="K517">
        <v>60000</v>
      </c>
      <c r="L517" s="2">
        <v>46144</v>
      </c>
    </row>
    <row r="518" spans="1:12">
      <c r="A518" t="s">
        <v>809</v>
      </c>
      <c r="B518" t="s">
        <v>204</v>
      </c>
      <c r="C518" t="s">
        <v>19</v>
      </c>
      <c r="D518" t="s">
        <v>36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 s="8">
        <v>0.86909999999999998</v>
      </c>
      <c r="K518">
        <v>60000</v>
      </c>
      <c r="L518" s="2">
        <v>45954</v>
      </c>
    </row>
    <row r="519" spans="1:12">
      <c r="A519" t="s">
        <v>810</v>
      </c>
      <c r="B519" t="s">
        <v>492</v>
      </c>
      <c r="C519" t="s">
        <v>14</v>
      </c>
      <c r="D519" t="s">
        <v>36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 s="8">
        <v>0.94379999999999997</v>
      </c>
      <c r="K519">
        <v>110000</v>
      </c>
      <c r="L519" s="2">
        <v>45976</v>
      </c>
    </row>
    <row r="520" spans="1:12">
      <c r="A520" t="s">
        <v>811</v>
      </c>
      <c r="B520" t="s">
        <v>467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 s="8">
        <v>0.71540000000000004</v>
      </c>
      <c r="K520">
        <v>110000</v>
      </c>
      <c r="L520" s="2">
        <v>46184</v>
      </c>
    </row>
    <row r="521" spans="1:12">
      <c r="A521" t="s">
        <v>812</v>
      </c>
      <c r="B521" t="s">
        <v>270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 s="8">
        <v>0.58179999999999998</v>
      </c>
      <c r="K521">
        <v>75000</v>
      </c>
      <c r="L521" s="2">
        <v>45964</v>
      </c>
    </row>
    <row r="522" spans="1:12">
      <c r="A522" t="s">
        <v>813</v>
      </c>
      <c r="B522" t="s">
        <v>291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 s="8">
        <v>0.92800000000000005</v>
      </c>
      <c r="K522">
        <v>120000</v>
      </c>
      <c r="L522" s="2">
        <v>45848</v>
      </c>
    </row>
    <row r="523" spans="1:12">
      <c r="A523" t="s">
        <v>814</v>
      </c>
      <c r="B523" t="s">
        <v>274</v>
      </c>
      <c r="C523" t="s">
        <v>14</v>
      </c>
      <c r="D523" t="s">
        <v>28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 s="8">
        <v>0.94699999999999995</v>
      </c>
      <c r="K523">
        <v>60000</v>
      </c>
      <c r="L523" s="2">
        <v>46064</v>
      </c>
    </row>
    <row r="524" spans="1:12">
      <c r="A524" t="s">
        <v>815</v>
      </c>
      <c r="B524" t="s">
        <v>581</v>
      </c>
      <c r="C524" t="s">
        <v>14</v>
      </c>
      <c r="D524" t="s">
        <v>20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 s="8">
        <v>0.82799999999999996</v>
      </c>
      <c r="K524">
        <v>120000</v>
      </c>
      <c r="L524" s="2">
        <v>45949</v>
      </c>
    </row>
    <row r="525" spans="1:12">
      <c r="A525" t="s">
        <v>816</v>
      </c>
      <c r="B525" t="s">
        <v>200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 s="8">
        <v>0.91100000000000003</v>
      </c>
      <c r="K525">
        <v>50000</v>
      </c>
      <c r="L525" s="2">
        <v>46125</v>
      </c>
    </row>
    <row r="526" spans="1:12">
      <c r="A526" t="s">
        <v>817</v>
      </c>
      <c r="B526" t="s">
        <v>562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 s="8">
        <v>0.75600000000000001</v>
      </c>
      <c r="K526">
        <v>90000</v>
      </c>
      <c r="L526" s="2">
        <v>45903</v>
      </c>
    </row>
    <row r="527" spans="1:12">
      <c r="A527" t="s">
        <v>818</v>
      </c>
      <c r="B527" t="s">
        <v>137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 s="8">
        <v>0.92679999999999996</v>
      </c>
      <c r="K527">
        <v>120000</v>
      </c>
      <c r="L527" s="2">
        <v>46144</v>
      </c>
    </row>
    <row r="528" spans="1:12">
      <c r="A528" t="s">
        <v>819</v>
      </c>
      <c r="B528" t="s">
        <v>820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 s="8">
        <v>0.89890000000000003</v>
      </c>
      <c r="K528">
        <v>90000</v>
      </c>
      <c r="L528" s="2">
        <v>45567</v>
      </c>
    </row>
    <row r="529" spans="1:12">
      <c r="A529" t="s">
        <v>821</v>
      </c>
      <c r="B529" t="s">
        <v>822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 s="8">
        <v>0.84360000000000002</v>
      </c>
      <c r="K529">
        <v>110000</v>
      </c>
      <c r="L529" s="2">
        <v>45561</v>
      </c>
    </row>
    <row r="530" spans="1:12">
      <c r="A530" t="s">
        <v>823</v>
      </c>
      <c r="B530" t="s">
        <v>344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 s="8">
        <v>0.68110000000000004</v>
      </c>
      <c r="K530">
        <v>75000</v>
      </c>
      <c r="L530" s="2">
        <v>45605</v>
      </c>
    </row>
    <row r="531" spans="1:12">
      <c r="A531" t="s">
        <v>824</v>
      </c>
      <c r="B531" t="s">
        <v>825</v>
      </c>
      <c r="C531" t="s">
        <v>19</v>
      </c>
      <c r="D531" t="s">
        <v>15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 s="8">
        <v>0.81059999999999999</v>
      </c>
      <c r="K531">
        <v>75000</v>
      </c>
      <c r="L531" s="2">
        <v>45925</v>
      </c>
    </row>
    <row r="532" spans="1:12">
      <c r="A532" t="s">
        <v>826</v>
      </c>
      <c r="B532" t="s">
        <v>729</v>
      </c>
      <c r="C532" t="s">
        <v>19</v>
      </c>
      <c r="D532" t="s">
        <v>15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 s="8">
        <v>0.61350000000000005</v>
      </c>
      <c r="K532">
        <v>70000</v>
      </c>
      <c r="L532" s="2">
        <v>46032</v>
      </c>
    </row>
    <row r="533" spans="1:12">
      <c r="A533" t="s">
        <v>827</v>
      </c>
      <c r="B533" t="s">
        <v>564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 s="8">
        <v>0.89029999999999998</v>
      </c>
      <c r="K533">
        <v>60000</v>
      </c>
      <c r="L533" s="2">
        <v>45687</v>
      </c>
    </row>
    <row r="534" spans="1:12">
      <c r="A534" t="s">
        <v>828</v>
      </c>
      <c r="B534" t="s">
        <v>329</v>
      </c>
      <c r="C534" t="s">
        <v>14</v>
      </c>
      <c r="D534" t="s">
        <v>53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 s="8">
        <v>0.9899</v>
      </c>
      <c r="K534">
        <v>75000</v>
      </c>
      <c r="L534" s="2">
        <v>45645</v>
      </c>
    </row>
    <row r="535" spans="1:12">
      <c r="A535" t="s">
        <v>829</v>
      </c>
      <c r="B535" t="s">
        <v>175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 s="8">
        <v>0.64270000000000005</v>
      </c>
      <c r="K535">
        <v>70000</v>
      </c>
      <c r="L535" s="2">
        <v>46138</v>
      </c>
    </row>
    <row r="536" spans="1:12">
      <c r="A536" t="s">
        <v>830</v>
      </c>
      <c r="B536" t="s">
        <v>262</v>
      </c>
      <c r="C536" t="s">
        <v>19</v>
      </c>
      <c r="D536" t="s">
        <v>36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 s="8">
        <v>0.55000000000000004</v>
      </c>
      <c r="K536">
        <v>110000</v>
      </c>
      <c r="L536" s="2">
        <v>46061</v>
      </c>
    </row>
    <row r="537" spans="1:12">
      <c r="A537" t="s">
        <v>831</v>
      </c>
      <c r="B537" t="s">
        <v>492</v>
      </c>
      <c r="C537" t="s">
        <v>14</v>
      </c>
      <c r="D537" t="s">
        <v>53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 s="8">
        <v>0.97529999999999994</v>
      </c>
      <c r="K537">
        <v>70000</v>
      </c>
      <c r="L537" s="2">
        <v>45989</v>
      </c>
    </row>
    <row r="538" spans="1:12">
      <c r="A538" t="s">
        <v>832</v>
      </c>
      <c r="B538" t="s">
        <v>833</v>
      </c>
      <c r="C538" t="s">
        <v>14</v>
      </c>
      <c r="D538" t="s">
        <v>28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 s="8">
        <v>0.55000000000000004</v>
      </c>
      <c r="K538">
        <v>60000</v>
      </c>
      <c r="L538" s="2">
        <v>45877</v>
      </c>
    </row>
    <row r="539" spans="1:12">
      <c r="A539" t="s">
        <v>834</v>
      </c>
      <c r="B539" t="s">
        <v>354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 s="8">
        <v>0.86860000000000004</v>
      </c>
      <c r="K539">
        <v>110000</v>
      </c>
      <c r="L539" s="2">
        <v>45830</v>
      </c>
    </row>
    <row r="540" spans="1:12">
      <c r="A540" t="s">
        <v>835</v>
      </c>
      <c r="B540" t="s">
        <v>380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 s="8">
        <v>0.97550000000000003</v>
      </c>
      <c r="K540">
        <v>85000</v>
      </c>
      <c r="L540" s="2">
        <v>45550</v>
      </c>
    </row>
    <row r="541" spans="1:12">
      <c r="A541" t="s">
        <v>836</v>
      </c>
      <c r="B541" t="s">
        <v>382</v>
      </c>
      <c r="C541" t="s">
        <v>14</v>
      </c>
      <c r="D541" t="s">
        <v>53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 s="8">
        <v>0.92479999999999996</v>
      </c>
      <c r="K541">
        <v>70000</v>
      </c>
      <c r="L541" s="2">
        <v>45667</v>
      </c>
    </row>
    <row r="542" spans="1:12">
      <c r="A542" t="s">
        <v>837</v>
      </c>
      <c r="B542" t="s">
        <v>218</v>
      </c>
      <c r="C542" t="s">
        <v>19</v>
      </c>
      <c r="D542" t="s">
        <v>53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 s="8">
        <v>0.88629999999999998</v>
      </c>
      <c r="K542">
        <v>100000</v>
      </c>
      <c r="L542" s="2">
        <v>46163</v>
      </c>
    </row>
    <row r="543" spans="1:12">
      <c r="A543" t="s">
        <v>838</v>
      </c>
      <c r="B543" t="s">
        <v>241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 s="8">
        <v>0.88</v>
      </c>
      <c r="K543">
        <v>70000</v>
      </c>
      <c r="L543" s="2">
        <v>45773</v>
      </c>
    </row>
    <row r="544" spans="1:12">
      <c r="A544" t="s">
        <v>839</v>
      </c>
      <c r="B544" t="s">
        <v>451</v>
      </c>
      <c r="C544" t="s">
        <v>14</v>
      </c>
      <c r="D544" t="s">
        <v>53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 s="8">
        <v>0.91969999999999996</v>
      </c>
      <c r="K544">
        <v>110000</v>
      </c>
      <c r="L544" s="2">
        <v>46029</v>
      </c>
    </row>
    <row r="545" spans="1:12">
      <c r="A545" t="s">
        <v>840</v>
      </c>
      <c r="B545" t="s">
        <v>133</v>
      </c>
      <c r="C545" t="s">
        <v>14</v>
      </c>
      <c r="D545" t="s">
        <v>53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 s="8">
        <v>0.96040000000000003</v>
      </c>
      <c r="K545">
        <v>50000</v>
      </c>
      <c r="L545" s="2">
        <v>46028</v>
      </c>
    </row>
    <row r="546" spans="1:12">
      <c r="A546" t="s">
        <v>841</v>
      </c>
      <c r="B546" t="s">
        <v>191</v>
      </c>
      <c r="C546" t="s">
        <v>19</v>
      </c>
      <c r="D546" t="s">
        <v>53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 s="8">
        <v>0.65920000000000001</v>
      </c>
      <c r="K546">
        <v>90000</v>
      </c>
      <c r="L546" s="2">
        <v>45752</v>
      </c>
    </row>
    <row r="547" spans="1:12">
      <c r="A547" t="s">
        <v>842</v>
      </c>
      <c r="B547" t="s">
        <v>202</v>
      </c>
      <c r="C547" t="s">
        <v>14</v>
      </c>
      <c r="D547" t="s">
        <v>32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 s="8">
        <v>0.87029999999999996</v>
      </c>
      <c r="K547">
        <v>90000</v>
      </c>
      <c r="L547" s="2">
        <v>45679</v>
      </c>
    </row>
    <row r="548" spans="1:12">
      <c r="A548" t="s">
        <v>843</v>
      </c>
      <c r="B548" t="s">
        <v>657</v>
      </c>
      <c r="C548" t="s">
        <v>14</v>
      </c>
      <c r="D548" t="s">
        <v>36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 s="8">
        <v>0.86019999999999996</v>
      </c>
      <c r="K548">
        <v>80000</v>
      </c>
      <c r="L548" s="2">
        <v>46020</v>
      </c>
    </row>
    <row r="549" spans="1:12">
      <c r="A549" t="s">
        <v>844</v>
      </c>
      <c r="B549" t="s">
        <v>111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 s="8">
        <v>0.89280000000000004</v>
      </c>
      <c r="K549">
        <v>100000</v>
      </c>
      <c r="L549" s="2">
        <v>45601</v>
      </c>
    </row>
    <row r="550" spans="1:12">
      <c r="A550" t="s">
        <v>845</v>
      </c>
      <c r="B550" t="s">
        <v>180</v>
      </c>
      <c r="C550" t="s">
        <v>19</v>
      </c>
      <c r="D550" t="s">
        <v>53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 s="8">
        <v>0.96479999999999999</v>
      </c>
      <c r="K550">
        <v>80000</v>
      </c>
      <c r="L550" s="2">
        <v>45882</v>
      </c>
    </row>
    <row r="551" spans="1:12">
      <c r="A551" t="s">
        <v>846</v>
      </c>
      <c r="B551" t="s">
        <v>344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 s="8">
        <v>0.71599999999999997</v>
      </c>
      <c r="K551">
        <v>100000</v>
      </c>
      <c r="L551" s="2">
        <v>46157</v>
      </c>
    </row>
    <row r="552" spans="1:12">
      <c r="A552" t="s">
        <v>847</v>
      </c>
      <c r="B552" t="s">
        <v>458</v>
      </c>
      <c r="C552" t="s">
        <v>19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 s="8">
        <v>0.94040000000000001</v>
      </c>
      <c r="K552">
        <v>70000</v>
      </c>
      <c r="L552" s="2">
        <v>46033</v>
      </c>
    </row>
    <row r="553" spans="1:12">
      <c r="A553" t="s">
        <v>848</v>
      </c>
      <c r="B553" t="s">
        <v>194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 s="8">
        <v>0.86550000000000005</v>
      </c>
      <c r="K553">
        <v>90000</v>
      </c>
      <c r="L553" s="2">
        <v>46070</v>
      </c>
    </row>
    <row r="554" spans="1:12">
      <c r="A554" t="s">
        <v>849</v>
      </c>
      <c r="B554" t="s">
        <v>539</v>
      </c>
      <c r="C554" t="s">
        <v>19</v>
      </c>
      <c r="D554" t="s">
        <v>53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 s="8">
        <v>0.75460000000000005</v>
      </c>
      <c r="K554">
        <v>110000</v>
      </c>
      <c r="L554" s="2">
        <v>45594</v>
      </c>
    </row>
    <row r="555" spans="1:12">
      <c r="A555" t="s">
        <v>850</v>
      </c>
      <c r="B555" t="s">
        <v>406</v>
      </c>
      <c r="C555" t="s">
        <v>14</v>
      </c>
      <c r="D555" t="s">
        <v>53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 s="8">
        <v>0.88370000000000004</v>
      </c>
      <c r="K555">
        <v>130000</v>
      </c>
      <c r="L555" s="2">
        <v>45675</v>
      </c>
    </row>
    <row r="556" spans="1:12">
      <c r="A556" t="s">
        <v>851</v>
      </c>
      <c r="B556" t="s">
        <v>376</v>
      </c>
      <c r="C556" t="s">
        <v>19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 s="8">
        <v>0.89329999999999998</v>
      </c>
      <c r="K556">
        <v>75000</v>
      </c>
      <c r="L556" s="2">
        <v>45728</v>
      </c>
    </row>
    <row r="557" spans="1:12">
      <c r="A557" t="s">
        <v>852</v>
      </c>
      <c r="B557" t="s">
        <v>853</v>
      </c>
      <c r="C557" t="s">
        <v>19</v>
      </c>
      <c r="D557" t="s">
        <v>15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 s="8">
        <v>0.80640000000000001</v>
      </c>
      <c r="K557">
        <v>85000</v>
      </c>
      <c r="L557" s="2">
        <v>45740</v>
      </c>
    </row>
    <row r="558" spans="1:12">
      <c r="A558" t="s">
        <v>854</v>
      </c>
      <c r="B558" t="s">
        <v>262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 s="8">
        <v>0.85580000000000001</v>
      </c>
      <c r="K558">
        <v>85000</v>
      </c>
      <c r="L558" s="2">
        <v>45671</v>
      </c>
    </row>
    <row r="559" spans="1:12">
      <c r="A559" t="s">
        <v>855</v>
      </c>
      <c r="B559" t="s">
        <v>392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 s="8">
        <v>0.93220000000000003</v>
      </c>
      <c r="K559">
        <v>120000</v>
      </c>
      <c r="L559" s="2">
        <v>46216</v>
      </c>
    </row>
    <row r="560" spans="1:12">
      <c r="A560" t="s">
        <v>856</v>
      </c>
      <c r="B560" t="s">
        <v>699</v>
      </c>
      <c r="C560" t="s">
        <v>19</v>
      </c>
      <c r="D560" t="s">
        <v>28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 s="8">
        <v>0.86670000000000003</v>
      </c>
      <c r="K560">
        <v>130000</v>
      </c>
      <c r="L560" s="2">
        <v>45651</v>
      </c>
    </row>
    <row r="561" spans="1:12">
      <c r="A561" t="s">
        <v>857</v>
      </c>
      <c r="B561" t="s">
        <v>858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 s="8">
        <v>0.8669</v>
      </c>
      <c r="K561">
        <v>100000</v>
      </c>
      <c r="L561" s="2">
        <v>46031</v>
      </c>
    </row>
    <row r="562" spans="1:12">
      <c r="A562" t="s">
        <v>859</v>
      </c>
      <c r="B562" t="s">
        <v>256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 s="8">
        <v>0.91290000000000004</v>
      </c>
      <c r="K562">
        <v>120000</v>
      </c>
      <c r="L562" s="2">
        <v>45946</v>
      </c>
    </row>
    <row r="563" spans="1:12">
      <c r="A563" t="s">
        <v>860</v>
      </c>
      <c r="B563" t="s">
        <v>640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 s="8">
        <v>0.7671</v>
      </c>
      <c r="K563">
        <v>50000</v>
      </c>
      <c r="L563" s="2">
        <v>45963</v>
      </c>
    </row>
    <row r="564" spans="1:12">
      <c r="A564" t="s">
        <v>861</v>
      </c>
      <c r="B564" t="s">
        <v>662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 s="8">
        <v>0.76170000000000004</v>
      </c>
      <c r="K564">
        <v>110000</v>
      </c>
      <c r="L564" s="2">
        <v>45686</v>
      </c>
    </row>
    <row r="565" spans="1:12">
      <c r="A565" t="s">
        <v>862</v>
      </c>
      <c r="B565" t="s">
        <v>737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 s="8">
        <v>0.90059999999999996</v>
      </c>
      <c r="K565">
        <v>110000</v>
      </c>
      <c r="L565" s="2">
        <v>45751</v>
      </c>
    </row>
    <row r="566" spans="1:12">
      <c r="A566" t="s">
        <v>863</v>
      </c>
      <c r="B566" t="s">
        <v>315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 s="8">
        <v>0.76729999999999998</v>
      </c>
      <c r="K566">
        <v>100000</v>
      </c>
      <c r="L566" s="2">
        <v>45960</v>
      </c>
    </row>
    <row r="567" spans="1:12">
      <c r="A567" t="s">
        <v>864</v>
      </c>
      <c r="B567" t="s">
        <v>865</v>
      </c>
      <c r="C567" t="s">
        <v>14</v>
      </c>
      <c r="D567" t="s">
        <v>15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 s="8">
        <v>0.89539999999999997</v>
      </c>
      <c r="K567">
        <v>90000</v>
      </c>
      <c r="L567" s="2">
        <v>45745</v>
      </c>
    </row>
    <row r="568" spans="1:12">
      <c r="A568" t="s">
        <v>866</v>
      </c>
      <c r="B568" t="s">
        <v>329</v>
      </c>
      <c r="C568" t="s">
        <v>14</v>
      </c>
      <c r="D568" t="s">
        <v>53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 s="8">
        <v>0.91439999999999999</v>
      </c>
      <c r="K568">
        <v>120000</v>
      </c>
      <c r="L568" s="2">
        <v>46021</v>
      </c>
    </row>
    <row r="569" spans="1:12">
      <c r="A569" t="s">
        <v>867</v>
      </c>
      <c r="B569" t="s">
        <v>528</v>
      </c>
      <c r="C569" t="s">
        <v>14</v>
      </c>
      <c r="D569" t="s">
        <v>36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 s="8">
        <v>0.6361</v>
      </c>
      <c r="K569">
        <v>100000</v>
      </c>
      <c r="L569" s="2">
        <v>45563</v>
      </c>
    </row>
    <row r="570" spans="1:12">
      <c r="A570" t="s">
        <v>868</v>
      </c>
      <c r="B570" t="s">
        <v>102</v>
      </c>
      <c r="C570" t="s">
        <v>19</v>
      </c>
      <c r="D570" t="s">
        <v>15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 s="8">
        <v>0.79779999999999995</v>
      </c>
      <c r="K570">
        <v>120000</v>
      </c>
      <c r="L570" s="2">
        <v>45586</v>
      </c>
    </row>
    <row r="571" spans="1:12">
      <c r="A571" t="s">
        <v>869</v>
      </c>
      <c r="B571" t="s">
        <v>825</v>
      </c>
      <c r="C571" t="s">
        <v>19</v>
      </c>
      <c r="D571" t="s">
        <v>20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 s="8">
        <v>0.91149999999999998</v>
      </c>
      <c r="K571">
        <v>60000</v>
      </c>
      <c r="L571" s="2">
        <v>46045</v>
      </c>
    </row>
    <row r="572" spans="1:12">
      <c r="A572" t="s">
        <v>870</v>
      </c>
      <c r="B572" t="s">
        <v>611</v>
      </c>
      <c r="C572" t="s">
        <v>19</v>
      </c>
      <c r="D572" t="s">
        <v>36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 s="8">
        <v>0.67059999999999997</v>
      </c>
      <c r="K572">
        <v>100000</v>
      </c>
      <c r="L572" s="2">
        <v>45967</v>
      </c>
    </row>
    <row r="573" spans="1:12">
      <c r="A573" t="s">
        <v>871</v>
      </c>
      <c r="B573" t="s">
        <v>872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 s="8">
        <v>0.97309999999999997</v>
      </c>
      <c r="K573">
        <v>80000</v>
      </c>
      <c r="L573" s="2">
        <v>45566</v>
      </c>
    </row>
    <row r="574" spans="1:12">
      <c r="A574" t="s">
        <v>873</v>
      </c>
      <c r="B574" t="s">
        <v>109</v>
      </c>
      <c r="C574" t="s">
        <v>14</v>
      </c>
      <c r="D574" t="s">
        <v>36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 s="8">
        <v>0.84619999999999995</v>
      </c>
      <c r="K574">
        <v>120000</v>
      </c>
      <c r="L574" s="2">
        <v>46165</v>
      </c>
    </row>
    <row r="575" spans="1:12">
      <c r="A575" t="s">
        <v>874</v>
      </c>
      <c r="B575" t="s">
        <v>875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 s="8">
        <v>0.78520000000000001</v>
      </c>
      <c r="K575">
        <v>120000</v>
      </c>
      <c r="L575" s="2">
        <v>45539</v>
      </c>
    </row>
    <row r="576" spans="1:12">
      <c r="A576" t="s">
        <v>876</v>
      </c>
      <c r="B576" t="s">
        <v>482</v>
      </c>
      <c r="C576" t="s">
        <v>14</v>
      </c>
      <c r="D576" t="s">
        <v>53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 s="8">
        <v>0.72130000000000005</v>
      </c>
      <c r="K576">
        <v>120000</v>
      </c>
      <c r="L576" s="2">
        <v>46204</v>
      </c>
    </row>
    <row r="577" spans="1:12">
      <c r="A577" t="s">
        <v>877</v>
      </c>
      <c r="B577" t="s">
        <v>878</v>
      </c>
      <c r="C577" t="s">
        <v>14</v>
      </c>
      <c r="D577" t="s">
        <v>53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 s="8">
        <v>0.72009999999999996</v>
      </c>
      <c r="K577">
        <v>70000</v>
      </c>
      <c r="L577" s="2">
        <v>46046</v>
      </c>
    </row>
    <row r="578" spans="1:12">
      <c r="A578" t="s">
        <v>879</v>
      </c>
      <c r="B578" t="s">
        <v>880</v>
      </c>
      <c r="C578" t="s">
        <v>19</v>
      </c>
      <c r="D578" t="s">
        <v>53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 s="8">
        <v>0.61860000000000004</v>
      </c>
      <c r="K578">
        <v>85000</v>
      </c>
      <c r="L578" s="2">
        <v>46227</v>
      </c>
    </row>
    <row r="579" spans="1:12">
      <c r="A579" t="s">
        <v>881</v>
      </c>
      <c r="B579" t="s">
        <v>490</v>
      </c>
      <c r="C579" t="s">
        <v>19</v>
      </c>
      <c r="D579" t="s">
        <v>36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 s="8">
        <v>0.88939999999999997</v>
      </c>
      <c r="K579">
        <v>50000</v>
      </c>
      <c r="L579" s="2">
        <v>46200</v>
      </c>
    </row>
    <row r="580" spans="1:12">
      <c r="A580" t="s">
        <v>882</v>
      </c>
      <c r="B580" t="s">
        <v>200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 s="8">
        <v>0.99139999999999995</v>
      </c>
      <c r="K580">
        <v>130000</v>
      </c>
      <c r="L580" s="2">
        <v>45755</v>
      </c>
    </row>
    <row r="581" spans="1:12">
      <c r="A581" t="s">
        <v>883</v>
      </c>
      <c r="B581" t="s">
        <v>532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 s="8">
        <v>0.75329999999999997</v>
      </c>
      <c r="K581">
        <v>70000</v>
      </c>
      <c r="L581" s="2">
        <v>46065</v>
      </c>
    </row>
    <row r="582" spans="1:12">
      <c r="A582" t="s">
        <v>884</v>
      </c>
      <c r="B582" t="s">
        <v>431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 s="8">
        <v>0.68700000000000006</v>
      </c>
      <c r="K582">
        <v>90000</v>
      </c>
      <c r="L582" s="2">
        <v>45683</v>
      </c>
    </row>
    <row r="583" spans="1:12">
      <c r="A583" t="s">
        <v>885</v>
      </c>
      <c r="B583" t="s">
        <v>50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 s="8">
        <v>0.61609999999999998</v>
      </c>
      <c r="K583">
        <v>85000</v>
      </c>
      <c r="L583" s="2">
        <v>45866</v>
      </c>
    </row>
    <row r="584" spans="1:12">
      <c r="A584" t="s">
        <v>886</v>
      </c>
      <c r="B584" t="s">
        <v>357</v>
      </c>
      <c r="C584" t="s">
        <v>14</v>
      </c>
      <c r="D584" t="s">
        <v>36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 s="8">
        <v>0.71809999999999996</v>
      </c>
      <c r="K584">
        <v>120000</v>
      </c>
      <c r="L584" s="2">
        <v>45704</v>
      </c>
    </row>
    <row r="585" spans="1:12">
      <c r="A585" t="s">
        <v>887</v>
      </c>
      <c r="B585" t="s">
        <v>106</v>
      </c>
      <c r="C585" t="s">
        <v>14</v>
      </c>
      <c r="D585" t="s">
        <v>36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 s="8">
        <v>0.78890000000000005</v>
      </c>
      <c r="K585">
        <v>120000</v>
      </c>
      <c r="L585" s="2">
        <v>45876</v>
      </c>
    </row>
    <row r="586" spans="1:12">
      <c r="A586" t="s">
        <v>888</v>
      </c>
      <c r="B586" t="s">
        <v>528</v>
      </c>
      <c r="C586" t="s">
        <v>14</v>
      </c>
      <c r="D586" t="s">
        <v>53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 s="8">
        <v>0.79039999999999999</v>
      </c>
      <c r="K586">
        <v>110000</v>
      </c>
      <c r="L586" s="2">
        <v>46146</v>
      </c>
    </row>
    <row r="587" spans="1:12">
      <c r="A587" t="s">
        <v>889</v>
      </c>
      <c r="B587" t="s">
        <v>541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 s="8">
        <v>0.66379999999999995</v>
      </c>
      <c r="K587">
        <v>100000</v>
      </c>
      <c r="L587" s="2">
        <v>45841</v>
      </c>
    </row>
    <row r="588" spans="1:12">
      <c r="A588" t="s">
        <v>890</v>
      </c>
      <c r="B588" t="s">
        <v>79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 s="8">
        <v>0.94240000000000002</v>
      </c>
      <c r="K588">
        <v>60000</v>
      </c>
      <c r="L588" s="2">
        <v>45600</v>
      </c>
    </row>
    <row r="589" spans="1:12">
      <c r="A589" t="s">
        <v>891</v>
      </c>
      <c r="B589" t="s">
        <v>451</v>
      </c>
      <c r="C589" t="s">
        <v>14</v>
      </c>
      <c r="D589" t="s">
        <v>53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 s="8">
        <v>0.86570000000000003</v>
      </c>
      <c r="K589">
        <v>130000</v>
      </c>
      <c r="L589" s="2">
        <v>45763</v>
      </c>
    </row>
    <row r="590" spans="1:12">
      <c r="A590" t="s">
        <v>892</v>
      </c>
      <c r="B590" t="s">
        <v>77</v>
      </c>
      <c r="C590" t="s">
        <v>19</v>
      </c>
      <c r="D590" t="s">
        <v>36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 s="8">
        <v>0.62649999999999995</v>
      </c>
      <c r="K590">
        <v>50000</v>
      </c>
      <c r="L590" s="2">
        <v>46086</v>
      </c>
    </row>
    <row r="591" spans="1:12">
      <c r="A591" t="s">
        <v>893</v>
      </c>
      <c r="B591" t="s">
        <v>675</v>
      </c>
      <c r="C591" t="s">
        <v>19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 s="8">
        <v>0.91310000000000002</v>
      </c>
      <c r="K591">
        <v>85000</v>
      </c>
      <c r="L591" s="2">
        <v>45901</v>
      </c>
    </row>
    <row r="592" spans="1:12">
      <c r="A592" t="s">
        <v>894</v>
      </c>
      <c r="B592" t="s">
        <v>213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 s="8">
        <v>0.75449999999999995</v>
      </c>
      <c r="K592">
        <v>80000</v>
      </c>
      <c r="L592" s="2">
        <v>45928</v>
      </c>
    </row>
    <row r="593" spans="1:12">
      <c r="A593" t="s">
        <v>895</v>
      </c>
      <c r="B593" t="s">
        <v>636</v>
      </c>
      <c r="C593" t="s">
        <v>19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 s="8">
        <v>0.8861</v>
      </c>
      <c r="K593">
        <v>80000</v>
      </c>
      <c r="L593" s="2">
        <v>45837</v>
      </c>
    </row>
    <row r="594" spans="1:12">
      <c r="A594" t="s">
        <v>896</v>
      </c>
      <c r="B594" t="s">
        <v>878</v>
      </c>
      <c r="C594" t="s">
        <v>14</v>
      </c>
      <c r="D594" t="s">
        <v>15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 s="8">
        <v>0.6996</v>
      </c>
      <c r="K594">
        <v>130000</v>
      </c>
      <c r="L594" s="2">
        <v>45740</v>
      </c>
    </row>
    <row r="595" spans="1:12">
      <c r="A595" t="s">
        <v>897</v>
      </c>
      <c r="B595" t="s">
        <v>898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 s="8">
        <v>0.80689999999999995</v>
      </c>
      <c r="K595">
        <v>70000</v>
      </c>
      <c r="L595" s="2">
        <v>45954</v>
      </c>
    </row>
    <row r="596" spans="1:12">
      <c r="A596" t="s">
        <v>899</v>
      </c>
      <c r="B596" t="s">
        <v>274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 s="8">
        <v>0.94950000000000001</v>
      </c>
      <c r="K596">
        <v>90000</v>
      </c>
      <c r="L596" s="2">
        <v>45979</v>
      </c>
    </row>
    <row r="597" spans="1:12">
      <c r="A597" t="s">
        <v>900</v>
      </c>
      <c r="B597" t="s">
        <v>412</v>
      </c>
      <c r="C597" t="s">
        <v>19</v>
      </c>
      <c r="D597" t="s">
        <v>53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 s="8">
        <v>0.86019999999999996</v>
      </c>
      <c r="K597">
        <v>70000</v>
      </c>
      <c r="L597" s="2">
        <v>46164</v>
      </c>
    </row>
    <row r="598" spans="1:12">
      <c r="A598" t="s">
        <v>901</v>
      </c>
      <c r="B598" t="s">
        <v>710</v>
      </c>
      <c r="C598" t="s">
        <v>19</v>
      </c>
      <c r="D598" t="s">
        <v>53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 s="8">
        <v>0.59350000000000003</v>
      </c>
      <c r="K598">
        <v>130000</v>
      </c>
      <c r="L598" s="2">
        <v>45968</v>
      </c>
    </row>
    <row r="599" spans="1:12">
      <c r="A599" t="s">
        <v>902</v>
      </c>
      <c r="B599" t="s">
        <v>805</v>
      </c>
      <c r="C599" t="s">
        <v>19</v>
      </c>
      <c r="D599" t="s">
        <v>36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 s="8">
        <v>0.87170000000000003</v>
      </c>
      <c r="K599">
        <v>110000</v>
      </c>
      <c r="L599" s="2">
        <v>46232</v>
      </c>
    </row>
    <row r="600" spans="1:12">
      <c r="A600" t="s">
        <v>903</v>
      </c>
      <c r="B600" t="s">
        <v>61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 s="8">
        <v>0.76070000000000004</v>
      </c>
      <c r="K600">
        <v>80000</v>
      </c>
      <c r="L600" s="2">
        <v>46114</v>
      </c>
    </row>
    <row r="601" spans="1:12">
      <c r="A601" t="s">
        <v>904</v>
      </c>
      <c r="B601" t="s">
        <v>392</v>
      </c>
      <c r="C601" t="s">
        <v>19</v>
      </c>
      <c r="D601" t="s">
        <v>36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 s="8">
        <v>0.94220000000000004</v>
      </c>
      <c r="K601">
        <v>50000</v>
      </c>
      <c r="L601" s="2">
        <v>45591</v>
      </c>
    </row>
    <row r="602" spans="1:12">
      <c r="A602" t="s">
        <v>905</v>
      </c>
      <c r="B602" t="s">
        <v>301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 s="8">
        <v>0.89649999999999996</v>
      </c>
      <c r="K602">
        <v>60000</v>
      </c>
      <c r="L602" s="2">
        <v>45810</v>
      </c>
    </row>
    <row r="603" spans="1:12">
      <c r="A603" t="s">
        <v>906</v>
      </c>
      <c r="B603" t="s">
        <v>589</v>
      </c>
      <c r="C603" t="s">
        <v>19</v>
      </c>
      <c r="D603" t="s">
        <v>28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 s="8">
        <v>0.9133</v>
      </c>
      <c r="K603">
        <v>70000</v>
      </c>
      <c r="L603" s="2">
        <v>45805</v>
      </c>
    </row>
    <row r="604" spans="1:12">
      <c r="A604" t="s">
        <v>907</v>
      </c>
      <c r="B604" t="s">
        <v>908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 s="8">
        <v>0.73009999999999997</v>
      </c>
      <c r="K604">
        <v>80000</v>
      </c>
      <c r="L604" s="2">
        <v>45538</v>
      </c>
    </row>
    <row r="605" spans="1:12">
      <c r="A605" t="s">
        <v>909</v>
      </c>
      <c r="B605" t="s">
        <v>115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 s="8">
        <v>0.91159999999999997</v>
      </c>
      <c r="K605">
        <v>120000</v>
      </c>
      <c r="L605" s="2">
        <v>45662</v>
      </c>
    </row>
    <row r="606" spans="1:12">
      <c r="A606" t="s">
        <v>910</v>
      </c>
      <c r="B606" t="s">
        <v>239</v>
      </c>
      <c r="C606" t="s">
        <v>19</v>
      </c>
      <c r="D606" t="s">
        <v>15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 s="8">
        <v>0.55000000000000004</v>
      </c>
      <c r="K606">
        <v>60000</v>
      </c>
      <c r="L606" s="2">
        <v>46069</v>
      </c>
    </row>
    <row r="607" spans="1:12">
      <c r="A607" t="s">
        <v>911</v>
      </c>
      <c r="B607" t="s">
        <v>912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 s="8">
        <v>0.9637</v>
      </c>
      <c r="K607">
        <v>90000</v>
      </c>
      <c r="L607" s="2">
        <v>45782</v>
      </c>
    </row>
    <row r="608" spans="1:12">
      <c r="A608" t="s">
        <v>913</v>
      </c>
      <c r="B608" t="s">
        <v>833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 s="8">
        <v>0.66120000000000001</v>
      </c>
      <c r="K608">
        <v>75000</v>
      </c>
      <c r="L608" s="2">
        <v>45639</v>
      </c>
    </row>
    <row r="609" spans="1:12">
      <c r="A609" t="s">
        <v>914</v>
      </c>
      <c r="B609" t="s">
        <v>915</v>
      </c>
      <c r="C609" t="s">
        <v>19</v>
      </c>
      <c r="D609" t="s">
        <v>53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 s="8">
        <v>0.84309999999999996</v>
      </c>
      <c r="K609">
        <v>50000</v>
      </c>
      <c r="L609" s="2">
        <v>45737</v>
      </c>
    </row>
    <row r="610" spans="1:12">
      <c r="A610" t="s">
        <v>916</v>
      </c>
      <c r="B610" t="s">
        <v>653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 s="8">
        <v>0.75800000000000001</v>
      </c>
      <c r="K610">
        <v>90000</v>
      </c>
      <c r="L610" s="2">
        <v>45728</v>
      </c>
    </row>
    <row r="611" spans="1:12">
      <c r="A611" t="s">
        <v>917</v>
      </c>
      <c r="B611" t="s">
        <v>323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 s="8">
        <v>0.86609999999999998</v>
      </c>
      <c r="K611">
        <v>100000</v>
      </c>
      <c r="L611" s="2">
        <v>45658</v>
      </c>
    </row>
    <row r="612" spans="1:12">
      <c r="A612" t="s">
        <v>918</v>
      </c>
      <c r="B612" t="s">
        <v>380</v>
      </c>
      <c r="C612" t="s">
        <v>19</v>
      </c>
      <c r="D612" t="s">
        <v>36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 s="8">
        <v>0.55000000000000004</v>
      </c>
      <c r="K612">
        <v>130000</v>
      </c>
      <c r="L612" s="2">
        <v>45606</v>
      </c>
    </row>
    <row r="613" spans="1:12">
      <c r="A613" t="s">
        <v>919</v>
      </c>
      <c r="B613" t="s">
        <v>69</v>
      </c>
      <c r="C613" t="s">
        <v>14</v>
      </c>
      <c r="D613" t="s">
        <v>53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 s="8">
        <v>0.74650000000000005</v>
      </c>
      <c r="K613">
        <v>85000</v>
      </c>
      <c r="L613" s="2">
        <v>46070</v>
      </c>
    </row>
    <row r="614" spans="1:12">
      <c r="A614" t="s">
        <v>920</v>
      </c>
      <c r="B614" t="s">
        <v>697</v>
      </c>
      <c r="C614" t="s">
        <v>19</v>
      </c>
      <c r="D614" t="s">
        <v>53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 s="8">
        <v>0.55000000000000004</v>
      </c>
      <c r="K614">
        <v>75000</v>
      </c>
      <c r="L614" s="2">
        <v>46113</v>
      </c>
    </row>
    <row r="615" spans="1:12">
      <c r="A615" t="s">
        <v>921</v>
      </c>
      <c r="B615" t="s">
        <v>161</v>
      </c>
      <c r="C615" t="s">
        <v>14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 s="8">
        <v>0.96399999999999997</v>
      </c>
      <c r="K615">
        <v>120000</v>
      </c>
      <c r="L615" s="2">
        <v>45883</v>
      </c>
    </row>
    <row r="616" spans="1:12">
      <c r="A616" t="s">
        <v>922</v>
      </c>
      <c r="B616" t="s">
        <v>923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 s="8">
        <v>0.73899999999999999</v>
      </c>
      <c r="K616">
        <v>70000</v>
      </c>
      <c r="L616" s="2">
        <v>45966</v>
      </c>
    </row>
    <row r="617" spans="1:12">
      <c r="A617" t="s">
        <v>924</v>
      </c>
      <c r="B617" t="s">
        <v>777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 s="8">
        <v>0.80759999999999998</v>
      </c>
      <c r="K617">
        <v>100000</v>
      </c>
      <c r="L617" s="2">
        <v>46179</v>
      </c>
    </row>
    <row r="618" spans="1:12">
      <c r="A618" t="s">
        <v>925</v>
      </c>
      <c r="B618" t="s">
        <v>926</v>
      </c>
      <c r="C618" t="s">
        <v>14</v>
      </c>
      <c r="D618" t="s">
        <v>32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 s="8">
        <v>0.85309999999999997</v>
      </c>
      <c r="K618">
        <v>130000</v>
      </c>
      <c r="L618" s="2">
        <v>46125</v>
      </c>
    </row>
    <row r="619" spans="1:12">
      <c r="A619" t="s">
        <v>927</v>
      </c>
      <c r="B619" t="s">
        <v>928</v>
      </c>
      <c r="C619" t="s">
        <v>14</v>
      </c>
      <c r="D619" t="s">
        <v>53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 s="8">
        <v>0.77849999999999997</v>
      </c>
      <c r="K619">
        <v>50000</v>
      </c>
      <c r="L619" s="2">
        <v>45558</v>
      </c>
    </row>
    <row r="620" spans="1:12">
      <c r="A620" t="s">
        <v>929</v>
      </c>
      <c r="B620" t="s">
        <v>930</v>
      </c>
      <c r="C620" t="s">
        <v>14</v>
      </c>
      <c r="D620" t="s">
        <v>36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 s="8">
        <v>0.64100000000000001</v>
      </c>
      <c r="K620">
        <v>130000</v>
      </c>
      <c r="L620" s="2">
        <v>46203</v>
      </c>
    </row>
    <row r="621" spans="1:12">
      <c r="A621" t="s">
        <v>931</v>
      </c>
      <c r="B621" t="s">
        <v>186</v>
      </c>
      <c r="C621" t="s">
        <v>14</v>
      </c>
      <c r="D621" t="s">
        <v>15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 s="8">
        <v>0.92290000000000005</v>
      </c>
      <c r="K621">
        <v>70000</v>
      </c>
      <c r="L621" s="2">
        <v>45582</v>
      </c>
    </row>
    <row r="622" spans="1:12">
      <c r="A622" t="s">
        <v>932</v>
      </c>
      <c r="B622" t="s">
        <v>431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 s="8">
        <v>0.88260000000000005</v>
      </c>
      <c r="K622">
        <v>85000</v>
      </c>
      <c r="L622" s="2">
        <v>45554</v>
      </c>
    </row>
    <row r="623" spans="1:12">
      <c r="A623" t="s">
        <v>933</v>
      </c>
      <c r="B623" t="s">
        <v>210</v>
      </c>
      <c r="C623" t="s">
        <v>14</v>
      </c>
      <c r="D623" t="s">
        <v>20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 s="8">
        <v>0.9829</v>
      </c>
      <c r="K623">
        <v>70000</v>
      </c>
      <c r="L623" s="2">
        <v>45818</v>
      </c>
    </row>
    <row r="624" spans="1:12">
      <c r="A624" t="s">
        <v>934</v>
      </c>
      <c r="B624" t="s">
        <v>370</v>
      </c>
      <c r="C624" t="s">
        <v>14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 s="8">
        <v>0.95050000000000001</v>
      </c>
      <c r="K624">
        <v>60000</v>
      </c>
      <c r="L624" s="2">
        <v>46058</v>
      </c>
    </row>
    <row r="625" spans="1:12">
      <c r="A625" t="s">
        <v>935</v>
      </c>
      <c r="B625" t="s">
        <v>164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 s="8">
        <v>0.87350000000000005</v>
      </c>
      <c r="K625">
        <v>100000</v>
      </c>
      <c r="L625" s="2">
        <v>45592</v>
      </c>
    </row>
    <row r="626" spans="1:12">
      <c r="A626" t="s">
        <v>936</v>
      </c>
      <c r="B626" t="s">
        <v>59</v>
      </c>
      <c r="C626" t="s">
        <v>19</v>
      </c>
      <c r="D626" t="s">
        <v>28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 s="8">
        <v>0.75249999999999995</v>
      </c>
      <c r="K626">
        <v>85000</v>
      </c>
      <c r="L626" s="2">
        <v>45741</v>
      </c>
    </row>
    <row r="627" spans="1:12">
      <c r="A627" t="s">
        <v>937</v>
      </c>
      <c r="B627" t="s">
        <v>737</v>
      </c>
      <c r="C627" t="s">
        <v>14</v>
      </c>
      <c r="D627" t="s">
        <v>28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 s="8">
        <v>0.98350000000000004</v>
      </c>
      <c r="K627">
        <v>85000</v>
      </c>
      <c r="L627" s="2">
        <v>45719</v>
      </c>
    </row>
    <row r="628" spans="1:12">
      <c r="A628" t="s">
        <v>938</v>
      </c>
      <c r="B628" t="s">
        <v>939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 s="8">
        <v>0.90610000000000002</v>
      </c>
      <c r="K628">
        <v>85000</v>
      </c>
      <c r="L628" s="2">
        <v>45814</v>
      </c>
    </row>
    <row r="629" spans="1:12">
      <c r="A629" t="s">
        <v>940</v>
      </c>
      <c r="B629" t="s">
        <v>460</v>
      </c>
      <c r="C629" t="s">
        <v>14</v>
      </c>
      <c r="D629" t="s">
        <v>36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 s="8">
        <v>0.93130000000000002</v>
      </c>
      <c r="K629">
        <v>110000</v>
      </c>
      <c r="L629" s="2">
        <v>46226</v>
      </c>
    </row>
    <row r="630" spans="1:12">
      <c r="A630" t="s">
        <v>941</v>
      </c>
      <c r="B630" t="s">
        <v>618</v>
      </c>
      <c r="C630" t="s">
        <v>19</v>
      </c>
      <c r="D630" t="s">
        <v>36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 s="8">
        <v>0.73860000000000003</v>
      </c>
      <c r="K630">
        <v>130000</v>
      </c>
      <c r="L630" s="2">
        <v>45767</v>
      </c>
    </row>
    <row r="631" spans="1:12">
      <c r="A631" t="s">
        <v>942</v>
      </c>
      <c r="B631" t="s">
        <v>833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 s="8">
        <v>0.80720000000000003</v>
      </c>
      <c r="K631">
        <v>85000</v>
      </c>
      <c r="L631" s="2">
        <v>45682</v>
      </c>
    </row>
    <row r="632" spans="1:12">
      <c r="A632" t="s">
        <v>943</v>
      </c>
      <c r="B632" t="s">
        <v>518</v>
      </c>
      <c r="C632" t="s">
        <v>19</v>
      </c>
      <c r="D632" t="s">
        <v>53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 s="8">
        <v>0.70789999999999997</v>
      </c>
      <c r="K632">
        <v>60000</v>
      </c>
      <c r="L632" s="2">
        <v>45621</v>
      </c>
    </row>
    <row r="633" spans="1:12">
      <c r="A633" t="s">
        <v>944</v>
      </c>
      <c r="B633" t="s">
        <v>291</v>
      </c>
      <c r="C633" t="s">
        <v>14</v>
      </c>
      <c r="D633" t="s">
        <v>36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 s="8">
        <v>0.83879999999999999</v>
      </c>
      <c r="K633">
        <v>75000</v>
      </c>
      <c r="L633" s="2">
        <v>45674</v>
      </c>
    </row>
    <row r="634" spans="1:12">
      <c r="A634" t="s">
        <v>945</v>
      </c>
      <c r="B634" t="s">
        <v>474</v>
      </c>
      <c r="C634" t="s">
        <v>14</v>
      </c>
      <c r="D634" t="s">
        <v>36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 s="8">
        <v>0.59550000000000003</v>
      </c>
      <c r="K634">
        <v>85000</v>
      </c>
      <c r="L634" s="2">
        <v>45629</v>
      </c>
    </row>
    <row r="635" spans="1:12">
      <c r="A635" t="s">
        <v>946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 s="8">
        <v>0.87860000000000005</v>
      </c>
      <c r="K635">
        <v>60000</v>
      </c>
      <c r="L635" s="2">
        <v>45937</v>
      </c>
    </row>
    <row r="636" spans="1:12">
      <c r="A636" t="s">
        <v>947</v>
      </c>
      <c r="B636" t="s">
        <v>251</v>
      </c>
      <c r="C636" t="s">
        <v>14</v>
      </c>
      <c r="D636" t="s">
        <v>28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 s="8">
        <v>0.71719999999999995</v>
      </c>
      <c r="K636">
        <v>70000</v>
      </c>
      <c r="L636" s="2">
        <v>45830</v>
      </c>
    </row>
    <row r="637" spans="1:12">
      <c r="A637" t="s">
        <v>948</v>
      </c>
      <c r="B637" t="s">
        <v>949</v>
      </c>
      <c r="C637" t="s">
        <v>19</v>
      </c>
      <c r="D637" t="s">
        <v>32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 s="8">
        <v>0.87719999999999998</v>
      </c>
      <c r="K637">
        <v>70000</v>
      </c>
      <c r="L637" s="2">
        <v>45884</v>
      </c>
    </row>
    <row r="638" spans="1:12">
      <c r="A638" t="s">
        <v>950</v>
      </c>
      <c r="B638" t="s">
        <v>581</v>
      </c>
      <c r="C638" t="s">
        <v>14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 s="8">
        <v>0.86419999999999997</v>
      </c>
      <c r="K638">
        <v>130000</v>
      </c>
      <c r="L638" s="2">
        <v>46118</v>
      </c>
    </row>
    <row r="639" spans="1:12">
      <c r="A639" t="s">
        <v>951</v>
      </c>
      <c r="B639" t="s">
        <v>562</v>
      </c>
      <c r="C639" t="s">
        <v>14</v>
      </c>
      <c r="D639" t="s">
        <v>36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 s="8">
        <v>0.76659999999999995</v>
      </c>
      <c r="K639">
        <v>80000</v>
      </c>
      <c r="L639" s="2">
        <v>45942</v>
      </c>
    </row>
    <row r="640" spans="1:12">
      <c r="A640" t="s">
        <v>952</v>
      </c>
      <c r="B640" t="s">
        <v>671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 s="8">
        <v>0.85640000000000005</v>
      </c>
      <c r="K640">
        <v>120000</v>
      </c>
      <c r="L640" s="2">
        <v>45644</v>
      </c>
    </row>
    <row r="641" spans="1:12">
      <c r="A641" t="s">
        <v>953</v>
      </c>
      <c r="B641" t="s">
        <v>256</v>
      </c>
      <c r="C641" t="s">
        <v>19</v>
      </c>
      <c r="D641" t="s">
        <v>32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 s="8">
        <v>0.68010000000000004</v>
      </c>
      <c r="K641">
        <v>90000</v>
      </c>
      <c r="L641" s="2">
        <v>45799</v>
      </c>
    </row>
    <row r="642" spans="1:12">
      <c r="A642" t="s">
        <v>954</v>
      </c>
      <c r="B642" t="s">
        <v>148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 s="8">
        <v>0.55000000000000004</v>
      </c>
      <c r="K642">
        <v>85000</v>
      </c>
      <c r="L642" s="2">
        <v>45754</v>
      </c>
    </row>
    <row r="643" spans="1:12">
      <c r="A643" t="s">
        <v>955</v>
      </c>
      <c r="B643" t="s">
        <v>433</v>
      </c>
      <c r="C643" t="s">
        <v>19</v>
      </c>
      <c r="D643" t="s">
        <v>53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 s="8">
        <v>0.91769999999999996</v>
      </c>
      <c r="K643">
        <v>130000</v>
      </c>
      <c r="L643" s="2">
        <v>46114</v>
      </c>
    </row>
    <row r="644" spans="1:12">
      <c r="A644" t="s">
        <v>956</v>
      </c>
      <c r="B644" t="s">
        <v>180</v>
      </c>
      <c r="C644" t="s">
        <v>19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 s="8">
        <v>0.85019999999999996</v>
      </c>
      <c r="K644">
        <v>100000</v>
      </c>
      <c r="L644" s="2">
        <v>45750</v>
      </c>
    </row>
    <row r="645" spans="1:12">
      <c r="A645" t="s">
        <v>957</v>
      </c>
      <c r="B645" t="s">
        <v>285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 s="8">
        <v>0.92879999999999996</v>
      </c>
      <c r="K645">
        <v>70000</v>
      </c>
      <c r="L645" s="2">
        <v>45633</v>
      </c>
    </row>
    <row r="646" spans="1:12">
      <c r="A646" t="s">
        <v>958</v>
      </c>
      <c r="B646" t="s">
        <v>127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 s="8">
        <v>0.97140000000000004</v>
      </c>
      <c r="K646">
        <v>75000</v>
      </c>
      <c r="L646" s="2">
        <v>46051</v>
      </c>
    </row>
    <row r="647" spans="1:12">
      <c r="A647" t="s">
        <v>959</v>
      </c>
      <c r="B647" t="s">
        <v>241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 s="8">
        <v>0.94579999999999997</v>
      </c>
      <c r="K647">
        <v>100000</v>
      </c>
      <c r="L647" s="2">
        <v>45835</v>
      </c>
    </row>
    <row r="648" spans="1:12">
      <c r="A648" t="s">
        <v>960</v>
      </c>
      <c r="B648" t="s">
        <v>872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 s="8">
        <v>0.80489999999999995</v>
      </c>
      <c r="K648">
        <v>50000</v>
      </c>
      <c r="L648" s="2">
        <v>45603</v>
      </c>
    </row>
    <row r="649" spans="1:12">
      <c r="A649" t="s">
        <v>961</v>
      </c>
      <c r="B649" t="s">
        <v>485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 s="8">
        <v>0.9093</v>
      </c>
      <c r="K649">
        <v>60000</v>
      </c>
      <c r="L649" s="2">
        <v>46018</v>
      </c>
    </row>
    <row r="650" spans="1:12">
      <c r="A650" t="s">
        <v>962</v>
      </c>
      <c r="B650" t="s">
        <v>761</v>
      </c>
      <c r="C650" t="s">
        <v>19</v>
      </c>
      <c r="D650" t="s">
        <v>15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 s="8">
        <v>0.70750000000000002</v>
      </c>
      <c r="K650">
        <v>50000</v>
      </c>
      <c r="L650" s="2">
        <v>45683</v>
      </c>
    </row>
    <row r="651" spans="1:12">
      <c r="A651" t="s">
        <v>963</v>
      </c>
      <c r="B651" t="s">
        <v>77</v>
      </c>
      <c r="C651" t="s">
        <v>19</v>
      </c>
      <c r="D651" t="s">
        <v>28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 s="8">
        <v>0.89190000000000003</v>
      </c>
      <c r="K651">
        <v>100000</v>
      </c>
      <c r="L651" s="2">
        <v>46143</v>
      </c>
    </row>
    <row r="652" spans="1:12">
      <c r="A652" t="s">
        <v>964</v>
      </c>
      <c r="B652" t="s">
        <v>833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 s="8">
        <v>0.94720000000000004</v>
      </c>
      <c r="K652">
        <v>80000</v>
      </c>
      <c r="L652" s="2">
        <v>46118</v>
      </c>
    </row>
    <row r="653" spans="1:12">
      <c r="A653" t="s">
        <v>965</v>
      </c>
      <c r="B653" t="s">
        <v>98</v>
      </c>
      <c r="C653" t="s">
        <v>19</v>
      </c>
      <c r="D653" t="s">
        <v>36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 s="8">
        <v>0.78739999999999999</v>
      </c>
      <c r="K653">
        <v>50000</v>
      </c>
      <c r="L653" s="2">
        <v>45794</v>
      </c>
    </row>
    <row r="654" spans="1:12">
      <c r="A654" t="s">
        <v>966</v>
      </c>
      <c r="B654" t="s">
        <v>564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 s="8">
        <v>0.85770000000000002</v>
      </c>
      <c r="K654">
        <v>110000</v>
      </c>
      <c r="L654" s="2">
        <v>45924</v>
      </c>
    </row>
    <row r="655" spans="1:12">
      <c r="A655" t="s">
        <v>967</v>
      </c>
      <c r="B655" t="s">
        <v>880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 s="8">
        <v>0.95340000000000003</v>
      </c>
      <c r="K655">
        <v>100000</v>
      </c>
      <c r="L655" s="2">
        <v>45933</v>
      </c>
    </row>
    <row r="656" spans="1:12">
      <c r="A656" t="s">
        <v>968</v>
      </c>
      <c r="B656" t="s">
        <v>226</v>
      </c>
      <c r="C656" t="s">
        <v>19</v>
      </c>
      <c r="D656" t="s">
        <v>36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 s="8">
        <v>0.93410000000000004</v>
      </c>
      <c r="K656">
        <v>100000</v>
      </c>
      <c r="L656" s="2">
        <v>45993</v>
      </c>
    </row>
    <row r="657" spans="1:12">
      <c r="A657" t="s">
        <v>969</v>
      </c>
      <c r="B657" t="s">
        <v>50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 s="8">
        <v>0.88429999999999997</v>
      </c>
      <c r="K657">
        <v>60000</v>
      </c>
      <c r="L657" s="2">
        <v>45584</v>
      </c>
    </row>
    <row r="658" spans="1:12">
      <c r="A658" t="s">
        <v>970</v>
      </c>
      <c r="B658" t="s">
        <v>61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 s="8">
        <v>0.86040000000000005</v>
      </c>
      <c r="K658">
        <v>120000</v>
      </c>
      <c r="L658" s="2">
        <v>45763</v>
      </c>
    </row>
    <row r="659" spans="1:12">
      <c r="A659" t="s">
        <v>971</v>
      </c>
      <c r="B659" t="s">
        <v>310</v>
      </c>
      <c r="C659" t="s">
        <v>19</v>
      </c>
      <c r="D659" t="s">
        <v>15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 s="8">
        <v>0.89090000000000003</v>
      </c>
      <c r="K659">
        <v>60000</v>
      </c>
      <c r="L659" s="2">
        <v>45655</v>
      </c>
    </row>
    <row r="660" spans="1:12">
      <c r="A660" t="s">
        <v>972</v>
      </c>
      <c r="B660" t="s">
        <v>494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 s="8">
        <v>0.69230000000000003</v>
      </c>
      <c r="K660">
        <v>90000</v>
      </c>
      <c r="L660" s="2">
        <v>46024</v>
      </c>
    </row>
    <row r="661" spans="1:12">
      <c r="A661" t="s">
        <v>973</v>
      </c>
      <c r="B661" t="s">
        <v>555</v>
      </c>
      <c r="C661" t="s">
        <v>14</v>
      </c>
      <c r="D661" t="s">
        <v>20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 s="8">
        <v>0.60650000000000004</v>
      </c>
      <c r="K661">
        <v>90000</v>
      </c>
      <c r="L661" s="2">
        <v>45584</v>
      </c>
    </row>
    <row r="662" spans="1:12">
      <c r="A662" t="s">
        <v>974</v>
      </c>
      <c r="B662" t="s">
        <v>975</v>
      </c>
      <c r="C662" t="s">
        <v>14</v>
      </c>
      <c r="D662" t="s">
        <v>15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 s="8">
        <v>0.95640000000000003</v>
      </c>
      <c r="K662">
        <v>70000</v>
      </c>
      <c r="L662" s="2">
        <v>45897</v>
      </c>
    </row>
    <row r="663" spans="1:12">
      <c r="A663" t="s">
        <v>976</v>
      </c>
      <c r="B663" t="s">
        <v>166</v>
      </c>
      <c r="C663" t="s">
        <v>19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 s="8">
        <v>0.90159999999999996</v>
      </c>
      <c r="K663">
        <v>80000</v>
      </c>
      <c r="L663" s="2">
        <v>46045</v>
      </c>
    </row>
    <row r="664" spans="1:12">
      <c r="A664" t="s">
        <v>977</v>
      </c>
      <c r="B664" t="s">
        <v>482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 s="8">
        <v>0.91339999999999999</v>
      </c>
      <c r="K664">
        <v>50000</v>
      </c>
      <c r="L664" s="2">
        <v>46199</v>
      </c>
    </row>
    <row r="665" spans="1:12">
      <c r="A665" t="s">
        <v>978</v>
      </c>
      <c r="B665" t="s">
        <v>202</v>
      </c>
      <c r="C665" t="s">
        <v>14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 s="8">
        <v>0.94720000000000004</v>
      </c>
      <c r="K665">
        <v>85000</v>
      </c>
      <c r="L665" s="2">
        <v>45737</v>
      </c>
    </row>
    <row r="666" spans="1:12">
      <c r="A666" t="s">
        <v>979</v>
      </c>
      <c r="B666" t="s">
        <v>315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 s="8">
        <v>0.97170000000000001</v>
      </c>
      <c r="K666">
        <v>100000</v>
      </c>
      <c r="L666" s="2">
        <v>45541</v>
      </c>
    </row>
    <row r="667" spans="1:12">
      <c r="A667" t="s">
        <v>980</v>
      </c>
      <c r="B667" t="s">
        <v>301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 s="8">
        <v>0.93730000000000002</v>
      </c>
      <c r="K667">
        <v>75000</v>
      </c>
      <c r="L667" s="2">
        <v>46042</v>
      </c>
    </row>
    <row r="668" spans="1:12">
      <c r="A668" t="s">
        <v>981</v>
      </c>
      <c r="B668" t="s">
        <v>420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 s="8">
        <v>0.80459999999999998</v>
      </c>
      <c r="K668">
        <v>85000</v>
      </c>
      <c r="L668" s="2">
        <v>45537</v>
      </c>
    </row>
    <row r="669" spans="1:12">
      <c r="A669" t="s">
        <v>982</v>
      </c>
      <c r="B669" t="s">
        <v>123</v>
      </c>
      <c r="C669" t="s">
        <v>19</v>
      </c>
      <c r="D669" t="s">
        <v>20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 s="8">
        <v>0.86370000000000002</v>
      </c>
      <c r="K669">
        <v>130000</v>
      </c>
      <c r="L669" s="2">
        <v>45582</v>
      </c>
    </row>
    <row r="670" spans="1:12">
      <c r="A670" t="s">
        <v>983</v>
      </c>
      <c r="B670" t="s">
        <v>984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 s="8">
        <v>0.71220000000000006</v>
      </c>
      <c r="K670">
        <v>70000</v>
      </c>
      <c r="L670" s="2">
        <v>46229</v>
      </c>
    </row>
    <row r="671" spans="1:12">
      <c r="A671" t="s">
        <v>985</v>
      </c>
      <c r="B671" t="s">
        <v>496</v>
      </c>
      <c r="C671" t="s">
        <v>14</v>
      </c>
      <c r="D671" t="s">
        <v>20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 s="8">
        <v>0.88290000000000002</v>
      </c>
      <c r="K671">
        <v>75000</v>
      </c>
      <c r="L671" s="2">
        <v>46139</v>
      </c>
    </row>
    <row r="672" spans="1:12">
      <c r="A672" t="s">
        <v>986</v>
      </c>
      <c r="B672" t="s">
        <v>213</v>
      </c>
      <c r="C672" t="s">
        <v>19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 s="8">
        <v>0.84699999999999998</v>
      </c>
      <c r="K672">
        <v>60000</v>
      </c>
      <c r="L672" s="2">
        <v>46031</v>
      </c>
    </row>
    <row r="673" spans="1:12">
      <c r="A673" t="s">
        <v>987</v>
      </c>
      <c r="B673" t="s">
        <v>734</v>
      </c>
      <c r="C673" t="s">
        <v>19</v>
      </c>
      <c r="D673" t="s">
        <v>28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 s="8">
        <v>0.55000000000000004</v>
      </c>
      <c r="K673">
        <v>85000</v>
      </c>
      <c r="L673" s="2">
        <v>46120</v>
      </c>
    </row>
    <row r="674" spans="1:12">
      <c r="A674" t="s">
        <v>988</v>
      </c>
      <c r="B674" t="s">
        <v>237</v>
      </c>
      <c r="C674" t="s">
        <v>19</v>
      </c>
      <c r="D674" t="s">
        <v>36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 s="8">
        <v>0.65739999999999998</v>
      </c>
      <c r="K674">
        <v>70000</v>
      </c>
      <c r="L674" s="2">
        <v>45588</v>
      </c>
    </row>
    <row r="675" spans="1:12">
      <c r="A675" t="s">
        <v>989</v>
      </c>
      <c r="B675" t="s">
        <v>926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 s="8">
        <v>0.59</v>
      </c>
      <c r="K675">
        <v>120000</v>
      </c>
      <c r="L675" s="2">
        <v>45598</v>
      </c>
    </row>
    <row r="676" spans="1:12">
      <c r="A676" t="s">
        <v>990</v>
      </c>
      <c r="B676" t="s">
        <v>589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 s="8">
        <v>0.73750000000000004</v>
      </c>
      <c r="K676">
        <v>75000</v>
      </c>
      <c r="L676" s="2">
        <v>45746</v>
      </c>
    </row>
    <row r="677" spans="1:12">
      <c r="A677" t="s">
        <v>991</v>
      </c>
      <c r="B677" t="s">
        <v>229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 s="8">
        <v>0.88280000000000003</v>
      </c>
      <c r="K677">
        <v>100000</v>
      </c>
      <c r="L677" s="2">
        <v>45552</v>
      </c>
    </row>
    <row r="678" spans="1:12">
      <c r="A678" t="s">
        <v>992</v>
      </c>
      <c r="B678" t="s">
        <v>226</v>
      </c>
      <c r="C678" t="s">
        <v>19</v>
      </c>
      <c r="D678" t="s">
        <v>36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 s="8">
        <v>0.93310000000000004</v>
      </c>
      <c r="K678">
        <v>70000</v>
      </c>
      <c r="L678" s="2">
        <v>46157</v>
      </c>
    </row>
    <row r="679" spans="1:12">
      <c r="A679" t="s">
        <v>993</v>
      </c>
      <c r="B679" t="s">
        <v>444</v>
      </c>
      <c r="C679" t="s">
        <v>14</v>
      </c>
      <c r="D679" t="s">
        <v>53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 s="8">
        <v>0.85160000000000002</v>
      </c>
      <c r="K679">
        <v>75000</v>
      </c>
      <c r="L679" s="2">
        <v>45575</v>
      </c>
    </row>
    <row r="680" spans="1:12">
      <c r="A680" t="s">
        <v>994</v>
      </c>
      <c r="B680" t="s">
        <v>690</v>
      </c>
      <c r="C680" t="s">
        <v>19</v>
      </c>
      <c r="D680" t="s">
        <v>28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 s="8">
        <v>0.75070000000000003</v>
      </c>
      <c r="K680">
        <v>60000</v>
      </c>
      <c r="L680" s="2">
        <v>45916</v>
      </c>
    </row>
    <row r="681" spans="1:12">
      <c r="A681" t="s">
        <v>995</v>
      </c>
      <c r="B681" t="s">
        <v>307</v>
      </c>
      <c r="C681" t="s">
        <v>19</v>
      </c>
      <c r="D681" t="s">
        <v>53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 s="8">
        <v>0.84740000000000004</v>
      </c>
      <c r="K681">
        <v>90000</v>
      </c>
      <c r="L681" s="2">
        <v>46133</v>
      </c>
    </row>
    <row r="682" spans="1:12">
      <c r="A682" t="s">
        <v>996</v>
      </c>
      <c r="B682" t="s">
        <v>690</v>
      </c>
      <c r="C682" t="s">
        <v>19</v>
      </c>
      <c r="D682" t="s">
        <v>36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 s="8">
        <v>0.73050000000000004</v>
      </c>
      <c r="K682">
        <v>50000</v>
      </c>
      <c r="L682" s="2">
        <v>46050</v>
      </c>
    </row>
    <row r="683" spans="1:12">
      <c r="A683" t="s">
        <v>997</v>
      </c>
      <c r="B683" t="s">
        <v>474</v>
      </c>
      <c r="C683" t="s">
        <v>14</v>
      </c>
      <c r="D683" t="s">
        <v>53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 s="8">
        <v>0.82169999999999999</v>
      </c>
      <c r="K683">
        <v>50000</v>
      </c>
      <c r="L683" s="2">
        <v>45700</v>
      </c>
    </row>
    <row r="684" spans="1:12">
      <c r="A684" t="s">
        <v>998</v>
      </c>
      <c r="B684" t="s">
        <v>67</v>
      </c>
      <c r="C684" t="s">
        <v>19</v>
      </c>
      <c r="D684" t="s">
        <v>53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 s="8">
        <v>0.83730000000000004</v>
      </c>
      <c r="K684">
        <v>85000</v>
      </c>
      <c r="L684" s="2">
        <v>45865</v>
      </c>
    </row>
    <row r="685" spans="1:12">
      <c r="A685" t="s">
        <v>999</v>
      </c>
      <c r="B685" t="s">
        <v>420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 s="8">
        <v>0.92469999999999997</v>
      </c>
      <c r="K685">
        <v>90000</v>
      </c>
      <c r="L685" s="2">
        <v>45919</v>
      </c>
    </row>
    <row r="686" spans="1:12">
      <c r="A686" t="s">
        <v>1000</v>
      </c>
      <c r="B686" t="s">
        <v>157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 s="8">
        <v>0.55000000000000004</v>
      </c>
      <c r="K686">
        <v>75000</v>
      </c>
      <c r="L686" s="2">
        <v>46073</v>
      </c>
    </row>
    <row r="687" spans="1:12">
      <c r="A687" t="s">
        <v>1001</v>
      </c>
      <c r="B687" t="s">
        <v>315</v>
      </c>
      <c r="C687" t="s">
        <v>19</v>
      </c>
      <c r="D687" t="s">
        <v>15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 s="8">
        <v>0.93669999999999998</v>
      </c>
      <c r="K687">
        <v>80000</v>
      </c>
      <c r="L687" s="2">
        <v>45834</v>
      </c>
    </row>
    <row r="688" spans="1:12">
      <c r="A688" t="s">
        <v>1002</v>
      </c>
      <c r="B688" t="s">
        <v>467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 s="8">
        <v>0.81459999999999999</v>
      </c>
      <c r="K688">
        <v>80000</v>
      </c>
      <c r="L688" s="2">
        <v>45735</v>
      </c>
    </row>
    <row r="689" spans="1:12">
      <c r="A689" t="s">
        <v>1003</v>
      </c>
      <c r="B689" t="s">
        <v>173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 s="8">
        <v>0.90949999999999998</v>
      </c>
      <c r="K689">
        <v>110000</v>
      </c>
      <c r="L689" s="2">
        <v>46092</v>
      </c>
    </row>
    <row r="690" spans="1:12">
      <c r="A690" t="s">
        <v>1004</v>
      </c>
      <c r="B690" t="s">
        <v>231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 s="8">
        <v>0.81869999999999998</v>
      </c>
      <c r="K690">
        <v>80000</v>
      </c>
      <c r="L690" s="2">
        <v>46156</v>
      </c>
    </row>
    <row r="691" spans="1:12">
      <c r="A691" t="s">
        <v>1005</v>
      </c>
      <c r="B691" t="s">
        <v>344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 s="8">
        <v>0.95199999999999996</v>
      </c>
      <c r="K691">
        <v>120000</v>
      </c>
      <c r="L691" s="2">
        <v>45878</v>
      </c>
    </row>
    <row r="692" spans="1:12">
      <c r="A692" t="s">
        <v>1006</v>
      </c>
      <c r="B692" t="s">
        <v>490</v>
      </c>
      <c r="C692" t="s">
        <v>19</v>
      </c>
      <c r="D692" t="s">
        <v>36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 s="8">
        <v>0.57320000000000004</v>
      </c>
      <c r="K692">
        <v>70000</v>
      </c>
      <c r="L692" s="2">
        <v>45555</v>
      </c>
    </row>
    <row r="693" spans="1:12">
      <c r="A693" t="s">
        <v>1007</v>
      </c>
      <c r="B693" t="s">
        <v>908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 s="8">
        <v>0.87280000000000002</v>
      </c>
      <c r="K693">
        <v>70000</v>
      </c>
      <c r="L693" s="2">
        <v>45886</v>
      </c>
    </row>
    <row r="694" spans="1:12">
      <c r="A694" t="s">
        <v>1008</v>
      </c>
      <c r="B694" t="s">
        <v>1009</v>
      </c>
      <c r="C694" t="s">
        <v>19</v>
      </c>
      <c r="D694" t="s">
        <v>28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 s="8">
        <v>0.78190000000000004</v>
      </c>
      <c r="K694">
        <v>80000</v>
      </c>
      <c r="L694" s="2">
        <v>46158</v>
      </c>
    </row>
    <row r="695" spans="1:12">
      <c r="A695" t="s">
        <v>1010</v>
      </c>
      <c r="B695" t="s">
        <v>636</v>
      </c>
      <c r="C695" t="s">
        <v>19</v>
      </c>
      <c r="D695" t="s">
        <v>20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 s="8">
        <v>0.91690000000000005</v>
      </c>
      <c r="K695">
        <v>50000</v>
      </c>
      <c r="L695" s="2">
        <v>46228</v>
      </c>
    </row>
    <row r="696" spans="1:12">
      <c r="A696" t="s">
        <v>1011</v>
      </c>
      <c r="B696" t="s">
        <v>669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 s="8">
        <v>0.99099999999999999</v>
      </c>
      <c r="K696">
        <v>100000</v>
      </c>
      <c r="L696" s="2">
        <v>45816</v>
      </c>
    </row>
    <row r="697" spans="1:12">
      <c r="A697" t="s">
        <v>1012</v>
      </c>
      <c r="B697" t="s">
        <v>532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 s="8">
        <v>0.84560000000000002</v>
      </c>
      <c r="K697">
        <v>80000</v>
      </c>
      <c r="L697" s="2">
        <v>45641</v>
      </c>
    </row>
    <row r="698" spans="1:12">
      <c r="A698" t="s">
        <v>1013</v>
      </c>
      <c r="B698" t="s">
        <v>173</v>
      </c>
      <c r="C698" t="s">
        <v>19</v>
      </c>
      <c r="D698" t="s">
        <v>36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 s="8">
        <v>0.82499999999999996</v>
      </c>
      <c r="K698">
        <v>80000</v>
      </c>
      <c r="L698" s="2">
        <v>45936</v>
      </c>
    </row>
    <row r="699" spans="1:12">
      <c r="A699" t="s">
        <v>1014</v>
      </c>
      <c r="B699" t="s">
        <v>853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 s="8">
        <v>0.93830000000000002</v>
      </c>
      <c r="K699">
        <v>85000</v>
      </c>
      <c r="L699" s="2">
        <v>46117</v>
      </c>
    </row>
    <row r="700" spans="1:12">
      <c r="A700" t="s">
        <v>1015</v>
      </c>
      <c r="B700" t="s">
        <v>594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 s="8">
        <v>0.83220000000000005</v>
      </c>
      <c r="K700">
        <v>50000</v>
      </c>
      <c r="L700" s="2">
        <v>46197</v>
      </c>
    </row>
    <row r="701" spans="1:12">
      <c r="A701" t="s">
        <v>1016</v>
      </c>
      <c r="B701" t="s">
        <v>139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 s="8">
        <v>0.76729999999999998</v>
      </c>
      <c r="K701">
        <v>80000</v>
      </c>
      <c r="L701" s="2">
        <v>45572</v>
      </c>
    </row>
    <row r="702" spans="1:12">
      <c r="A702" t="s">
        <v>1017</v>
      </c>
      <c r="B702" t="s">
        <v>362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 s="8">
        <v>0.79579999999999995</v>
      </c>
      <c r="K702">
        <v>130000</v>
      </c>
      <c r="L702" s="2">
        <v>45739</v>
      </c>
    </row>
    <row r="703" spans="1:12">
      <c r="A703" t="s">
        <v>1018</v>
      </c>
      <c r="B703" t="s">
        <v>748</v>
      </c>
      <c r="C703" t="s">
        <v>19</v>
      </c>
      <c r="D703" t="s">
        <v>28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 s="8">
        <v>0.96560000000000001</v>
      </c>
      <c r="K703">
        <v>90000</v>
      </c>
      <c r="L703" s="2">
        <v>45870</v>
      </c>
    </row>
    <row r="704" spans="1:12">
      <c r="A704" t="s">
        <v>1019</v>
      </c>
      <c r="B704" t="s">
        <v>975</v>
      </c>
      <c r="C704" t="s">
        <v>14</v>
      </c>
      <c r="D704" t="s">
        <v>36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 s="8">
        <v>0.90649999999999997</v>
      </c>
      <c r="K704">
        <v>90000</v>
      </c>
      <c r="L704" s="2">
        <v>45604</v>
      </c>
    </row>
    <row r="705" spans="1:12">
      <c r="A705" t="s">
        <v>1020</v>
      </c>
      <c r="B705" t="s">
        <v>354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 s="8">
        <v>0.74729999999999996</v>
      </c>
      <c r="K705">
        <v>85000</v>
      </c>
      <c r="L705" s="2">
        <v>46156</v>
      </c>
    </row>
    <row r="706" spans="1:12">
      <c r="A706" t="s">
        <v>1021</v>
      </c>
      <c r="B706" t="s">
        <v>246</v>
      </c>
      <c r="C706" t="s">
        <v>14</v>
      </c>
      <c r="D706" t="s">
        <v>53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 s="8">
        <v>0.95489999999999997</v>
      </c>
      <c r="K706">
        <v>85000</v>
      </c>
      <c r="L706" s="2">
        <v>45614</v>
      </c>
    </row>
    <row r="707" spans="1:12">
      <c r="A707" t="s">
        <v>1022</v>
      </c>
      <c r="B707" t="s">
        <v>908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 s="8">
        <v>0.95860000000000001</v>
      </c>
      <c r="K707">
        <v>130000</v>
      </c>
      <c r="L707" s="2">
        <v>46001</v>
      </c>
    </row>
    <row r="708" spans="1:12">
      <c r="A708" t="s">
        <v>1023</v>
      </c>
      <c r="B708" t="s">
        <v>625</v>
      </c>
      <c r="C708" t="s">
        <v>14</v>
      </c>
      <c r="D708" t="s">
        <v>20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 s="8">
        <v>0.65720000000000001</v>
      </c>
      <c r="K708">
        <v>130000</v>
      </c>
      <c r="L708" s="2">
        <v>46179</v>
      </c>
    </row>
    <row r="709" spans="1:12">
      <c r="A709" t="s">
        <v>1024</v>
      </c>
      <c r="B709" t="s">
        <v>184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 s="8">
        <v>0.83020000000000005</v>
      </c>
      <c r="K709">
        <v>80000</v>
      </c>
      <c r="L709" s="2">
        <v>46015</v>
      </c>
    </row>
    <row r="710" spans="1:12">
      <c r="A710" t="s">
        <v>1025</v>
      </c>
      <c r="B710" t="s">
        <v>258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 s="8">
        <v>0.8266</v>
      </c>
      <c r="K710">
        <v>130000</v>
      </c>
      <c r="L710" s="2">
        <v>46070</v>
      </c>
    </row>
    <row r="711" spans="1:12">
      <c r="A711" t="s">
        <v>1026</v>
      </c>
      <c r="B711" t="s">
        <v>555</v>
      </c>
      <c r="C711" t="s">
        <v>14</v>
      </c>
      <c r="D711" t="s">
        <v>20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 s="8">
        <v>0.8448</v>
      </c>
      <c r="K711">
        <v>50000</v>
      </c>
      <c r="L711" s="2">
        <v>45720</v>
      </c>
    </row>
    <row r="712" spans="1:12">
      <c r="A712" t="s">
        <v>1027</v>
      </c>
      <c r="B712" t="s">
        <v>224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 s="8">
        <v>0.87219999999999998</v>
      </c>
      <c r="K712">
        <v>75000</v>
      </c>
      <c r="L712" s="2">
        <v>46115</v>
      </c>
    </row>
    <row r="713" spans="1:12">
      <c r="A713" t="s">
        <v>1028</v>
      </c>
      <c r="B713" t="s">
        <v>113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 s="8">
        <v>0.96599999999999997</v>
      </c>
      <c r="K713">
        <v>75000</v>
      </c>
      <c r="L713" s="2">
        <v>45829</v>
      </c>
    </row>
    <row r="714" spans="1:12">
      <c r="A714" t="s">
        <v>1029</v>
      </c>
      <c r="B714" t="s">
        <v>79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 s="8">
        <v>0.76700000000000002</v>
      </c>
      <c r="K714">
        <v>100000</v>
      </c>
      <c r="L714" s="2">
        <v>45578</v>
      </c>
    </row>
    <row r="715" spans="1:12">
      <c r="A715" t="s">
        <v>1030</v>
      </c>
      <c r="B715" t="s">
        <v>436</v>
      </c>
      <c r="C715" t="s">
        <v>19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 s="8">
        <v>0.99</v>
      </c>
      <c r="K715">
        <v>90000</v>
      </c>
      <c r="L715" s="2">
        <v>45792</v>
      </c>
    </row>
    <row r="716" spans="1:12">
      <c r="A716" t="s">
        <v>1031</v>
      </c>
      <c r="B716" t="s">
        <v>1009</v>
      </c>
      <c r="C716" t="s">
        <v>19</v>
      </c>
      <c r="D716" t="s">
        <v>15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 s="8">
        <v>0.89849999999999997</v>
      </c>
      <c r="K716">
        <v>85000</v>
      </c>
      <c r="L716" s="2">
        <v>45780</v>
      </c>
    </row>
    <row r="717" spans="1:12">
      <c r="A717" t="s">
        <v>1032</v>
      </c>
      <c r="B717" t="s">
        <v>912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 s="8">
        <v>0.71240000000000003</v>
      </c>
      <c r="K717">
        <v>70000</v>
      </c>
      <c r="L717" s="2">
        <v>45901</v>
      </c>
    </row>
    <row r="718" spans="1:12">
      <c r="A718" t="s">
        <v>1033</v>
      </c>
      <c r="B718" t="s">
        <v>1034</v>
      </c>
      <c r="C718" t="s">
        <v>19</v>
      </c>
      <c r="D718" t="s">
        <v>53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 s="8">
        <v>0.88649999999999995</v>
      </c>
      <c r="K718">
        <v>85000</v>
      </c>
      <c r="L718" s="2">
        <v>45721</v>
      </c>
    </row>
    <row r="719" spans="1:12">
      <c r="A719" t="s">
        <v>1035</v>
      </c>
      <c r="B719" t="s">
        <v>1036</v>
      </c>
      <c r="C719" t="s">
        <v>14</v>
      </c>
      <c r="D719" t="s">
        <v>36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 s="8">
        <v>0.92649999999999999</v>
      </c>
      <c r="K719">
        <v>70000</v>
      </c>
      <c r="L719" s="2">
        <v>45859</v>
      </c>
    </row>
    <row r="720" spans="1:12">
      <c r="A720" t="s">
        <v>1037</v>
      </c>
      <c r="B720" t="s">
        <v>1038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 s="8">
        <v>0.93859999999999999</v>
      </c>
      <c r="K720">
        <v>85000</v>
      </c>
      <c r="L720" s="2">
        <v>45835</v>
      </c>
    </row>
    <row r="721" spans="1:12">
      <c r="A721" t="s">
        <v>1039</v>
      </c>
      <c r="B721" t="s">
        <v>557</v>
      </c>
      <c r="C721" t="s">
        <v>19</v>
      </c>
      <c r="D721" t="s">
        <v>53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 s="8">
        <v>0.80149999999999999</v>
      </c>
      <c r="K721">
        <v>75000</v>
      </c>
      <c r="L721" s="2">
        <v>45764</v>
      </c>
    </row>
    <row r="722" spans="1:12">
      <c r="A722" t="s">
        <v>1040</v>
      </c>
      <c r="B722" t="s">
        <v>210</v>
      </c>
      <c r="C722" t="s">
        <v>14</v>
      </c>
      <c r="D722" t="s">
        <v>36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 s="8">
        <v>0.55000000000000004</v>
      </c>
      <c r="K722">
        <v>120000</v>
      </c>
      <c r="L722" s="2">
        <v>46023</v>
      </c>
    </row>
    <row r="723" spans="1:12">
      <c r="A723" t="s">
        <v>1041</v>
      </c>
      <c r="B723" t="s">
        <v>805</v>
      </c>
      <c r="C723" t="s">
        <v>19</v>
      </c>
      <c r="D723" t="s">
        <v>36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 s="8">
        <v>0.9073</v>
      </c>
      <c r="K723">
        <v>110000</v>
      </c>
      <c r="L723" s="2">
        <v>45749</v>
      </c>
    </row>
    <row r="724" spans="1:12">
      <c r="A724" t="s">
        <v>1042</v>
      </c>
      <c r="B724" t="s">
        <v>455</v>
      </c>
      <c r="C724" t="s">
        <v>19</v>
      </c>
      <c r="D724" t="s">
        <v>53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 s="8">
        <v>0.55000000000000004</v>
      </c>
      <c r="K724">
        <v>60000</v>
      </c>
      <c r="L724" s="2">
        <v>46072</v>
      </c>
    </row>
    <row r="725" spans="1:12">
      <c r="A725" t="s">
        <v>1043</v>
      </c>
      <c r="B725" t="s">
        <v>496</v>
      </c>
      <c r="C725" t="s">
        <v>14</v>
      </c>
      <c r="D725" t="s">
        <v>53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 s="8">
        <v>0.91900000000000004</v>
      </c>
      <c r="K725">
        <v>130000</v>
      </c>
      <c r="L725" s="2">
        <v>45711</v>
      </c>
    </row>
    <row r="726" spans="1:12">
      <c r="A726" t="s">
        <v>1044</v>
      </c>
      <c r="B726" t="s">
        <v>984</v>
      </c>
      <c r="C726" t="s">
        <v>19</v>
      </c>
      <c r="D726" t="s">
        <v>15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 s="8">
        <v>0.86519999999999997</v>
      </c>
      <c r="K726">
        <v>100000</v>
      </c>
      <c r="L726" s="2">
        <v>46141</v>
      </c>
    </row>
    <row r="727" spans="1:12">
      <c r="A727" t="s">
        <v>1045</v>
      </c>
      <c r="B727" t="s">
        <v>1046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 s="8">
        <v>0.83299999999999996</v>
      </c>
      <c r="K727">
        <v>75000</v>
      </c>
      <c r="L727" s="2">
        <v>45791</v>
      </c>
    </row>
    <row r="728" spans="1:12">
      <c r="A728" t="s">
        <v>1047</v>
      </c>
      <c r="B728" t="s">
        <v>159</v>
      </c>
      <c r="C728" t="s">
        <v>19</v>
      </c>
      <c r="D728" t="s">
        <v>20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 s="8">
        <v>0.74470000000000003</v>
      </c>
      <c r="K728">
        <v>85000</v>
      </c>
      <c r="L728" s="2">
        <v>45564</v>
      </c>
    </row>
    <row r="729" spans="1:12">
      <c r="A729" t="s">
        <v>1048</v>
      </c>
      <c r="B729" t="s">
        <v>202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 s="8">
        <v>0.90090000000000003</v>
      </c>
      <c r="K729">
        <v>70000</v>
      </c>
      <c r="L729" s="2">
        <v>45640</v>
      </c>
    </row>
    <row r="730" spans="1:12">
      <c r="A730" t="s">
        <v>1049</v>
      </c>
      <c r="B730" t="s">
        <v>1050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 s="8">
        <v>0.94320000000000004</v>
      </c>
      <c r="K730">
        <v>50000</v>
      </c>
      <c r="L730" s="2">
        <v>46100</v>
      </c>
    </row>
    <row r="731" spans="1:12">
      <c r="A731" t="s">
        <v>1051</v>
      </c>
      <c r="B731" t="s">
        <v>323</v>
      </c>
      <c r="C731" t="s">
        <v>19</v>
      </c>
      <c r="D731" t="s">
        <v>53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 s="8">
        <v>0.71120000000000005</v>
      </c>
      <c r="K731">
        <v>80000</v>
      </c>
      <c r="L731" s="2">
        <v>46146</v>
      </c>
    </row>
    <row r="732" spans="1:12">
      <c r="A732" t="s">
        <v>1052</v>
      </c>
      <c r="B732" t="s">
        <v>651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 s="8">
        <v>0.88790000000000002</v>
      </c>
      <c r="K732">
        <v>110000</v>
      </c>
      <c r="L732" s="2">
        <v>45684</v>
      </c>
    </row>
    <row r="733" spans="1:12">
      <c r="A733" t="s">
        <v>1053</v>
      </c>
      <c r="B733" t="s">
        <v>246</v>
      </c>
      <c r="C733" t="s">
        <v>14</v>
      </c>
      <c r="D733" t="s">
        <v>36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 s="8">
        <v>0.74019999999999997</v>
      </c>
      <c r="K733">
        <v>75000</v>
      </c>
      <c r="L733" s="2">
        <v>45957</v>
      </c>
    </row>
    <row r="734" spans="1:12">
      <c r="A734" t="s">
        <v>1054</v>
      </c>
      <c r="B734" t="s">
        <v>150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 s="8">
        <v>0.81210000000000004</v>
      </c>
      <c r="K734">
        <v>80000</v>
      </c>
      <c r="L734" s="2">
        <v>45938</v>
      </c>
    </row>
    <row r="735" spans="1:12">
      <c r="A735" t="s">
        <v>1055</v>
      </c>
      <c r="B735" t="s">
        <v>262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 s="8">
        <v>0.70140000000000002</v>
      </c>
      <c r="K735">
        <v>130000</v>
      </c>
      <c r="L735" s="2">
        <v>45629</v>
      </c>
    </row>
    <row r="736" spans="1:12">
      <c r="A736" t="s">
        <v>1056</v>
      </c>
      <c r="B736" t="s">
        <v>194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 s="8">
        <v>0.99739999999999995</v>
      </c>
      <c r="K736">
        <v>130000</v>
      </c>
      <c r="L736" s="2">
        <v>45852</v>
      </c>
    </row>
    <row r="737" spans="1:12">
      <c r="A737" t="s">
        <v>1057</v>
      </c>
      <c r="B737" t="s">
        <v>805</v>
      </c>
      <c r="C737" t="s">
        <v>19</v>
      </c>
      <c r="D737" t="s">
        <v>36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 s="8">
        <v>0.90329999999999999</v>
      </c>
      <c r="K737">
        <v>85000</v>
      </c>
      <c r="L737" s="2">
        <v>46021</v>
      </c>
    </row>
    <row r="738" spans="1:12">
      <c r="A738" t="s">
        <v>1058</v>
      </c>
      <c r="B738" t="s">
        <v>734</v>
      </c>
      <c r="C738" t="s">
        <v>19</v>
      </c>
      <c r="D738" t="s">
        <v>53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 s="8">
        <v>0.90510000000000002</v>
      </c>
      <c r="K738">
        <v>50000</v>
      </c>
      <c r="L738" s="2">
        <v>46212</v>
      </c>
    </row>
    <row r="739" spans="1:12">
      <c r="A739" t="s">
        <v>1059</v>
      </c>
      <c r="B739" t="s">
        <v>492</v>
      </c>
      <c r="C739" t="s">
        <v>14</v>
      </c>
      <c r="D739" t="s">
        <v>32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 s="8">
        <v>0.96609999999999996</v>
      </c>
      <c r="K739">
        <v>100000</v>
      </c>
      <c r="L739" s="2">
        <v>46129</v>
      </c>
    </row>
    <row r="740" spans="1:12">
      <c r="A740" t="s">
        <v>1060</v>
      </c>
      <c r="B740" t="s">
        <v>744</v>
      </c>
      <c r="C740" t="s">
        <v>19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 s="8">
        <v>0.95450000000000002</v>
      </c>
      <c r="K740">
        <v>100000</v>
      </c>
      <c r="L740" s="2">
        <v>45604</v>
      </c>
    </row>
    <row r="741" spans="1:12">
      <c r="A741" t="s">
        <v>1061</v>
      </c>
      <c r="B741" t="s">
        <v>237</v>
      </c>
      <c r="C741" t="s">
        <v>19</v>
      </c>
      <c r="D741" t="s">
        <v>36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 s="8">
        <v>0.97</v>
      </c>
      <c r="K741">
        <v>130000</v>
      </c>
      <c r="L741" s="2">
        <v>45702</v>
      </c>
    </row>
    <row r="742" spans="1:12">
      <c r="A742" t="s">
        <v>1062</v>
      </c>
      <c r="B742" t="s">
        <v>141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 s="8">
        <v>0.90059999999999996</v>
      </c>
      <c r="K742">
        <v>130000</v>
      </c>
      <c r="L742" s="2">
        <v>45841</v>
      </c>
    </row>
    <row r="743" spans="1:12">
      <c r="A743" t="s">
        <v>1063</v>
      </c>
      <c r="B743" t="s">
        <v>148</v>
      </c>
      <c r="C743" t="s">
        <v>19</v>
      </c>
      <c r="D743" t="s">
        <v>36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 s="8">
        <v>0.82840000000000003</v>
      </c>
      <c r="K743">
        <v>90000</v>
      </c>
      <c r="L743" s="2">
        <v>45641</v>
      </c>
    </row>
    <row r="744" spans="1:12">
      <c r="A744" t="s">
        <v>1064</v>
      </c>
      <c r="B744" t="s">
        <v>204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 s="8">
        <v>0.90700000000000003</v>
      </c>
      <c r="K744">
        <v>60000</v>
      </c>
      <c r="L744" s="2">
        <v>45935</v>
      </c>
    </row>
    <row r="745" spans="1:12">
      <c r="A745" t="s">
        <v>1065</v>
      </c>
      <c r="B745" t="s">
        <v>73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 s="8">
        <v>0.87639999999999996</v>
      </c>
      <c r="K745">
        <v>70000</v>
      </c>
      <c r="L745" s="2">
        <v>45542</v>
      </c>
    </row>
    <row r="746" spans="1:12">
      <c r="A746" t="s">
        <v>1066</v>
      </c>
      <c r="B746" t="s">
        <v>256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 s="8">
        <v>0.78259999999999996</v>
      </c>
      <c r="K746">
        <v>100000</v>
      </c>
      <c r="L746" s="2">
        <v>45615</v>
      </c>
    </row>
    <row r="747" spans="1:12">
      <c r="A747" t="s">
        <v>1067</v>
      </c>
      <c r="B747" t="s">
        <v>139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 s="8">
        <v>0.62980000000000003</v>
      </c>
      <c r="K747">
        <v>90000</v>
      </c>
      <c r="L747" s="2">
        <v>45569</v>
      </c>
    </row>
    <row r="748" spans="1:12">
      <c r="A748" t="s">
        <v>1068</v>
      </c>
      <c r="B748" t="s">
        <v>477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 s="8">
        <v>0.95550000000000002</v>
      </c>
      <c r="K748">
        <v>80000</v>
      </c>
      <c r="L748" s="2">
        <v>45742</v>
      </c>
    </row>
    <row r="749" spans="1:12">
      <c r="A749" t="s">
        <v>1069</v>
      </c>
      <c r="B749" t="s">
        <v>607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 s="8">
        <v>0.79549999999999998</v>
      </c>
      <c r="K749">
        <v>80000</v>
      </c>
      <c r="L749" s="2">
        <v>46069</v>
      </c>
    </row>
    <row r="750" spans="1:12">
      <c r="A750" t="s">
        <v>1070</v>
      </c>
      <c r="B750" t="s">
        <v>494</v>
      </c>
      <c r="C750" t="s">
        <v>14</v>
      </c>
      <c r="D750" t="s">
        <v>36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 s="8">
        <v>0.93710000000000004</v>
      </c>
      <c r="K750">
        <v>100000</v>
      </c>
      <c r="L750" s="2">
        <v>45660</v>
      </c>
    </row>
    <row r="751" spans="1:12">
      <c r="A751" t="s">
        <v>1071</v>
      </c>
      <c r="B751" t="s">
        <v>117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 s="8">
        <v>0.90339999999999998</v>
      </c>
      <c r="K751">
        <v>80000</v>
      </c>
      <c r="L751" s="2">
        <v>46227</v>
      </c>
    </row>
    <row r="752" spans="1:12">
      <c r="A752" t="s">
        <v>1072</v>
      </c>
      <c r="B752" t="s">
        <v>724</v>
      </c>
      <c r="C752" t="s">
        <v>19</v>
      </c>
      <c r="D752" t="s">
        <v>36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 s="8">
        <v>0.76139999999999997</v>
      </c>
      <c r="K752">
        <v>60000</v>
      </c>
      <c r="L752" s="2">
        <v>45724</v>
      </c>
    </row>
    <row r="753" spans="1:12">
      <c r="A753" t="s">
        <v>1073</v>
      </c>
      <c r="B753" t="s">
        <v>1074</v>
      </c>
      <c r="C753" t="s">
        <v>14</v>
      </c>
      <c r="D753" t="s">
        <v>36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 s="8">
        <v>0.95430000000000004</v>
      </c>
      <c r="K753">
        <v>130000</v>
      </c>
      <c r="L753" s="2">
        <v>45567</v>
      </c>
    </row>
    <row r="754" spans="1:12">
      <c r="A754" t="s">
        <v>1075</v>
      </c>
      <c r="B754" t="s">
        <v>161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 s="8">
        <v>0.55000000000000004</v>
      </c>
      <c r="K754">
        <v>75000</v>
      </c>
      <c r="L754" s="2">
        <v>45770</v>
      </c>
    </row>
    <row r="755" spans="1:12">
      <c r="A755" t="s">
        <v>1076</v>
      </c>
      <c r="B755" t="s">
        <v>541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 s="8">
        <v>0.89139999999999997</v>
      </c>
      <c r="K755">
        <v>75000</v>
      </c>
      <c r="L755" s="2">
        <v>46059</v>
      </c>
    </row>
    <row r="756" spans="1:12">
      <c r="A756" t="s">
        <v>1077</v>
      </c>
      <c r="B756" t="s">
        <v>268</v>
      </c>
      <c r="C756" t="s">
        <v>19</v>
      </c>
      <c r="D756" t="s">
        <v>53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 s="8">
        <v>0.88549999999999995</v>
      </c>
      <c r="K756">
        <v>50000</v>
      </c>
      <c r="L756" s="2">
        <v>45610</v>
      </c>
    </row>
    <row r="757" spans="1:12">
      <c r="A757" t="s">
        <v>1078</v>
      </c>
      <c r="B757" t="s">
        <v>600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 s="8">
        <v>0.8679</v>
      </c>
      <c r="K757">
        <v>85000</v>
      </c>
      <c r="L757" s="2">
        <v>45586</v>
      </c>
    </row>
    <row r="758" spans="1:12">
      <c r="A758" t="s">
        <v>1079</v>
      </c>
      <c r="B758" t="s">
        <v>301</v>
      </c>
      <c r="C758" t="s">
        <v>19</v>
      </c>
      <c r="D758" t="s">
        <v>36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 s="8">
        <v>0.72019999999999995</v>
      </c>
      <c r="K758">
        <v>130000</v>
      </c>
      <c r="L758" s="2">
        <v>46130</v>
      </c>
    </row>
    <row r="759" spans="1:12">
      <c r="A759" t="s">
        <v>1080</v>
      </c>
      <c r="B759" t="s">
        <v>1081</v>
      </c>
      <c r="C759" t="s">
        <v>14</v>
      </c>
      <c r="D759" t="s">
        <v>53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 s="8">
        <v>0.83409999999999995</v>
      </c>
      <c r="K759">
        <v>60000</v>
      </c>
      <c r="L759" s="2">
        <v>45950</v>
      </c>
    </row>
    <row r="760" spans="1:12">
      <c r="A760" t="s">
        <v>1082</v>
      </c>
      <c r="B760" t="s">
        <v>939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 s="8">
        <v>0.6169</v>
      </c>
      <c r="K760">
        <v>70000</v>
      </c>
      <c r="L760" s="2">
        <v>45776</v>
      </c>
    </row>
    <row r="761" spans="1:12">
      <c r="A761" t="s">
        <v>1083</v>
      </c>
      <c r="B761" t="s">
        <v>59</v>
      </c>
      <c r="C761" t="s">
        <v>19</v>
      </c>
      <c r="D761" t="s">
        <v>20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 s="8">
        <v>0.94889999999999997</v>
      </c>
      <c r="K761">
        <v>60000</v>
      </c>
      <c r="L761" s="2">
        <v>46065</v>
      </c>
    </row>
    <row r="762" spans="1:12">
      <c r="A762" t="s">
        <v>1084</v>
      </c>
      <c r="B762" t="s">
        <v>1036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 s="8">
        <v>0.99560000000000004</v>
      </c>
      <c r="K762">
        <v>60000</v>
      </c>
      <c r="L762" s="2">
        <v>46127</v>
      </c>
    </row>
    <row r="763" spans="1:12">
      <c r="A763" t="s">
        <v>1085</v>
      </c>
      <c r="B763" t="s">
        <v>550</v>
      </c>
      <c r="C763" t="s">
        <v>19</v>
      </c>
      <c r="D763" t="s">
        <v>36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 s="8">
        <v>0.80189999999999995</v>
      </c>
      <c r="K763">
        <v>90000</v>
      </c>
      <c r="L763" s="2">
        <v>45787</v>
      </c>
    </row>
    <row r="764" spans="1:12">
      <c r="A764" t="s">
        <v>1086</v>
      </c>
      <c r="B764" t="s">
        <v>344</v>
      </c>
      <c r="C764" t="s">
        <v>19</v>
      </c>
      <c r="D764" t="s">
        <v>28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 s="8">
        <v>0.83889999999999998</v>
      </c>
      <c r="K764">
        <v>75000</v>
      </c>
      <c r="L764" s="2">
        <v>45928</v>
      </c>
    </row>
    <row r="765" spans="1:12">
      <c r="A765" t="s">
        <v>1087</v>
      </c>
      <c r="B765" t="s">
        <v>123</v>
      </c>
      <c r="C765" t="s">
        <v>19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 s="8">
        <v>0.92620000000000002</v>
      </c>
      <c r="K765">
        <v>110000</v>
      </c>
      <c r="L765" s="2">
        <v>45543</v>
      </c>
    </row>
    <row r="766" spans="1:12">
      <c r="A766" t="s">
        <v>1088</v>
      </c>
      <c r="B766" t="s">
        <v>632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 s="8">
        <v>0.90510000000000002</v>
      </c>
      <c r="K766">
        <v>80000</v>
      </c>
      <c r="L766" s="2">
        <v>45750</v>
      </c>
    </row>
    <row r="767" spans="1:12">
      <c r="A767" t="s">
        <v>1089</v>
      </c>
      <c r="B767" t="s">
        <v>761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 s="8">
        <v>0.55000000000000004</v>
      </c>
      <c r="K767">
        <v>100000</v>
      </c>
      <c r="L767" s="2">
        <v>45952</v>
      </c>
    </row>
    <row r="768" spans="1:12">
      <c r="A768" t="s">
        <v>1090</v>
      </c>
      <c r="B768" t="s">
        <v>949</v>
      </c>
      <c r="C768" t="s">
        <v>19</v>
      </c>
      <c r="D768" t="s">
        <v>36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 s="8">
        <v>0.80379999999999996</v>
      </c>
      <c r="K768">
        <v>50000</v>
      </c>
      <c r="L768" s="2">
        <v>45673</v>
      </c>
    </row>
    <row r="769" spans="1:12">
      <c r="A769" t="s">
        <v>1091</v>
      </c>
      <c r="B769" t="s">
        <v>1050</v>
      </c>
      <c r="C769" t="s">
        <v>14</v>
      </c>
      <c r="D769" t="s">
        <v>36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 s="8">
        <v>0.85829999999999995</v>
      </c>
      <c r="K769">
        <v>75000</v>
      </c>
      <c r="L769" s="2">
        <v>46229</v>
      </c>
    </row>
    <row r="770" spans="1:12">
      <c r="A770" t="s">
        <v>1092</v>
      </c>
      <c r="B770" t="s">
        <v>83</v>
      </c>
      <c r="C770" t="s">
        <v>14</v>
      </c>
      <c r="D770" t="s">
        <v>36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 s="8">
        <v>0.71250000000000002</v>
      </c>
      <c r="K770">
        <v>80000</v>
      </c>
      <c r="L770" s="2">
        <v>46215</v>
      </c>
    </row>
    <row r="771" spans="1:12">
      <c r="A771" t="s">
        <v>1093</v>
      </c>
      <c r="B771" t="s">
        <v>1094</v>
      </c>
      <c r="C771" t="s">
        <v>14</v>
      </c>
      <c r="D771" t="s">
        <v>53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 s="8">
        <v>0.84809999999999997</v>
      </c>
      <c r="K771">
        <v>50000</v>
      </c>
      <c r="L771" s="2">
        <v>45716</v>
      </c>
    </row>
    <row r="772" spans="1:12">
      <c r="A772" t="s">
        <v>1095</v>
      </c>
      <c r="B772" t="s">
        <v>146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 s="8">
        <v>0.74060000000000004</v>
      </c>
      <c r="K772">
        <v>80000</v>
      </c>
      <c r="L772" s="2">
        <v>45813</v>
      </c>
    </row>
    <row r="773" spans="1:12">
      <c r="A773" t="s">
        <v>1096</v>
      </c>
      <c r="B773" t="s">
        <v>301</v>
      </c>
      <c r="C773" t="s">
        <v>19</v>
      </c>
      <c r="D773" t="s">
        <v>53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 s="8">
        <v>0.82869999999999999</v>
      </c>
      <c r="K773">
        <v>85000</v>
      </c>
      <c r="L773" s="2">
        <v>45668</v>
      </c>
    </row>
    <row r="774" spans="1:12">
      <c r="A774" t="s">
        <v>1097</v>
      </c>
      <c r="B774" t="s">
        <v>1098</v>
      </c>
      <c r="C774" t="s">
        <v>14</v>
      </c>
      <c r="D774" t="s">
        <v>53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 s="8">
        <v>0.67949999999999999</v>
      </c>
      <c r="K774">
        <v>80000</v>
      </c>
      <c r="L774" s="2">
        <v>45888</v>
      </c>
    </row>
    <row r="775" spans="1:12">
      <c r="A775" t="s">
        <v>1099</v>
      </c>
      <c r="B775" t="s">
        <v>820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 s="8">
        <v>0.5958</v>
      </c>
      <c r="K775">
        <v>85000</v>
      </c>
      <c r="L775" s="2">
        <v>45622</v>
      </c>
    </row>
    <row r="776" spans="1:12">
      <c r="A776" t="s">
        <v>1100</v>
      </c>
      <c r="B776" t="s">
        <v>213</v>
      </c>
      <c r="C776" t="s">
        <v>19</v>
      </c>
      <c r="D776" t="s">
        <v>15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 s="8">
        <v>0.87680000000000002</v>
      </c>
      <c r="K776">
        <v>110000</v>
      </c>
      <c r="L776" s="2">
        <v>45809</v>
      </c>
    </row>
    <row r="777" spans="1:12">
      <c r="A777" t="s">
        <v>1101</v>
      </c>
      <c r="B777" t="s">
        <v>853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 s="8">
        <v>0.84550000000000003</v>
      </c>
      <c r="K777">
        <v>110000</v>
      </c>
      <c r="L777" s="2">
        <v>45924</v>
      </c>
    </row>
    <row r="778" spans="1:12">
      <c r="A778" t="s">
        <v>1102</v>
      </c>
      <c r="B778" t="s">
        <v>288</v>
      </c>
      <c r="C778" t="s">
        <v>14</v>
      </c>
      <c r="D778" t="s">
        <v>36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 s="8">
        <v>0.81420000000000003</v>
      </c>
      <c r="K778">
        <v>50000</v>
      </c>
      <c r="L778" s="2">
        <v>45964</v>
      </c>
    </row>
    <row r="779" spans="1:12">
      <c r="A779" t="s">
        <v>1103</v>
      </c>
      <c r="B779" t="s">
        <v>340</v>
      </c>
      <c r="C779" t="s">
        <v>14</v>
      </c>
      <c r="D779" t="s">
        <v>53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 s="8">
        <v>0.76249999999999996</v>
      </c>
      <c r="K779">
        <v>100000</v>
      </c>
      <c r="L779" s="2">
        <v>45953</v>
      </c>
    </row>
    <row r="780" spans="1:12">
      <c r="A780" t="s">
        <v>1104</v>
      </c>
      <c r="B780" t="s">
        <v>131</v>
      </c>
      <c r="C780" t="s">
        <v>14</v>
      </c>
      <c r="D780" t="s">
        <v>28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 s="8">
        <v>0.82840000000000003</v>
      </c>
      <c r="K780">
        <v>120000</v>
      </c>
      <c r="L780" s="2">
        <v>45690</v>
      </c>
    </row>
    <row r="781" spans="1:12">
      <c r="A781" t="s">
        <v>1105</v>
      </c>
      <c r="B781" t="s">
        <v>1106</v>
      </c>
      <c r="C781" t="s">
        <v>19</v>
      </c>
      <c r="D781" t="s">
        <v>36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 s="8">
        <v>0.80620000000000003</v>
      </c>
      <c r="K781">
        <v>120000</v>
      </c>
      <c r="L781" s="2">
        <v>46090</v>
      </c>
    </row>
    <row r="782" spans="1:12">
      <c r="A782" t="s">
        <v>1107</v>
      </c>
      <c r="B782" t="s">
        <v>98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 s="8">
        <v>0.90510000000000002</v>
      </c>
      <c r="K782">
        <v>75000</v>
      </c>
      <c r="L782" s="2">
        <v>46020</v>
      </c>
    </row>
    <row r="783" spans="1:12">
      <c r="A783" t="s">
        <v>1108</v>
      </c>
      <c r="B783" t="s">
        <v>667</v>
      </c>
      <c r="C783" t="s">
        <v>19</v>
      </c>
      <c r="D783" t="s">
        <v>28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 s="8">
        <v>0.69879999999999998</v>
      </c>
      <c r="K783">
        <v>110000</v>
      </c>
      <c r="L783" s="2">
        <v>46063</v>
      </c>
    </row>
    <row r="784" spans="1:12">
      <c r="A784" t="s">
        <v>1109</v>
      </c>
      <c r="B784" t="s">
        <v>83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 s="8">
        <v>0.82950000000000002</v>
      </c>
      <c r="K784">
        <v>110000</v>
      </c>
      <c r="L784" s="2">
        <v>45863</v>
      </c>
    </row>
    <row r="785" spans="1:12">
      <c r="A785" t="s">
        <v>1110</v>
      </c>
      <c r="B785" t="s">
        <v>737</v>
      </c>
      <c r="C785" t="s">
        <v>14</v>
      </c>
      <c r="D785" t="s">
        <v>36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 s="8">
        <v>0.80069999999999997</v>
      </c>
      <c r="K785">
        <v>80000</v>
      </c>
      <c r="L785" s="2">
        <v>46160</v>
      </c>
    </row>
    <row r="786" spans="1:12">
      <c r="A786" t="s">
        <v>1111</v>
      </c>
      <c r="B786" t="s">
        <v>297</v>
      </c>
      <c r="C786" t="s">
        <v>14</v>
      </c>
      <c r="D786" t="s">
        <v>53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 s="8">
        <v>0.93810000000000004</v>
      </c>
      <c r="K786">
        <v>120000</v>
      </c>
      <c r="L786" s="2">
        <v>45808</v>
      </c>
    </row>
    <row r="787" spans="1:12">
      <c r="A787" t="s">
        <v>1112</v>
      </c>
      <c r="B787" t="s">
        <v>509</v>
      </c>
      <c r="C787" t="s">
        <v>19</v>
      </c>
      <c r="D787" t="s">
        <v>36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 s="8">
        <v>0.91359999999999997</v>
      </c>
      <c r="K787">
        <v>90000</v>
      </c>
      <c r="L787" s="2">
        <v>46100</v>
      </c>
    </row>
    <row r="788" spans="1:12">
      <c r="A788" t="s">
        <v>1113</v>
      </c>
      <c r="B788" t="s">
        <v>930</v>
      </c>
      <c r="C788" t="s">
        <v>14</v>
      </c>
      <c r="D788" t="s">
        <v>20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 s="8">
        <v>0.88260000000000005</v>
      </c>
      <c r="K788">
        <v>110000</v>
      </c>
      <c r="L788" s="2">
        <v>45678</v>
      </c>
    </row>
    <row r="789" spans="1:12">
      <c r="A789" t="s">
        <v>1114</v>
      </c>
      <c r="B789" t="s">
        <v>344</v>
      </c>
      <c r="C789" t="s">
        <v>19</v>
      </c>
      <c r="D789" t="s">
        <v>20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 s="8">
        <v>0.81179999999999997</v>
      </c>
      <c r="K789">
        <v>110000</v>
      </c>
      <c r="L789" s="2">
        <v>45709</v>
      </c>
    </row>
    <row r="790" spans="1:12">
      <c r="A790" t="s">
        <v>1115</v>
      </c>
      <c r="B790" t="s">
        <v>204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 s="8">
        <v>0.55000000000000004</v>
      </c>
      <c r="K790">
        <v>110000</v>
      </c>
      <c r="L790" s="2">
        <v>45904</v>
      </c>
    </row>
    <row r="791" spans="1:12">
      <c r="A791" t="s">
        <v>1116</v>
      </c>
      <c r="B791" t="s">
        <v>94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 s="8">
        <v>0.85599999999999998</v>
      </c>
      <c r="K791">
        <v>130000</v>
      </c>
      <c r="L791" s="2">
        <v>45925</v>
      </c>
    </row>
    <row r="792" spans="1:12">
      <c r="A792" t="s">
        <v>1117</v>
      </c>
      <c r="B792" t="s">
        <v>295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 s="8">
        <v>0.96150000000000002</v>
      </c>
      <c r="K792">
        <v>120000</v>
      </c>
      <c r="L792" s="2">
        <v>46058</v>
      </c>
    </row>
    <row r="793" spans="1:12">
      <c r="A793" t="s">
        <v>1118</v>
      </c>
      <c r="B793" t="s">
        <v>1119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 s="8">
        <v>0.71220000000000006</v>
      </c>
      <c r="K793">
        <v>80000</v>
      </c>
      <c r="L793" s="2">
        <v>45744</v>
      </c>
    </row>
    <row r="794" spans="1:12">
      <c r="A794" t="s">
        <v>1120</v>
      </c>
      <c r="B794" t="s">
        <v>146</v>
      </c>
      <c r="C794" t="s">
        <v>19</v>
      </c>
      <c r="D794" t="s">
        <v>36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 s="8">
        <v>0.9073</v>
      </c>
      <c r="K794">
        <v>90000</v>
      </c>
      <c r="L794" s="2">
        <v>46146</v>
      </c>
    </row>
    <row r="795" spans="1:12">
      <c r="A795" t="s">
        <v>1121</v>
      </c>
      <c r="B795" t="s">
        <v>55</v>
      </c>
      <c r="C795" t="s">
        <v>19</v>
      </c>
      <c r="D795" t="s">
        <v>28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 s="8">
        <v>0.74050000000000005</v>
      </c>
      <c r="K795">
        <v>100000</v>
      </c>
      <c r="L795" s="2">
        <v>45766</v>
      </c>
    </row>
    <row r="796" spans="1:12">
      <c r="A796" t="s">
        <v>1122</v>
      </c>
      <c r="B796" t="s">
        <v>444</v>
      </c>
      <c r="C796" t="s">
        <v>14</v>
      </c>
      <c r="D796" t="s">
        <v>20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 s="8">
        <v>0.67169999999999996</v>
      </c>
      <c r="K796">
        <v>120000</v>
      </c>
      <c r="L796" s="2">
        <v>45909</v>
      </c>
    </row>
    <row r="797" spans="1:12">
      <c r="A797" t="s">
        <v>1123</v>
      </c>
      <c r="B797" t="s">
        <v>431</v>
      </c>
      <c r="C797" t="s">
        <v>14</v>
      </c>
      <c r="D797" t="s">
        <v>53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 s="8">
        <v>0.92059999999999997</v>
      </c>
      <c r="K797">
        <v>80000</v>
      </c>
      <c r="L797" s="2">
        <v>46188</v>
      </c>
    </row>
    <row r="798" spans="1:12">
      <c r="A798" t="s">
        <v>1124</v>
      </c>
      <c r="B798" t="s">
        <v>404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 s="8">
        <v>0.96179999999999999</v>
      </c>
      <c r="K798">
        <v>75000</v>
      </c>
      <c r="L798" s="2">
        <v>45913</v>
      </c>
    </row>
    <row r="799" spans="1:12">
      <c r="A799" t="s">
        <v>1125</v>
      </c>
      <c r="B799" t="s">
        <v>27</v>
      </c>
      <c r="C799" t="s">
        <v>14</v>
      </c>
      <c r="D799" t="s">
        <v>28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 s="8">
        <v>0.80249999999999999</v>
      </c>
      <c r="K799">
        <v>110000</v>
      </c>
      <c r="L799" s="2">
        <v>46013</v>
      </c>
    </row>
    <row r="800" spans="1:12">
      <c r="A800" t="s">
        <v>1126</v>
      </c>
      <c r="B800" t="s">
        <v>865</v>
      </c>
      <c r="C800" t="s">
        <v>14</v>
      </c>
      <c r="D800" t="s">
        <v>36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 s="8">
        <v>0.74519999999999997</v>
      </c>
      <c r="K800">
        <v>130000</v>
      </c>
      <c r="L800" s="2">
        <v>46172</v>
      </c>
    </row>
    <row r="801" spans="1:12">
      <c r="A801" t="s">
        <v>1127</v>
      </c>
      <c r="B801" t="s">
        <v>47</v>
      </c>
      <c r="C801" t="s">
        <v>14</v>
      </c>
      <c r="D801" t="s">
        <v>53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 s="8">
        <v>0.90649999999999997</v>
      </c>
      <c r="K801">
        <v>130000</v>
      </c>
      <c r="L801" s="2">
        <v>46218</v>
      </c>
    </row>
    <row r="802" spans="1:12">
      <c r="A802" t="s">
        <v>1128</v>
      </c>
      <c r="B802" t="s">
        <v>564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 s="8">
        <v>0.9163</v>
      </c>
      <c r="K802">
        <v>60000</v>
      </c>
      <c r="L802" s="2">
        <v>45885</v>
      </c>
    </row>
    <row r="803" spans="1:12">
      <c r="A803" t="s">
        <v>1129</v>
      </c>
      <c r="B803" t="s">
        <v>251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 s="8">
        <v>0.92020000000000002</v>
      </c>
      <c r="K803">
        <v>130000</v>
      </c>
      <c r="L803" s="2">
        <v>45827</v>
      </c>
    </row>
    <row r="804" spans="1:12">
      <c r="A804" t="s">
        <v>1130</v>
      </c>
      <c r="B804" t="s">
        <v>1131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 s="8">
        <v>0.87329999999999997</v>
      </c>
      <c r="K804">
        <v>110000</v>
      </c>
      <c r="L804" s="2">
        <v>45673</v>
      </c>
    </row>
    <row r="805" spans="1:12">
      <c r="A805" t="s">
        <v>1132</v>
      </c>
      <c r="B805" t="s">
        <v>803</v>
      </c>
      <c r="C805" t="s">
        <v>19</v>
      </c>
      <c r="D805" t="s">
        <v>53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 s="8">
        <v>0.94850000000000001</v>
      </c>
      <c r="K805">
        <v>60000</v>
      </c>
      <c r="L805" s="2">
        <v>45912</v>
      </c>
    </row>
    <row r="806" spans="1:12">
      <c r="A806" t="s">
        <v>1133</v>
      </c>
      <c r="B806" t="s">
        <v>243</v>
      </c>
      <c r="C806" t="s">
        <v>19</v>
      </c>
      <c r="D806" t="s">
        <v>15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 s="8">
        <v>0.89100000000000001</v>
      </c>
      <c r="K806">
        <v>50000</v>
      </c>
      <c r="L806" s="2">
        <v>46178</v>
      </c>
    </row>
    <row r="807" spans="1:12">
      <c r="A807" t="s">
        <v>1134</v>
      </c>
      <c r="B807" t="s">
        <v>433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 s="8">
        <v>0.84650000000000003</v>
      </c>
      <c r="K807">
        <v>70000</v>
      </c>
      <c r="L807" s="2">
        <v>45876</v>
      </c>
    </row>
    <row r="808" spans="1:12">
      <c r="A808" t="s">
        <v>1135</v>
      </c>
      <c r="B808" t="s">
        <v>675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 s="8">
        <v>0.94710000000000005</v>
      </c>
      <c r="K808">
        <v>130000</v>
      </c>
      <c r="L808" s="2">
        <v>45779</v>
      </c>
    </row>
    <row r="809" spans="1:12">
      <c r="A809" t="s">
        <v>1136</v>
      </c>
      <c r="B809" t="s">
        <v>65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 s="8">
        <v>0.92200000000000004</v>
      </c>
      <c r="K809">
        <v>110000</v>
      </c>
      <c r="L809" s="2">
        <v>45611</v>
      </c>
    </row>
    <row r="810" spans="1:12">
      <c r="A810" t="s">
        <v>1137</v>
      </c>
      <c r="B810" t="s">
        <v>474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 s="8">
        <v>0.95009999999999994</v>
      </c>
      <c r="K810">
        <v>90000</v>
      </c>
      <c r="L810" s="2">
        <v>45808</v>
      </c>
    </row>
    <row r="811" spans="1:12">
      <c r="A811" t="s">
        <v>1138</v>
      </c>
      <c r="B811" t="s">
        <v>31</v>
      </c>
      <c r="C811" t="s">
        <v>19</v>
      </c>
      <c r="D811" t="s">
        <v>28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 s="8">
        <v>0.74590000000000001</v>
      </c>
      <c r="K811">
        <v>90000</v>
      </c>
      <c r="L811" s="2">
        <v>45701</v>
      </c>
    </row>
    <row r="812" spans="1:12">
      <c r="A812" t="s">
        <v>1139</v>
      </c>
      <c r="B812" t="s">
        <v>388</v>
      </c>
      <c r="C812" t="s">
        <v>14</v>
      </c>
      <c r="D812" t="s">
        <v>53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 s="8">
        <v>0.85399999999999998</v>
      </c>
      <c r="K812">
        <v>80000</v>
      </c>
      <c r="L812" s="2">
        <v>46219</v>
      </c>
    </row>
    <row r="813" spans="1:12">
      <c r="A813" t="s">
        <v>1140</v>
      </c>
      <c r="B813" t="s">
        <v>272</v>
      </c>
      <c r="C813" t="s">
        <v>19</v>
      </c>
      <c r="D813" t="s">
        <v>20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 s="8">
        <v>0.7349</v>
      </c>
      <c r="K813">
        <v>120000</v>
      </c>
      <c r="L813" s="2">
        <v>45905</v>
      </c>
    </row>
    <row r="814" spans="1:12">
      <c r="A814" t="s">
        <v>1141</v>
      </c>
      <c r="B814" t="s">
        <v>1106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 s="8">
        <v>0.91690000000000005</v>
      </c>
      <c r="K814">
        <v>60000</v>
      </c>
      <c r="L814" s="2">
        <v>45631</v>
      </c>
    </row>
    <row r="815" spans="1:12">
      <c r="A815" t="s">
        <v>1142</v>
      </c>
      <c r="B815" t="s">
        <v>90</v>
      </c>
      <c r="C815" t="s">
        <v>14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 s="8">
        <v>0.88139999999999996</v>
      </c>
      <c r="K815">
        <v>75000</v>
      </c>
      <c r="L815" s="2">
        <v>45583</v>
      </c>
    </row>
    <row r="816" spans="1:12">
      <c r="A816" t="s">
        <v>1143</v>
      </c>
      <c r="B816" t="s">
        <v>79</v>
      </c>
      <c r="C816" t="s">
        <v>19</v>
      </c>
      <c r="D816" t="s">
        <v>53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 s="8">
        <v>0.92849999999999999</v>
      </c>
      <c r="K816">
        <v>70000</v>
      </c>
      <c r="L816" s="2">
        <v>46131</v>
      </c>
    </row>
    <row r="817" spans="1:12">
      <c r="A817" t="s">
        <v>1144</v>
      </c>
      <c r="B817" t="s">
        <v>415</v>
      </c>
      <c r="C817" t="s">
        <v>19</v>
      </c>
      <c r="D817" t="s">
        <v>36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 s="8">
        <v>0.80820000000000003</v>
      </c>
      <c r="K817">
        <v>120000</v>
      </c>
      <c r="L817" s="2">
        <v>46188</v>
      </c>
    </row>
    <row r="818" spans="1:12">
      <c r="A818" t="s">
        <v>1145</v>
      </c>
      <c r="B818" t="s">
        <v>575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 s="8">
        <v>0.82210000000000005</v>
      </c>
      <c r="K818">
        <v>85000</v>
      </c>
      <c r="L818" s="2">
        <v>46070</v>
      </c>
    </row>
    <row r="819" spans="1:12">
      <c r="A819" t="s">
        <v>1146</v>
      </c>
      <c r="B819" t="s">
        <v>1147</v>
      </c>
      <c r="C819" t="s">
        <v>14</v>
      </c>
      <c r="D819" t="s">
        <v>36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 s="8">
        <v>0.86709999999999998</v>
      </c>
      <c r="K819">
        <v>100000</v>
      </c>
      <c r="L819" s="2">
        <v>45622</v>
      </c>
    </row>
    <row r="820" spans="1:12">
      <c r="A820" t="s">
        <v>1148</v>
      </c>
      <c r="B820" t="s">
        <v>720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 s="8">
        <v>0.95279999999999998</v>
      </c>
      <c r="K820">
        <v>130000</v>
      </c>
      <c r="L820" s="2">
        <v>45604</v>
      </c>
    </row>
    <row r="821" spans="1:12">
      <c r="A821" t="s">
        <v>1149</v>
      </c>
      <c r="B821" t="s">
        <v>50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 s="8">
        <v>0.95979999999999999</v>
      </c>
      <c r="K821">
        <v>70000</v>
      </c>
      <c r="L821" s="2">
        <v>45674</v>
      </c>
    </row>
    <row r="822" spans="1:12">
      <c r="A822" t="s">
        <v>1150</v>
      </c>
      <c r="B822" t="s">
        <v>1098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 s="8">
        <v>0.84289999999999998</v>
      </c>
      <c r="K822">
        <v>130000</v>
      </c>
      <c r="L822" s="2">
        <v>46061</v>
      </c>
    </row>
    <row r="823" spans="1:12">
      <c r="A823" t="s">
        <v>1151</v>
      </c>
      <c r="B823" t="s">
        <v>651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 s="8">
        <v>0.96679999999999999</v>
      </c>
      <c r="K823">
        <v>60000</v>
      </c>
      <c r="L823" s="2">
        <v>46071</v>
      </c>
    </row>
    <row r="824" spans="1:12">
      <c r="A824" t="s">
        <v>1152</v>
      </c>
      <c r="B824" t="s">
        <v>288</v>
      </c>
      <c r="C824" t="s">
        <v>14</v>
      </c>
      <c r="D824" t="s">
        <v>53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 s="8">
        <v>0.95730000000000004</v>
      </c>
      <c r="K824">
        <v>110000</v>
      </c>
      <c r="L824" s="2">
        <v>46122</v>
      </c>
    </row>
    <row r="825" spans="1:12">
      <c r="A825" t="s">
        <v>1153</v>
      </c>
      <c r="B825" t="s">
        <v>77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 s="8">
        <v>0.94520000000000004</v>
      </c>
      <c r="K825">
        <v>100000</v>
      </c>
      <c r="L825" s="2">
        <v>45603</v>
      </c>
    </row>
    <row r="826" spans="1:12">
      <c r="A826" t="s">
        <v>1154</v>
      </c>
      <c r="B826" t="s">
        <v>213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 s="8">
        <v>0.88039999999999996</v>
      </c>
      <c r="K826">
        <v>120000</v>
      </c>
      <c r="L826" s="2">
        <v>45643</v>
      </c>
    </row>
    <row r="827" spans="1:12">
      <c r="A827" t="s">
        <v>1155</v>
      </c>
      <c r="B827" t="s">
        <v>135</v>
      </c>
      <c r="C827" t="s">
        <v>14</v>
      </c>
      <c r="D827" t="s">
        <v>53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 s="8">
        <v>0.93130000000000002</v>
      </c>
      <c r="K827">
        <v>60000</v>
      </c>
      <c r="L827" s="2">
        <v>46166</v>
      </c>
    </row>
    <row r="828" spans="1:12">
      <c r="A828" t="s">
        <v>1156</v>
      </c>
      <c r="B828" t="s">
        <v>412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 s="8">
        <v>0.73350000000000004</v>
      </c>
      <c r="K828">
        <v>130000</v>
      </c>
      <c r="L828" s="2">
        <v>46186</v>
      </c>
    </row>
    <row r="829" spans="1:12">
      <c r="A829" t="s">
        <v>1157</v>
      </c>
      <c r="B829" t="s">
        <v>404</v>
      </c>
      <c r="C829" t="s">
        <v>19</v>
      </c>
      <c r="D829" t="s">
        <v>28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 s="8">
        <v>0.97170000000000001</v>
      </c>
      <c r="K829">
        <v>110000</v>
      </c>
      <c r="L829" s="2">
        <v>46043</v>
      </c>
    </row>
    <row r="830" spans="1:12">
      <c r="A830" t="s">
        <v>1158</v>
      </c>
      <c r="B830" t="s">
        <v>697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 s="8">
        <v>0.81640000000000001</v>
      </c>
      <c r="K830">
        <v>60000</v>
      </c>
      <c r="L830" s="2">
        <v>45610</v>
      </c>
    </row>
    <row r="831" spans="1:12">
      <c r="A831" t="s">
        <v>1159</v>
      </c>
      <c r="B831" t="s">
        <v>186</v>
      </c>
      <c r="C831" t="s">
        <v>14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 s="8">
        <v>0.98939999999999995</v>
      </c>
      <c r="K831">
        <v>90000</v>
      </c>
      <c r="L831" s="2">
        <v>45584</v>
      </c>
    </row>
    <row r="832" spans="1:12">
      <c r="A832" t="s">
        <v>1160</v>
      </c>
      <c r="B832" t="s">
        <v>131</v>
      </c>
      <c r="C832" t="s">
        <v>14</v>
      </c>
      <c r="D832" t="s">
        <v>36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 s="8">
        <v>0.87290000000000001</v>
      </c>
      <c r="K832">
        <v>110000</v>
      </c>
      <c r="L832" s="2">
        <v>45574</v>
      </c>
    </row>
    <row r="833" spans="1:12">
      <c r="A833" t="s">
        <v>1161</v>
      </c>
      <c r="B833" t="s">
        <v>410</v>
      </c>
      <c r="C833" t="s">
        <v>14</v>
      </c>
      <c r="D833" t="s">
        <v>36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 s="8">
        <v>0.77400000000000002</v>
      </c>
      <c r="K833">
        <v>85000</v>
      </c>
      <c r="L833" s="2">
        <v>46020</v>
      </c>
    </row>
    <row r="834" spans="1:12">
      <c r="A834" t="s">
        <v>1162</v>
      </c>
      <c r="B834" t="s">
        <v>357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 s="8">
        <v>0.88780000000000003</v>
      </c>
      <c r="K834">
        <v>80000</v>
      </c>
      <c r="L834" s="2">
        <v>46128</v>
      </c>
    </row>
    <row r="835" spans="1:12">
      <c r="A835" t="s">
        <v>1163</v>
      </c>
      <c r="B835" t="s">
        <v>73</v>
      </c>
      <c r="C835" t="s">
        <v>14</v>
      </c>
      <c r="D835" t="s">
        <v>36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 s="8">
        <v>0.86470000000000002</v>
      </c>
      <c r="K835">
        <v>75000</v>
      </c>
      <c r="L835" s="2">
        <v>45978</v>
      </c>
    </row>
    <row r="836" spans="1:12">
      <c r="A836" t="s">
        <v>1164</v>
      </c>
      <c r="B836" t="s">
        <v>141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 s="8">
        <v>0.84540000000000004</v>
      </c>
      <c r="K836">
        <v>85000</v>
      </c>
      <c r="L836" s="2">
        <v>45719</v>
      </c>
    </row>
    <row r="837" spans="1:12">
      <c r="A837" t="s">
        <v>1165</v>
      </c>
      <c r="B837" t="s">
        <v>415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 s="8">
        <v>0.98080000000000001</v>
      </c>
      <c r="K837">
        <v>130000</v>
      </c>
      <c r="L837" s="2">
        <v>46066</v>
      </c>
    </row>
    <row r="838" spans="1:12">
      <c r="A838" t="s">
        <v>1166</v>
      </c>
      <c r="B838" t="s">
        <v>102</v>
      </c>
      <c r="C838" t="s">
        <v>19</v>
      </c>
      <c r="D838" t="s">
        <v>20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 s="8">
        <v>0.69789999999999996</v>
      </c>
      <c r="K838">
        <v>90000</v>
      </c>
      <c r="L838" s="2">
        <v>45577</v>
      </c>
    </row>
    <row r="839" spans="1:12">
      <c r="A839" t="s">
        <v>1167</v>
      </c>
      <c r="B839" t="s">
        <v>1036</v>
      </c>
      <c r="C839" t="s">
        <v>14</v>
      </c>
      <c r="D839" t="s">
        <v>28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 s="8">
        <v>0.60809999999999997</v>
      </c>
      <c r="K839">
        <v>100000</v>
      </c>
      <c r="L839" s="2">
        <v>46115</v>
      </c>
    </row>
    <row r="840" spans="1:12">
      <c r="A840" t="s">
        <v>1168</v>
      </c>
      <c r="B840" t="s">
        <v>431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 s="8">
        <v>0.7288</v>
      </c>
      <c r="K840">
        <v>110000</v>
      </c>
      <c r="L840" s="2">
        <v>46160</v>
      </c>
    </row>
    <row r="841" spans="1:12">
      <c r="A841" t="s">
        <v>1169</v>
      </c>
      <c r="B841" t="s">
        <v>518</v>
      </c>
      <c r="C841" t="s">
        <v>19</v>
      </c>
      <c r="D841" t="s">
        <v>28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 s="8">
        <v>0.92059999999999997</v>
      </c>
      <c r="K841">
        <v>110000</v>
      </c>
      <c r="L841" s="2">
        <v>46038</v>
      </c>
    </row>
    <row r="842" spans="1:12">
      <c r="A842" t="s">
        <v>1170</v>
      </c>
      <c r="B842" t="s">
        <v>1038</v>
      </c>
      <c r="C842" t="s">
        <v>14</v>
      </c>
      <c r="D842" t="s">
        <v>36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 s="8">
        <v>0.69040000000000001</v>
      </c>
      <c r="K842">
        <v>80000</v>
      </c>
      <c r="L842" s="2">
        <v>46151</v>
      </c>
    </row>
    <row r="843" spans="1:12">
      <c r="A843" t="s">
        <v>1171</v>
      </c>
      <c r="B843" t="s">
        <v>104</v>
      </c>
      <c r="C843" t="s">
        <v>19</v>
      </c>
      <c r="D843" t="s">
        <v>36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 s="8">
        <v>0.93700000000000006</v>
      </c>
      <c r="K843">
        <v>110000</v>
      </c>
      <c r="L843" s="2">
        <v>45946</v>
      </c>
    </row>
    <row r="844" spans="1:12">
      <c r="A844" t="s">
        <v>1172</v>
      </c>
      <c r="B844" t="s">
        <v>111</v>
      </c>
      <c r="C844" t="s">
        <v>19</v>
      </c>
      <c r="D844" t="s">
        <v>15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 s="8">
        <v>0.77559999999999996</v>
      </c>
      <c r="K844">
        <v>75000</v>
      </c>
      <c r="L844" s="2">
        <v>45863</v>
      </c>
    </row>
    <row r="845" spans="1:12">
      <c r="A845" t="s">
        <v>1173</v>
      </c>
      <c r="B845" t="s">
        <v>372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 s="8">
        <v>0.63160000000000005</v>
      </c>
      <c r="K845">
        <v>90000</v>
      </c>
      <c r="L845" s="2">
        <v>45761</v>
      </c>
    </row>
    <row r="846" spans="1:12">
      <c r="A846" t="s">
        <v>1174</v>
      </c>
      <c r="B846" t="s">
        <v>274</v>
      </c>
      <c r="C846" t="s">
        <v>14</v>
      </c>
      <c r="D846" t="s">
        <v>20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 s="8">
        <v>0.99750000000000005</v>
      </c>
      <c r="K846">
        <v>75000</v>
      </c>
      <c r="L846" s="2">
        <v>46181</v>
      </c>
    </row>
    <row r="847" spans="1:12">
      <c r="A847" t="s">
        <v>1175</v>
      </c>
      <c r="B847" t="s">
        <v>425</v>
      </c>
      <c r="C847" t="s">
        <v>14</v>
      </c>
      <c r="D847" t="s">
        <v>53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 s="8">
        <v>0.91039999999999999</v>
      </c>
      <c r="K847">
        <v>130000</v>
      </c>
      <c r="L847" s="2">
        <v>46024</v>
      </c>
    </row>
    <row r="848" spans="1:12">
      <c r="A848" t="s">
        <v>1176</v>
      </c>
      <c r="B848" t="s">
        <v>757</v>
      </c>
      <c r="C848" t="s">
        <v>14</v>
      </c>
      <c r="D848" t="s">
        <v>53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 s="8">
        <v>0.83069999999999999</v>
      </c>
      <c r="K848">
        <v>110000</v>
      </c>
      <c r="L848" s="2">
        <v>45669</v>
      </c>
    </row>
    <row r="849" spans="1:12">
      <c r="A849" t="s">
        <v>1177</v>
      </c>
      <c r="B849" t="s">
        <v>357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 s="8">
        <v>0.86129999999999995</v>
      </c>
      <c r="K849">
        <v>90000</v>
      </c>
      <c r="L849" s="2">
        <v>46205</v>
      </c>
    </row>
    <row r="850" spans="1:12">
      <c r="A850" t="s">
        <v>1178</v>
      </c>
      <c r="B850" t="s">
        <v>949</v>
      </c>
      <c r="C850" t="s">
        <v>19</v>
      </c>
      <c r="D850" t="s">
        <v>36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 s="8">
        <v>0.55000000000000004</v>
      </c>
      <c r="K850">
        <v>80000</v>
      </c>
      <c r="L850" s="2">
        <v>45577</v>
      </c>
    </row>
    <row r="851" spans="1:12">
      <c r="A851" t="s">
        <v>1179</v>
      </c>
      <c r="B851" t="s">
        <v>748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 s="8">
        <v>0.55000000000000004</v>
      </c>
      <c r="K851">
        <v>85000</v>
      </c>
      <c r="L851" s="2">
        <v>45947</v>
      </c>
    </row>
    <row r="852" spans="1:12">
      <c r="A852" t="s">
        <v>1180</v>
      </c>
      <c r="B852" t="s">
        <v>479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 s="8">
        <v>0.91310000000000002</v>
      </c>
      <c r="K852">
        <v>110000</v>
      </c>
      <c r="L852" s="2">
        <v>45669</v>
      </c>
    </row>
    <row r="853" spans="1:12">
      <c r="A853" t="s">
        <v>1181</v>
      </c>
      <c r="B853" t="s">
        <v>237</v>
      </c>
      <c r="C853" t="s">
        <v>19</v>
      </c>
      <c r="D853" t="s">
        <v>32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 s="8">
        <v>0.95920000000000005</v>
      </c>
      <c r="K853">
        <v>75000</v>
      </c>
      <c r="L853" s="2">
        <v>46001</v>
      </c>
    </row>
    <row r="854" spans="1:12">
      <c r="A854" t="s">
        <v>1182</v>
      </c>
      <c r="B854" t="s">
        <v>408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 s="8">
        <v>0.96989999999999998</v>
      </c>
      <c r="K854">
        <v>120000</v>
      </c>
      <c r="L854" s="2">
        <v>45824</v>
      </c>
    </row>
    <row r="855" spans="1:12">
      <c r="A855" t="s">
        <v>1183</v>
      </c>
      <c r="B855" t="s">
        <v>1184</v>
      </c>
      <c r="C855" t="s">
        <v>14</v>
      </c>
      <c r="D855" t="s">
        <v>53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 s="8">
        <v>0.86260000000000003</v>
      </c>
      <c r="K855">
        <v>75000</v>
      </c>
      <c r="L855" s="2">
        <v>45841</v>
      </c>
    </row>
    <row r="856" spans="1:12">
      <c r="A856" t="s">
        <v>1185</v>
      </c>
      <c r="B856" t="s">
        <v>930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 s="8">
        <v>0.8266</v>
      </c>
      <c r="K856">
        <v>60000</v>
      </c>
      <c r="L856" s="2">
        <v>46006</v>
      </c>
    </row>
    <row r="857" spans="1:12">
      <c r="A857" t="s">
        <v>1186</v>
      </c>
      <c r="B857" t="s">
        <v>912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 s="8">
        <v>0.88739999999999997</v>
      </c>
      <c r="K857">
        <v>110000</v>
      </c>
      <c r="L857" s="2">
        <v>46065</v>
      </c>
    </row>
    <row r="858" spans="1:12">
      <c r="A858" t="s">
        <v>1187</v>
      </c>
      <c r="B858" t="s">
        <v>600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 s="8">
        <v>0.57750000000000001</v>
      </c>
      <c r="K858">
        <v>100000</v>
      </c>
      <c r="L858" s="2">
        <v>45802</v>
      </c>
    </row>
    <row r="859" spans="1:12">
      <c r="A859" t="s">
        <v>1188</v>
      </c>
      <c r="B859" t="s">
        <v>679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 s="8">
        <v>0.82110000000000005</v>
      </c>
      <c r="K859">
        <v>75000</v>
      </c>
      <c r="L859" s="2">
        <v>46234</v>
      </c>
    </row>
    <row r="860" spans="1:12">
      <c r="A860" t="s">
        <v>1189</v>
      </c>
      <c r="B860" t="s">
        <v>43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 s="8">
        <v>0.97829999999999995</v>
      </c>
      <c r="K860">
        <v>100000</v>
      </c>
      <c r="L860" s="2">
        <v>45884</v>
      </c>
    </row>
    <row r="861" spans="1:12">
      <c r="A861" t="s">
        <v>1190</v>
      </c>
      <c r="B861" t="s">
        <v>52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 s="8">
        <v>0.85309999999999997</v>
      </c>
      <c r="K861">
        <v>110000</v>
      </c>
      <c r="L861" s="2">
        <v>45648</v>
      </c>
    </row>
    <row r="862" spans="1:12">
      <c r="A862" t="s">
        <v>1191</v>
      </c>
      <c r="B862" t="s">
        <v>651</v>
      </c>
      <c r="C862" t="s">
        <v>19</v>
      </c>
      <c r="D862" t="s">
        <v>53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 s="8">
        <v>0.83660000000000001</v>
      </c>
      <c r="K862">
        <v>110000</v>
      </c>
      <c r="L862" s="2">
        <v>45540</v>
      </c>
    </row>
    <row r="863" spans="1:12">
      <c r="A863" t="s">
        <v>1192</v>
      </c>
      <c r="B863" t="s">
        <v>342</v>
      </c>
      <c r="C863" t="s">
        <v>19</v>
      </c>
      <c r="D863" t="s">
        <v>53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 s="8">
        <v>0.8891</v>
      </c>
      <c r="K863">
        <v>130000</v>
      </c>
      <c r="L863" s="2">
        <v>45677</v>
      </c>
    </row>
    <row r="864" spans="1:12">
      <c r="A864" t="s">
        <v>1193</v>
      </c>
      <c r="B864" t="s">
        <v>1074</v>
      </c>
      <c r="C864" t="s">
        <v>14</v>
      </c>
      <c r="D864" t="s">
        <v>36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 s="8">
        <v>0.99199999999999999</v>
      </c>
      <c r="K864">
        <v>120000</v>
      </c>
      <c r="L864" s="2">
        <v>46019</v>
      </c>
    </row>
    <row r="865" spans="1:12">
      <c r="A865" t="s">
        <v>1194</v>
      </c>
      <c r="B865" t="s">
        <v>667</v>
      </c>
      <c r="C865" t="s">
        <v>19</v>
      </c>
      <c r="D865" t="s">
        <v>15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 s="8">
        <v>0.71740000000000004</v>
      </c>
      <c r="K865">
        <v>80000</v>
      </c>
      <c r="L865" s="2">
        <v>45913</v>
      </c>
    </row>
    <row r="866" spans="1:12">
      <c r="A866" t="s">
        <v>1195</v>
      </c>
      <c r="B866" t="s">
        <v>77</v>
      </c>
      <c r="C866" t="s">
        <v>19</v>
      </c>
      <c r="D866" t="s">
        <v>53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 s="8">
        <v>0.81459999999999999</v>
      </c>
      <c r="K866">
        <v>70000</v>
      </c>
      <c r="L866" s="2">
        <v>45772</v>
      </c>
    </row>
    <row r="867" spans="1:12">
      <c r="A867" t="s">
        <v>1196</v>
      </c>
      <c r="B867" t="s">
        <v>204</v>
      </c>
      <c r="C867" t="s">
        <v>19</v>
      </c>
      <c r="D867" t="s">
        <v>36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 s="8">
        <v>0.88529999999999998</v>
      </c>
      <c r="K867">
        <v>60000</v>
      </c>
      <c r="L867" s="2">
        <v>45872</v>
      </c>
    </row>
    <row r="868" spans="1:12">
      <c r="A868" t="s">
        <v>1197</v>
      </c>
      <c r="B868" t="s">
        <v>415</v>
      </c>
      <c r="C868" t="s">
        <v>19</v>
      </c>
      <c r="D868" t="s">
        <v>53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 s="8">
        <v>0.9496</v>
      </c>
      <c r="K868">
        <v>90000</v>
      </c>
      <c r="L868" s="2">
        <v>46122</v>
      </c>
    </row>
    <row r="869" spans="1:12">
      <c r="A869" t="s">
        <v>1198</v>
      </c>
      <c r="B869" t="s">
        <v>280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 s="8">
        <v>0.7762</v>
      </c>
      <c r="K869">
        <v>100000</v>
      </c>
      <c r="L869" s="2">
        <v>45936</v>
      </c>
    </row>
    <row r="870" spans="1:12">
      <c r="A870" t="s">
        <v>1199</v>
      </c>
      <c r="B870" t="s">
        <v>492</v>
      </c>
      <c r="C870" t="s">
        <v>14</v>
      </c>
      <c r="D870" t="s">
        <v>53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 s="8">
        <v>0.78990000000000005</v>
      </c>
      <c r="K870">
        <v>100000</v>
      </c>
      <c r="L870" s="2">
        <v>45576</v>
      </c>
    </row>
    <row r="871" spans="1:12">
      <c r="A871" t="s">
        <v>1200</v>
      </c>
      <c r="B871" t="s">
        <v>45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 s="8">
        <v>0.86750000000000005</v>
      </c>
      <c r="K871">
        <v>50000</v>
      </c>
      <c r="L871" s="2">
        <v>45570</v>
      </c>
    </row>
    <row r="872" spans="1:12">
      <c r="A872" t="s">
        <v>1201</v>
      </c>
      <c r="B872" t="s">
        <v>564</v>
      </c>
      <c r="C872" t="s">
        <v>14</v>
      </c>
      <c r="D872" t="s">
        <v>20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 s="8">
        <v>0.97450000000000003</v>
      </c>
      <c r="K872">
        <v>100000</v>
      </c>
      <c r="L872" s="2">
        <v>45873</v>
      </c>
    </row>
    <row r="873" spans="1:12">
      <c r="A873" t="s">
        <v>1202</v>
      </c>
      <c r="B873" t="s">
        <v>575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 s="8">
        <v>0.97970000000000002</v>
      </c>
      <c r="K873">
        <v>110000</v>
      </c>
      <c r="L873" s="2">
        <v>45818</v>
      </c>
    </row>
    <row r="874" spans="1:12">
      <c r="A874" t="s">
        <v>1203</v>
      </c>
      <c r="B874" t="s">
        <v>1204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 s="8">
        <v>0.92959999999999998</v>
      </c>
      <c r="K874">
        <v>100000</v>
      </c>
      <c r="L874" s="2">
        <v>46131</v>
      </c>
    </row>
    <row r="875" spans="1:12">
      <c r="A875" t="s">
        <v>1205</v>
      </c>
      <c r="B875" t="s">
        <v>737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 s="8">
        <v>0.6784</v>
      </c>
      <c r="K875">
        <v>85000</v>
      </c>
      <c r="L875" s="2">
        <v>45944</v>
      </c>
    </row>
    <row r="876" spans="1:12">
      <c r="A876" t="s">
        <v>1206</v>
      </c>
      <c r="B876" t="s">
        <v>317</v>
      </c>
      <c r="C876" t="s">
        <v>19</v>
      </c>
      <c r="D876" t="s">
        <v>36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 s="8">
        <v>0.68859999999999999</v>
      </c>
      <c r="K876">
        <v>50000</v>
      </c>
      <c r="L876" s="2">
        <v>46065</v>
      </c>
    </row>
    <row r="877" spans="1:12">
      <c r="A877" t="s">
        <v>1207</v>
      </c>
      <c r="B877" t="s">
        <v>777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 s="8">
        <v>0.92969999999999997</v>
      </c>
      <c r="K877">
        <v>85000</v>
      </c>
      <c r="L877" s="2">
        <v>45945</v>
      </c>
    </row>
    <row r="878" spans="1:12">
      <c r="A878" t="s">
        <v>1208</v>
      </c>
      <c r="B878" t="s">
        <v>55</v>
      </c>
      <c r="C878" t="s">
        <v>19</v>
      </c>
      <c r="D878" t="s">
        <v>53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 s="8">
        <v>0.97289999999999999</v>
      </c>
      <c r="K878">
        <v>100000</v>
      </c>
      <c r="L878" s="2">
        <v>45777</v>
      </c>
    </row>
    <row r="879" spans="1:12">
      <c r="A879" t="s">
        <v>1209</v>
      </c>
      <c r="B879" t="s">
        <v>442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 s="8">
        <v>0.82310000000000005</v>
      </c>
      <c r="K879">
        <v>90000</v>
      </c>
      <c r="L879" s="2">
        <v>45996</v>
      </c>
    </row>
    <row r="880" spans="1:12">
      <c r="A880" t="s">
        <v>1210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 s="8">
        <v>0.77610000000000001</v>
      </c>
      <c r="K880">
        <v>90000</v>
      </c>
      <c r="L880" s="2">
        <v>45971</v>
      </c>
    </row>
    <row r="881" spans="1:12">
      <c r="A881" t="s">
        <v>1211</v>
      </c>
      <c r="B881" t="s">
        <v>127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 s="8">
        <v>0.94079999999999997</v>
      </c>
      <c r="K881">
        <v>85000</v>
      </c>
      <c r="L881" s="2">
        <v>46040</v>
      </c>
    </row>
    <row r="882" spans="1:12">
      <c r="A882" t="s">
        <v>1212</v>
      </c>
      <c r="B882" t="s">
        <v>607</v>
      </c>
      <c r="C882" t="s">
        <v>14</v>
      </c>
      <c r="D882" t="s">
        <v>28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 s="8">
        <v>0.65229999999999999</v>
      </c>
      <c r="K882">
        <v>90000</v>
      </c>
      <c r="L882" s="2">
        <v>45668</v>
      </c>
    </row>
    <row r="883" spans="1:12">
      <c r="A883" t="s">
        <v>1213</v>
      </c>
      <c r="B883" t="s">
        <v>85</v>
      </c>
      <c r="C883" t="s">
        <v>19</v>
      </c>
      <c r="D883" t="s">
        <v>53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 s="8">
        <v>0.55000000000000004</v>
      </c>
      <c r="K883">
        <v>75000</v>
      </c>
      <c r="L883" s="2">
        <v>45985</v>
      </c>
    </row>
    <row r="884" spans="1:12">
      <c r="A884" t="s">
        <v>1214</v>
      </c>
      <c r="B884" t="s">
        <v>833</v>
      </c>
      <c r="C884" t="s">
        <v>14</v>
      </c>
      <c r="D884" t="s">
        <v>53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 s="8">
        <v>0.61939999999999995</v>
      </c>
      <c r="K884">
        <v>90000</v>
      </c>
      <c r="L884" s="2">
        <v>45735</v>
      </c>
    </row>
    <row r="885" spans="1:12">
      <c r="A885" t="s">
        <v>1215</v>
      </c>
      <c r="B885" t="s">
        <v>372</v>
      </c>
      <c r="C885" t="s">
        <v>14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 s="8">
        <v>0.72609999999999997</v>
      </c>
      <c r="K885">
        <v>75000</v>
      </c>
      <c r="L885" s="2">
        <v>46089</v>
      </c>
    </row>
    <row r="886" spans="1:12">
      <c r="A886" t="s">
        <v>1216</v>
      </c>
      <c r="B886" t="s">
        <v>1034</v>
      </c>
      <c r="C886" t="s">
        <v>19</v>
      </c>
      <c r="D886" t="s">
        <v>53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 s="8">
        <v>0.76170000000000004</v>
      </c>
      <c r="K886">
        <v>85000</v>
      </c>
      <c r="L886" s="2">
        <v>46094</v>
      </c>
    </row>
    <row r="887" spans="1:12">
      <c r="A887" t="s">
        <v>1217</v>
      </c>
      <c r="B887" t="s">
        <v>720</v>
      </c>
      <c r="C887" t="s">
        <v>19</v>
      </c>
      <c r="D887" t="s">
        <v>36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 s="8">
        <v>0.66259999999999997</v>
      </c>
      <c r="K887">
        <v>80000</v>
      </c>
      <c r="L887" s="2">
        <v>45973</v>
      </c>
    </row>
    <row r="888" spans="1:12">
      <c r="A888" t="s">
        <v>1218</v>
      </c>
      <c r="B888" t="s">
        <v>562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 s="8">
        <v>0.90469999999999995</v>
      </c>
      <c r="K888">
        <v>100000</v>
      </c>
      <c r="L888" s="2">
        <v>46198</v>
      </c>
    </row>
    <row r="889" spans="1:12">
      <c r="A889" t="s">
        <v>1219</v>
      </c>
      <c r="B889" t="s">
        <v>718</v>
      </c>
      <c r="C889" t="s">
        <v>14</v>
      </c>
      <c r="D889" t="s">
        <v>20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 s="8">
        <v>0.84689999999999999</v>
      </c>
      <c r="K889">
        <v>120000</v>
      </c>
      <c r="L889" s="2">
        <v>45912</v>
      </c>
    </row>
    <row r="890" spans="1:12">
      <c r="A890" t="s">
        <v>1220</v>
      </c>
      <c r="B890" t="s">
        <v>325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 s="8">
        <v>0.82040000000000002</v>
      </c>
      <c r="K890">
        <v>90000</v>
      </c>
      <c r="L890" s="2">
        <v>45553</v>
      </c>
    </row>
    <row r="891" spans="1:12">
      <c r="A891" t="s">
        <v>1221</v>
      </c>
      <c r="B891" t="s">
        <v>65</v>
      </c>
      <c r="C891" t="s">
        <v>14</v>
      </c>
      <c r="D891" t="s">
        <v>36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 s="8">
        <v>0.73619999999999997</v>
      </c>
      <c r="K891">
        <v>60000</v>
      </c>
      <c r="L891" s="2">
        <v>45960</v>
      </c>
    </row>
    <row r="892" spans="1:12">
      <c r="A892" t="s">
        <v>1222</v>
      </c>
      <c r="B892" t="s">
        <v>178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 s="8">
        <v>0.80800000000000005</v>
      </c>
      <c r="K892">
        <v>100000</v>
      </c>
      <c r="L892" s="2">
        <v>46080</v>
      </c>
    </row>
    <row r="893" spans="1:12">
      <c r="A893" t="s">
        <v>1223</v>
      </c>
      <c r="B893" t="s">
        <v>50</v>
      </c>
      <c r="C893" t="s">
        <v>19</v>
      </c>
      <c r="D893" t="s">
        <v>36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 s="8">
        <v>0.62170000000000003</v>
      </c>
      <c r="K893">
        <v>75000</v>
      </c>
      <c r="L893" s="2">
        <v>45606</v>
      </c>
    </row>
    <row r="894" spans="1:12">
      <c r="A894" t="s">
        <v>1224</v>
      </c>
      <c r="B894" t="s">
        <v>260</v>
      </c>
      <c r="C894" t="s">
        <v>19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 s="8">
        <v>0.85919999999999996</v>
      </c>
      <c r="K894">
        <v>50000</v>
      </c>
      <c r="L894" s="2">
        <v>45609</v>
      </c>
    </row>
    <row r="895" spans="1:12">
      <c r="A895" t="s">
        <v>1225</v>
      </c>
      <c r="B895" t="s">
        <v>52</v>
      </c>
      <c r="C895" t="s">
        <v>19</v>
      </c>
      <c r="D895" t="s">
        <v>53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 s="8">
        <v>0.87939999999999996</v>
      </c>
      <c r="K895">
        <v>70000</v>
      </c>
      <c r="L895" s="2">
        <v>45727</v>
      </c>
    </row>
    <row r="896" spans="1:12">
      <c r="A896" t="s">
        <v>1226</v>
      </c>
      <c r="B896" t="s">
        <v>585</v>
      </c>
      <c r="C896" t="s">
        <v>19</v>
      </c>
      <c r="D896" t="s">
        <v>53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 s="8">
        <v>0.89259999999999995</v>
      </c>
      <c r="K896">
        <v>130000</v>
      </c>
      <c r="L896" s="2">
        <v>46126</v>
      </c>
    </row>
    <row r="897" spans="1:12">
      <c r="A897" t="s">
        <v>1227</v>
      </c>
      <c r="B897" t="s">
        <v>623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 s="8">
        <v>0.78939999999999999</v>
      </c>
      <c r="K897">
        <v>80000</v>
      </c>
      <c r="L897" s="2">
        <v>45905</v>
      </c>
    </row>
    <row r="898" spans="1:12">
      <c r="A898" t="s">
        <v>1228</v>
      </c>
      <c r="B898" t="s">
        <v>129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 s="8">
        <v>0.94220000000000004</v>
      </c>
      <c r="K898">
        <v>70000</v>
      </c>
      <c r="L898" s="2">
        <v>46219</v>
      </c>
    </row>
    <row r="899" spans="1:12">
      <c r="A899" t="s">
        <v>1229</v>
      </c>
      <c r="B899" t="s">
        <v>75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 s="8">
        <v>0.90300000000000002</v>
      </c>
      <c r="K899">
        <v>60000</v>
      </c>
      <c r="L899" s="2">
        <v>46147</v>
      </c>
    </row>
    <row r="900" spans="1:12">
      <c r="A900" t="s">
        <v>1230</v>
      </c>
      <c r="B900" t="s">
        <v>100</v>
      </c>
      <c r="C900" t="s">
        <v>14</v>
      </c>
      <c r="D900" t="s">
        <v>15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 s="8">
        <v>0.92100000000000004</v>
      </c>
      <c r="K900">
        <v>100000</v>
      </c>
      <c r="L900" s="2">
        <v>45924</v>
      </c>
    </row>
    <row r="901" spans="1:12">
      <c r="A901" t="s">
        <v>1231</v>
      </c>
      <c r="B901" t="s">
        <v>1232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 s="8">
        <v>0.85929999999999995</v>
      </c>
      <c r="K901">
        <v>110000</v>
      </c>
      <c r="L901" s="2">
        <v>46011</v>
      </c>
    </row>
    <row r="902" spans="1:12">
      <c r="A902" t="s">
        <v>1233</v>
      </c>
      <c r="B902" t="s">
        <v>939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 s="8">
        <v>0.7581</v>
      </c>
      <c r="K902">
        <v>75000</v>
      </c>
      <c r="L902" s="2">
        <v>45767</v>
      </c>
    </row>
    <row r="903" spans="1:12">
      <c r="A903" t="s">
        <v>1234</v>
      </c>
      <c r="B903" t="s">
        <v>320</v>
      </c>
      <c r="C903" t="s">
        <v>14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 s="8">
        <v>0.92469999999999997</v>
      </c>
      <c r="K903">
        <v>60000</v>
      </c>
      <c r="L903" s="2">
        <v>45599</v>
      </c>
    </row>
    <row r="904" spans="1:12">
      <c r="A904" t="s">
        <v>1235</v>
      </c>
      <c r="B904" t="s">
        <v>543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 s="8">
        <v>0.70069999999999999</v>
      </c>
      <c r="K904">
        <v>75000</v>
      </c>
      <c r="L904" s="2">
        <v>45815</v>
      </c>
    </row>
    <row r="905" spans="1:12">
      <c r="A905" t="s">
        <v>1236</v>
      </c>
      <c r="B905" t="s">
        <v>793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 s="8">
        <v>0.77449999999999997</v>
      </c>
      <c r="K905">
        <v>100000</v>
      </c>
      <c r="L905" s="2">
        <v>45950</v>
      </c>
    </row>
    <row r="906" spans="1:12">
      <c r="A906" t="s">
        <v>1237</v>
      </c>
      <c r="B906" t="s">
        <v>288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 s="8">
        <v>0.55000000000000004</v>
      </c>
      <c r="K906">
        <v>60000</v>
      </c>
      <c r="L906" s="2">
        <v>45663</v>
      </c>
    </row>
    <row r="907" spans="1:12">
      <c r="A907" t="s">
        <v>1238</v>
      </c>
      <c r="B907" t="s">
        <v>471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 s="8">
        <v>0.84130000000000005</v>
      </c>
      <c r="K907">
        <v>70000</v>
      </c>
      <c r="L907" s="2">
        <v>45691</v>
      </c>
    </row>
    <row r="908" spans="1:12">
      <c r="A908" t="s">
        <v>1239</v>
      </c>
      <c r="B908" t="s">
        <v>121</v>
      </c>
      <c r="C908" t="s">
        <v>14</v>
      </c>
      <c r="D908" t="s">
        <v>53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 s="8">
        <v>0.92610000000000003</v>
      </c>
      <c r="K908">
        <v>50000</v>
      </c>
      <c r="L908" s="2">
        <v>45546</v>
      </c>
    </row>
    <row r="909" spans="1:12">
      <c r="A909" t="s">
        <v>1240</v>
      </c>
      <c r="B909" t="s">
        <v>178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 s="8">
        <v>0.91759999999999997</v>
      </c>
      <c r="K909">
        <v>85000</v>
      </c>
      <c r="L909" s="2">
        <v>46049</v>
      </c>
    </row>
    <row r="910" spans="1:12">
      <c r="A910" t="s">
        <v>1241</v>
      </c>
      <c r="B910" t="s">
        <v>73</v>
      </c>
      <c r="C910" t="s">
        <v>14</v>
      </c>
      <c r="D910" t="s">
        <v>53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 s="8">
        <v>0.64249999999999996</v>
      </c>
      <c r="K910">
        <v>60000</v>
      </c>
      <c r="L910" s="2">
        <v>46165</v>
      </c>
    </row>
    <row r="911" spans="1:12">
      <c r="A911" t="s">
        <v>1242</v>
      </c>
      <c r="B911" t="s">
        <v>649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 s="8">
        <v>0.88639999999999997</v>
      </c>
      <c r="K911">
        <v>70000</v>
      </c>
      <c r="L911" s="2">
        <v>46115</v>
      </c>
    </row>
    <row r="912" spans="1:12">
      <c r="A912" t="s">
        <v>1243</v>
      </c>
      <c r="B912" t="s">
        <v>611</v>
      </c>
      <c r="C912" t="s">
        <v>19</v>
      </c>
      <c r="D912" t="s">
        <v>15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 s="8">
        <v>0.95789999999999997</v>
      </c>
      <c r="K912">
        <v>60000</v>
      </c>
      <c r="L912" s="2">
        <v>45801</v>
      </c>
    </row>
    <row r="913" spans="1:12">
      <c r="A913" t="s">
        <v>1244</v>
      </c>
      <c r="B913" t="s">
        <v>1245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 s="8">
        <v>0.85370000000000001</v>
      </c>
      <c r="K913">
        <v>110000</v>
      </c>
      <c r="L913" s="2">
        <v>45951</v>
      </c>
    </row>
    <row r="914" spans="1:12">
      <c r="A914" t="s">
        <v>1246</v>
      </c>
      <c r="B914" t="s">
        <v>492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 s="8">
        <v>0.82720000000000005</v>
      </c>
      <c r="K914">
        <v>85000</v>
      </c>
      <c r="L914" s="2">
        <v>46208</v>
      </c>
    </row>
    <row r="915" spans="1:12">
      <c r="A915" t="s">
        <v>1247</v>
      </c>
      <c r="B915" t="s">
        <v>213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 s="8">
        <v>0.90839999999999999</v>
      </c>
      <c r="K915">
        <v>130000</v>
      </c>
      <c r="L915" s="2">
        <v>45949</v>
      </c>
    </row>
    <row r="916" spans="1:12">
      <c r="A916" t="s">
        <v>1248</v>
      </c>
      <c r="B916" t="s">
        <v>1232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 s="8">
        <v>0.81840000000000002</v>
      </c>
      <c r="K916">
        <v>80000</v>
      </c>
      <c r="L916" s="2">
        <v>45743</v>
      </c>
    </row>
    <row r="917" spans="1:12">
      <c r="A917" t="s">
        <v>1249</v>
      </c>
      <c r="B917" t="s">
        <v>47</v>
      </c>
      <c r="C917" t="s">
        <v>14</v>
      </c>
      <c r="D917" t="s">
        <v>36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 s="8">
        <v>0.65190000000000003</v>
      </c>
      <c r="K917">
        <v>70000</v>
      </c>
      <c r="L917" s="2">
        <v>45773</v>
      </c>
    </row>
    <row r="918" spans="1:12">
      <c r="A918" t="s">
        <v>1250</v>
      </c>
      <c r="B918" t="s">
        <v>471</v>
      </c>
      <c r="C918" t="s">
        <v>19</v>
      </c>
      <c r="D918" t="s">
        <v>20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 s="8">
        <v>0.93179999999999996</v>
      </c>
      <c r="K918">
        <v>70000</v>
      </c>
      <c r="L918" s="2">
        <v>46044</v>
      </c>
    </row>
    <row r="919" spans="1:12">
      <c r="A919" t="s">
        <v>1251</v>
      </c>
      <c r="B919" t="s">
        <v>376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 s="8">
        <v>0.89249999999999996</v>
      </c>
      <c r="K919">
        <v>130000</v>
      </c>
      <c r="L919" s="2">
        <v>45848</v>
      </c>
    </row>
    <row r="920" spans="1:12">
      <c r="A920" t="s">
        <v>1252</v>
      </c>
      <c r="B920" t="s">
        <v>449</v>
      </c>
      <c r="C920" t="s">
        <v>14</v>
      </c>
      <c r="D920" t="s">
        <v>28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 s="8">
        <v>0.91790000000000005</v>
      </c>
      <c r="K920">
        <v>90000</v>
      </c>
      <c r="L920" s="2">
        <v>46122</v>
      </c>
    </row>
    <row r="921" spans="1:12">
      <c r="A921" t="s">
        <v>1253</v>
      </c>
      <c r="B921" t="s">
        <v>655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 s="8">
        <v>0.76900000000000002</v>
      </c>
      <c r="K921">
        <v>75000</v>
      </c>
      <c r="L921" s="2">
        <v>46140</v>
      </c>
    </row>
    <row r="922" spans="1:12">
      <c r="A922" t="s">
        <v>1254</v>
      </c>
      <c r="B922" t="s">
        <v>646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 s="8">
        <v>0.90559999999999996</v>
      </c>
      <c r="K922">
        <v>100000</v>
      </c>
      <c r="L922" s="2">
        <v>45561</v>
      </c>
    </row>
    <row r="923" spans="1:12">
      <c r="A923" t="s">
        <v>1255</v>
      </c>
      <c r="B923" t="s">
        <v>129</v>
      </c>
      <c r="C923" t="s">
        <v>19</v>
      </c>
      <c r="D923" t="s">
        <v>28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 s="8">
        <v>0.89639999999999997</v>
      </c>
      <c r="K923">
        <v>90000</v>
      </c>
      <c r="L923" s="2">
        <v>46042</v>
      </c>
    </row>
    <row r="924" spans="1:12">
      <c r="A924" t="s">
        <v>1256</v>
      </c>
      <c r="B924" t="s">
        <v>1245</v>
      </c>
      <c r="C924" t="s">
        <v>14</v>
      </c>
      <c r="D924" t="s">
        <v>15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 s="8">
        <v>0.89459999999999995</v>
      </c>
      <c r="K924">
        <v>60000</v>
      </c>
      <c r="L924" s="2">
        <v>45794</v>
      </c>
    </row>
    <row r="925" spans="1:12">
      <c r="A925" t="s">
        <v>1257</v>
      </c>
      <c r="B925" t="s">
        <v>1038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 s="8">
        <v>0.76690000000000003</v>
      </c>
      <c r="K925">
        <v>100000</v>
      </c>
      <c r="L925" s="2">
        <v>45899</v>
      </c>
    </row>
    <row r="926" spans="1:12">
      <c r="A926" t="s">
        <v>1258</v>
      </c>
      <c r="B926" t="s">
        <v>88</v>
      </c>
      <c r="C926" t="s">
        <v>14</v>
      </c>
      <c r="D926" t="s">
        <v>15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 s="8">
        <v>0.80840000000000001</v>
      </c>
      <c r="K926">
        <v>60000</v>
      </c>
      <c r="L926" s="2">
        <v>45721</v>
      </c>
    </row>
    <row r="927" spans="1:12">
      <c r="A927" t="s">
        <v>1259</v>
      </c>
      <c r="B927" t="s">
        <v>720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 s="8">
        <v>0.85250000000000004</v>
      </c>
      <c r="K927">
        <v>70000</v>
      </c>
      <c r="L927" s="2">
        <v>45793</v>
      </c>
    </row>
    <row r="928" spans="1:12">
      <c r="A928" t="s">
        <v>1260</v>
      </c>
      <c r="B928" t="s">
        <v>146</v>
      </c>
      <c r="C928" t="s">
        <v>19</v>
      </c>
      <c r="D928" t="s">
        <v>20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 s="8">
        <v>0.95640000000000003</v>
      </c>
      <c r="K928">
        <v>100000</v>
      </c>
      <c r="L928" s="2">
        <v>45767</v>
      </c>
    </row>
    <row r="929" spans="1:12">
      <c r="A929" t="s">
        <v>1261</v>
      </c>
      <c r="B929" t="s">
        <v>152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 s="8">
        <v>0.97670000000000001</v>
      </c>
      <c r="K929">
        <v>80000</v>
      </c>
      <c r="L929" s="2">
        <v>45571</v>
      </c>
    </row>
    <row r="930" spans="1:12">
      <c r="A930" t="s">
        <v>1262</v>
      </c>
      <c r="B930" t="s">
        <v>1184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 s="8">
        <v>0.79890000000000005</v>
      </c>
      <c r="K930">
        <v>70000</v>
      </c>
      <c r="L930" s="2">
        <v>46083</v>
      </c>
    </row>
    <row r="931" spans="1:12">
      <c r="A931" t="s">
        <v>1263</v>
      </c>
      <c r="B931" t="s">
        <v>825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 s="8">
        <v>0.98309999999999997</v>
      </c>
      <c r="K931">
        <v>50000</v>
      </c>
      <c r="L931" s="2">
        <v>45636</v>
      </c>
    </row>
    <row r="932" spans="1:12">
      <c r="A932" t="s">
        <v>1264</v>
      </c>
      <c r="B932" t="s">
        <v>344</v>
      </c>
      <c r="C932" t="s">
        <v>19</v>
      </c>
      <c r="D932" t="s">
        <v>15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 s="8">
        <v>0.60460000000000003</v>
      </c>
      <c r="K932">
        <v>90000</v>
      </c>
      <c r="L932" s="2">
        <v>45799</v>
      </c>
    </row>
    <row r="933" spans="1:12">
      <c r="A933" t="s">
        <v>1265</v>
      </c>
      <c r="B933" t="s">
        <v>781</v>
      </c>
      <c r="C933" t="s">
        <v>19</v>
      </c>
      <c r="D933" t="s">
        <v>36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 s="8">
        <v>0.55000000000000004</v>
      </c>
      <c r="K933">
        <v>100000</v>
      </c>
      <c r="L933" s="2">
        <v>45671</v>
      </c>
    </row>
    <row r="934" spans="1:12">
      <c r="A934" t="s">
        <v>1266</v>
      </c>
      <c r="B934" t="s">
        <v>291</v>
      </c>
      <c r="C934" t="s">
        <v>14</v>
      </c>
      <c r="D934" t="s">
        <v>32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 s="8">
        <v>0.81569999999999998</v>
      </c>
      <c r="K934">
        <v>70000</v>
      </c>
      <c r="L934" s="2">
        <v>45648</v>
      </c>
    </row>
    <row r="935" spans="1:12">
      <c r="A935" t="s">
        <v>1267</v>
      </c>
      <c r="B935" t="s">
        <v>699</v>
      </c>
      <c r="C935" t="s">
        <v>19</v>
      </c>
      <c r="D935" t="s">
        <v>36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 s="8">
        <v>0.91720000000000002</v>
      </c>
      <c r="K935">
        <v>80000</v>
      </c>
      <c r="L935" s="2">
        <v>45797</v>
      </c>
    </row>
    <row r="936" spans="1:12">
      <c r="A936" t="s">
        <v>1268</v>
      </c>
      <c r="B936" t="s">
        <v>69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 s="8">
        <v>0.82989999999999997</v>
      </c>
      <c r="K936">
        <v>75000</v>
      </c>
      <c r="L936" s="2">
        <v>46179</v>
      </c>
    </row>
    <row r="937" spans="1:12">
      <c r="A937" t="s">
        <v>1269</v>
      </c>
      <c r="B937" t="s">
        <v>777</v>
      </c>
      <c r="C937" t="s">
        <v>19</v>
      </c>
      <c r="D937" t="s">
        <v>28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 s="8">
        <v>0.95130000000000003</v>
      </c>
      <c r="K937">
        <v>120000</v>
      </c>
      <c r="L937" s="2">
        <v>46196</v>
      </c>
    </row>
    <row r="938" spans="1:12">
      <c r="A938" t="s">
        <v>1270</v>
      </c>
      <c r="B938" t="s">
        <v>600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 s="8">
        <v>0.55000000000000004</v>
      </c>
      <c r="K938">
        <v>110000</v>
      </c>
      <c r="L938" s="2">
        <v>45803</v>
      </c>
    </row>
    <row r="939" spans="1:12">
      <c r="A939" t="s">
        <v>1271</v>
      </c>
      <c r="B939" t="s">
        <v>295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 s="8">
        <v>0.85319999999999996</v>
      </c>
      <c r="K939">
        <v>75000</v>
      </c>
      <c r="L939" s="2">
        <v>45889</v>
      </c>
    </row>
    <row r="940" spans="1:12">
      <c r="A940" t="s">
        <v>1272</v>
      </c>
      <c r="B940" t="s">
        <v>625</v>
      </c>
      <c r="C940" t="s">
        <v>14</v>
      </c>
      <c r="D940" t="s">
        <v>15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 s="8">
        <v>0.71779999999999999</v>
      </c>
      <c r="K940">
        <v>85000</v>
      </c>
      <c r="L940" s="2">
        <v>46225</v>
      </c>
    </row>
    <row r="941" spans="1:12">
      <c r="A941" t="s">
        <v>1273</v>
      </c>
      <c r="B941" t="s">
        <v>471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 s="8">
        <v>0.9123</v>
      </c>
      <c r="K941">
        <v>130000</v>
      </c>
      <c r="L941" s="2">
        <v>45700</v>
      </c>
    </row>
    <row r="942" spans="1:12">
      <c r="A942" t="s">
        <v>1274</v>
      </c>
      <c r="B942" t="s">
        <v>415</v>
      </c>
      <c r="C942" t="s">
        <v>19</v>
      </c>
      <c r="D942" t="s">
        <v>53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 s="8">
        <v>0.82010000000000005</v>
      </c>
      <c r="K942">
        <v>75000</v>
      </c>
      <c r="L942" s="2">
        <v>46197</v>
      </c>
    </row>
    <row r="943" spans="1:12">
      <c r="A943" t="s">
        <v>1275</v>
      </c>
      <c r="B943" t="s">
        <v>770</v>
      </c>
      <c r="C943" t="s">
        <v>14</v>
      </c>
      <c r="D943" t="s">
        <v>36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 s="8">
        <v>0.88200000000000001</v>
      </c>
      <c r="K943">
        <v>60000</v>
      </c>
      <c r="L943" s="2">
        <v>45610</v>
      </c>
    </row>
    <row r="944" spans="1:12">
      <c r="A944" t="s">
        <v>1276</v>
      </c>
      <c r="B944" t="s">
        <v>111</v>
      </c>
      <c r="C944" t="s">
        <v>19</v>
      </c>
      <c r="D944" t="s">
        <v>36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 s="8">
        <v>0.9002</v>
      </c>
      <c r="K944">
        <v>75000</v>
      </c>
      <c r="L944" s="2">
        <v>45694</v>
      </c>
    </row>
    <row r="945" spans="1:12">
      <c r="A945" t="s">
        <v>1277</v>
      </c>
      <c r="B945" t="s">
        <v>359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 s="8">
        <v>0.78869999999999996</v>
      </c>
      <c r="K945">
        <v>90000</v>
      </c>
      <c r="L945" s="2">
        <v>45772</v>
      </c>
    </row>
    <row r="946" spans="1:12">
      <c r="A946" t="s">
        <v>1278</v>
      </c>
      <c r="B946" t="s">
        <v>607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 s="8">
        <v>0.65469999999999995</v>
      </c>
      <c r="K946">
        <v>130000</v>
      </c>
      <c r="L946" s="2">
        <v>45561</v>
      </c>
    </row>
    <row r="947" spans="1:12">
      <c r="A947" t="s">
        <v>1279</v>
      </c>
      <c r="B947" t="s">
        <v>354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 s="8">
        <v>0.79479999999999995</v>
      </c>
      <c r="K947">
        <v>75000</v>
      </c>
      <c r="L947" s="2">
        <v>46107</v>
      </c>
    </row>
    <row r="948" spans="1:12">
      <c r="A948" t="s">
        <v>1280</v>
      </c>
      <c r="B948" t="s">
        <v>415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 s="8">
        <v>0.61209999999999998</v>
      </c>
      <c r="K948">
        <v>50000</v>
      </c>
      <c r="L948" s="2">
        <v>46134</v>
      </c>
    </row>
    <row r="949" spans="1:12">
      <c r="A949" t="s">
        <v>1281</v>
      </c>
      <c r="B949" t="s">
        <v>1282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 s="8">
        <v>0.97350000000000003</v>
      </c>
      <c r="K949">
        <v>60000</v>
      </c>
      <c r="L949" s="2">
        <v>45804</v>
      </c>
    </row>
    <row r="950" spans="1:12">
      <c r="A950" t="s">
        <v>1283</v>
      </c>
      <c r="B950" t="s">
        <v>433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 s="8">
        <v>0.84860000000000002</v>
      </c>
      <c r="K950">
        <v>80000</v>
      </c>
      <c r="L950" s="2">
        <v>46121</v>
      </c>
    </row>
    <row r="951" spans="1:12">
      <c r="A951" t="s">
        <v>1284</v>
      </c>
      <c r="B951" t="s">
        <v>115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 s="8">
        <v>0.73440000000000005</v>
      </c>
      <c r="K951">
        <v>60000</v>
      </c>
      <c r="L951" s="2">
        <v>46076</v>
      </c>
    </row>
    <row r="952" spans="1:12">
      <c r="A952" t="s">
        <v>1285</v>
      </c>
      <c r="B952" t="s">
        <v>737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 s="8">
        <v>0.55000000000000004</v>
      </c>
      <c r="K952">
        <v>50000</v>
      </c>
      <c r="L952" s="2">
        <v>46096</v>
      </c>
    </row>
    <row r="953" spans="1:12">
      <c r="A953" t="s">
        <v>1286</v>
      </c>
      <c r="B953" t="s">
        <v>975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 s="8">
        <v>0.89159999999999995</v>
      </c>
      <c r="K953">
        <v>100000</v>
      </c>
      <c r="L953" s="2">
        <v>46097</v>
      </c>
    </row>
    <row r="954" spans="1:12">
      <c r="A954" t="s">
        <v>1287</v>
      </c>
      <c r="B954" t="s">
        <v>81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 s="8">
        <v>0.79420000000000002</v>
      </c>
      <c r="K954">
        <v>120000</v>
      </c>
      <c r="L954" s="2">
        <v>45937</v>
      </c>
    </row>
    <row r="955" spans="1:12">
      <c r="A955" t="s">
        <v>1288</v>
      </c>
      <c r="B955" t="s">
        <v>65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 s="8">
        <v>0.91359999999999997</v>
      </c>
      <c r="K955">
        <v>70000</v>
      </c>
      <c r="L955" s="2">
        <v>45613</v>
      </c>
    </row>
    <row r="956" spans="1:12">
      <c r="A956" t="s">
        <v>1289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 s="8">
        <v>0.69810000000000005</v>
      </c>
      <c r="K956">
        <v>85000</v>
      </c>
      <c r="L956" s="2">
        <v>46182</v>
      </c>
    </row>
    <row r="957" spans="1:12">
      <c r="A957" t="s">
        <v>1290</v>
      </c>
      <c r="B957" t="s">
        <v>550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 s="8">
        <v>0.75960000000000005</v>
      </c>
      <c r="K957">
        <v>90000</v>
      </c>
      <c r="L957" s="2">
        <v>45962</v>
      </c>
    </row>
    <row r="958" spans="1:12">
      <c r="A958" t="s">
        <v>1291</v>
      </c>
      <c r="B958" t="s">
        <v>295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 s="8">
        <v>0.82430000000000003</v>
      </c>
      <c r="K958">
        <v>100000</v>
      </c>
      <c r="L958" s="2">
        <v>46166</v>
      </c>
    </row>
    <row r="959" spans="1:12">
      <c r="A959" t="s">
        <v>1292</v>
      </c>
      <c r="B959" t="s">
        <v>315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 s="8">
        <v>0.89080000000000004</v>
      </c>
      <c r="K959">
        <v>130000</v>
      </c>
      <c r="L959" s="2">
        <v>46207</v>
      </c>
    </row>
    <row r="960" spans="1:12">
      <c r="A960" t="s">
        <v>1293</v>
      </c>
      <c r="B960" t="s">
        <v>1106</v>
      </c>
      <c r="C960" t="s">
        <v>19</v>
      </c>
      <c r="D960" t="s">
        <v>36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 s="8">
        <v>0.9284</v>
      </c>
      <c r="K960">
        <v>120000</v>
      </c>
      <c r="L960" s="2">
        <v>45667</v>
      </c>
    </row>
    <row r="961" spans="1:12">
      <c r="A961" t="s">
        <v>1294</v>
      </c>
      <c r="B961" t="s">
        <v>152</v>
      </c>
      <c r="C961" t="s">
        <v>14</v>
      </c>
      <c r="D961" t="s">
        <v>53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 s="8">
        <v>0.94369999999999998</v>
      </c>
      <c r="K961">
        <v>75000</v>
      </c>
      <c r="L961" s="2">
        <v>45817</v>
      </c>
    </row>
    <row r="962" spans="1:12">
      <c r="A962" t="s">
        <v>1295</v>
      </c>
      <c r="B962" t="s">
        <v>264</v>
      </c>
      <c r="C962" t="s">
        <v>14</v>
      </c>
      <c r="D962" t="s">
        <v>36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 s="8">
        <v>0.94099999999999995</v>
      </c>
      <c r="K962">
        <v>130000</v>
      </c>
      <c r="L962" s="2">
        <v>45670</v>
      </c>
    </row>
    <row r="963" spans="1:12">
      <c r="A963" t="s">
        <v>1296</v>
      </c>
      <c r="B963" t="s">
        <v>378</v>
      </c>
      <c r="C963" t="s">
        <v>14</v>
      </c>
      <c r="D963" t="s">
        <v>36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 s="8">
        <v>0.93889999999999996</v>
      </c>
      <c r="K963">
        <v>50000</v>
      </c>
      <c r="L963" s="2">
        <v>45571</v>
      </c>
    </row>
    <row r="964" spans="1:12">
      <c r="A964" t="s">
        <v>1297</v>
      </c>
      <c r="B964" t="s">
        <v>777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 s="8">
        <v>0.87539999999999996</v>
      </c>
      <c r="K964">
        <v>130000</v>
      </c>
      <c r="L964" s="2">
        <v>46212</v>
      </c>
    </row>
    <row r="965" spans="1:12">
      <c r="A965" t="s">
        <v>1298</v>
      </c>
      <c r="B965" t="s">
        <v>194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 s="8">
        <v>0.92620000000000002</v>
      </c>
      <c r="K965">
        <v>60000</v>
      </c>
      <c r="L965" s="2">
        <v>46182</v>
      </c>
    </row>
    <row r="966" spans="1:12">
      <c r="A966" t="s">
        <v>1299</v>
      </c>
      <c r="B966" t="s">
        <v>469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 s="8">
        <v>0.79010000000000002</v>
      </c>
      <c r="K966">
        <v>60000</v>
      </c>
      <c r="L966" s="2">
        <v>46188</v>
      </c>
    </row>
    <row r="967" spans="1:12">
      <c r="A967" t="s">
        <v>1300</v>
      </c>
      <c r="B967" t="s">
        <v>213</v>
      </c>
      <c r="C967" t="s">
        <v>19</v>
      </c>
      <c r="D967" t="s">
        <v>53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 s="8">
        <v>0.98</v>
      </c>
      <c r="K967">
        <v>60000</v>
      </c>
      <c r="L967" s="2">
        <v>46154</v>
      </c>
    </row>
    <row r="968" spans="1:12">
      <c r="A968" t="s">
        <v>1301</v>
      </c>
      <c r="B968" t="s">
        <v>618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 s="8">
        <v>0.81389999999999996</v>
      </c>
      <c r="K968">
        <v>60000</v>
      </c>
      <c r="L968" s="2">
        <v>45990</v>
      </c>
    </row>
    <row r="969" spans="1:12">
      <c r="A969" t="s">
        <v>1302</v>
      </c>
      <c r="B969" t="s">
        <v>351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 s="8">
        <v>0.9506</v>
      </c>
      <c r="K969">
        <v>85000</v>
      </c>
      <c r="L969" s="2">
        <v>45901</v>
      </c>
    </row>
    <row r="970" spans="1:12">
      <c r="A970" t="s">
        <v>1303</v>
      </c>
      <c r="B970" t="s">
        <v>469</v>
      </c>
      <c r="C970" t="s">
        <v>19</v>
      </c>
      <c r="D970" t="s">
        <v>32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 s="8">
        <v>0.80110000000000003</v>
      </c>
      <c r="K970">
        <v>100000</v>
      </c>
      <c r="L970" s="2">
        <v>46230</v>
      </c>
    </row>
    <row r="971" spans="1:12">
      <c r="A971" t="s">
        <v>1304</v>
      </c>
      <c r="B971" t="s">
        <v>930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 s="8">
        <v>0.87490000000000001</v>
      </c>
      <c r="K971">
        <v>110000</v>
      </c>
      <c r="L971" s="2">
        <v>45922</v>
      </c>
    </row>
    <row r="972" spans="1:12">
      <c r="A972" t="s">
        <v>1305</v>
      </c>
      <c r="B972" t="s">
        <v>264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 s="8">
        <v>0.94620000000000004</v>
      </c>
      <c r="K972">
        <v>50000</v>
      </c>
      <c r="L972" s="2">
        <v>45985</v>
      </c>
    </row>
    <row r="973" spans="1:12">
      <c r="A973" t="s">
        <v>1306</v>
      </c>
      <c r="B973" t="s">
        <v>1282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 s="8">
        <v>0.82310000000000005</v>
      </c>
      <c r="K973">
        <v>75000</v>
      </c>
      <c r="L973" s="2">
        <v>45684</v>
      </c>
    </row>
    <row r="974" spans="1:12">
      <c r="A974" t="s">
        <v>1307</v>
      </c>
      <c r="B974" t="s">
        <v>521</v>
      </c>
      <c r="C974" t="s">
        <v>14</v>
      </c>
      <c r="D974" t="s">
        <v>15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 s="8">
        <v>0.73939999999999995</v>
      </c>
      <c r="K974">
        <v>60000</v>
      </c>
      <c r="L974" s="2">
        <v>46058</v>
      </c>
    </row>
    <row r="975" spans="1:12">
      <c r="A975" t="s">
        <v>1308</v>
      </c>
      <c r="B975" t="s">
        <v>337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 s="8">
        <v>0.55000000000000004</v>
      </c>
      <c r="K975">
        <v>60000</v>
      </c>
      <c r="L975" s="2">
        <v>46109</v>
      </c>
    </row>
    <row r="976" spans="1:12">
      <c r="A976" t="s">
        <v>1309</v>
      </c>
      <c r="B976" t="s">
        <v>1310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 s="8">
        <v>0.64019999999999999</v>
      </c>
      <c r="K976">
        <v>110000</v>
      </c>
      <c r="L976" s="2">
        <v>46010</v>
      </c>
    </row>
    <row r="977" spans="1:12">
      <c r="A977" t="s">
        <v>1311</v>
      </c>
      <c r="B977" t="s">
        <v>514</v>
      </c>
      <c r="C977" t="s">
        <v>14</v>
      </c>
      <c r="D977" t="s">
        <v>36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 s="8">
        <v>0.87709999999999999</v>
      </c>
      <c r="K977">
        <v>100000</v>
      </c>
      <c r="L977" s="2">
        <v>45885</v>
      </c>
    </row>
    <row r="978" spans="1:12">
      <c r="A978" t="s">
        <v>1312</v>
      </c>
      <c r="B978" t="s">
        <v>410</v>
      </c>
      <c r="C978" t="s">
        <v>14</v>
      </c>
      <c r="D978" t="s">
        <v>36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 s="8">
        <v>0.96530000000000005</v>
      </c>
      <c r="K978">
        <v>70000</v>
      </c>
      <c r="L978" s="2">
        <v>45674</v>
      </c>
    </row>
    <row r="979" spans="1:12">
      <c r="A979" t="s">
        <v>1313</v>
      </c>
      <c r="B979" t="s">
        <v>96</v>
      </c>
      <c r="C979" t="s">
        <v>19</v>
      </c>
      <c r="D979" t="s">
        <v>15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 s="8">
        <v>0.69869999999999999</v>
      </c>
      <c r="K979">
        <v>75000</v>
      </c>
      <c r="L979" s="2">
        <v>45559</v>
      </c>
    </row>
    <row r="980" spans="1:12">
      <c r="A980" t="s">
        <v>1314</v>
      </c>
      <c r="B980" t="s">
        <v>253</v>
      </c>
      <c r="C980" t="s">
        <v>14</v>
      </c>
      <c r="D980" t="s">
        <v>36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 s="8">
        <v>0.69350000000000001</v>
      </c>
      <c r="K980">
        <v>130000</v>
      </c>
      <c r="L980" s="2">
        <v>45975</v>
      </c>
    </row>
    <row r="981" spans="1:12">
      <c r="A981" t="s">
        <v>1315</v>
      </c>
      <c r="B981" t="s">
        <v>213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 s="8">
        <v>0.8115</v>
      </c>
      <c r="K981">
        <v>90000</v>
      </c>
      <c r="L981" s="2">
        <v>46014</v>
      </c>
    </row>
    <row r="982" spans="1:12">
      <c r="A982" t="s">
        <v>1316</v>
      </c>
      <c r="B982" t="s">
        <v>166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 s="8">
        <v>0.72199999999999998</v>
      </c>
      <c r="K982">
        <v>70000</v>
      </c>
      <c r="L982" s="2">
        <v>46076</v>
      </c>
    </row>
    <row r="983" spans="1:12">
      <c r="A983" t="s">
        <v>1317</v>
      </c>
      <c r="B983" t="s">
        <v>1009</v>
      </c>
      <c r="C983" t="s">
        <v>19</v>
      </c>
      <c r="D983" t="s">
        <v>53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 s="8">
        <v>0.65639999999999998</v>
      </c>
      <c r="K983">
        <v>130000</v>
      </c>
      <c r="L983" s="2">
        <v>46201</v>
      </c>
    </row>
    <row r="984" spans="1:12">
      <c r="A984" t="s">
        <v>1318</v>
      </c>
      <c r="B984" t="s">
        <v>98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 s="8">
        <v>0.73260000000000003</v>
      </c>
      <c r="K984">
        <v>70000</v>
      </c>
      <c r="L984" s="2">
        <v>45884</v>
      </c>
    </row>
    <row r="985" spans="1:12">
      <c r="A985" t="s">
        <v>1319</v>
      </c>
      <c r="B985" t="s">
        <v>589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 s="8">
        <v>0.94850000000000001</v>
      </c>
      <c r="K985">
        <v>75000</v>
      </c>
      <c r="L985" s="2">
        <v>46116</v>
      </c>
    </row>
    <row r="986" spans="1:12">
      <c r="A986" t="s">
        <v>1320</v>
      </c>
      <c r="B986" t="s">
        <v>1321</v>
      </c>
      <c r="C986" t="s">
        <v>19</v>
      </c>
      <c r="D986" t="s">
        <v>36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 s="8">
        <v>0.66259999999999997</v>
      </c>
      <c r="K986">
        <v>100000</v>
      </c>
      <c r="L986" s="2">
        <v>46037</v>
      </c>
    </row>
    <row r="987" spans="1:12">
      <c r="A987" t="s">
        <v>1322</v>
      </c>
      <c r="B987" t="s">
        <v>18</v>
      </c>
      <c r="C987" t="s">
        <v>19</v>
      </c>
      <c r="D987" t="s">
        <v>20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 s="8">
        <v>0.97289999999999999</v>
      </c>
      <c r="K987">
        <v>85000</v>
      </c>
      <c r="L987" s="2">
        <v>45730</v>
      </c>
    </row>
    <row r="988" spans="1:12">
      <c r="A988" t="s">
        <v>1323</v>
      </c>
      <c r="B988" t="s">
        <v>908</v>
      </c>
      <c r="C988" t="s">
        <v>19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 s="8">
        <v>0.77700000000000002</v>
      </c>
      <c r="K988">
        <v>50000</v>
      </c>
      <c r="L988" s="2">
        <v>46127</v>
      </c>
    </row>
    <row r="989" spans="1:12">
      <c r="A989" t="s">
        <v>1324</v>
      </c>
      <c r="B989" t="s">
        <v>575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 s="8">
        <v>0.85909999999999997</v>
      </c>
      <c r="K989">
        <v>110000</v>
      </c>
      <c r="L989" s="2">
        <v>45573</v>
      </c>
    </row>
    <row r="990" spans="1:12">
      <c r="A990" t="s">
        <v>1325</v>
      </c>
      <c r="B990" t="s">
        <v>241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 s="8">
        <v>0.66690000000000005</v>
      </c>
      <c r="K990">
        <v>70000</v>
      </c>
      <c r="L990" s="2">
        <v>45955</v>
      </c>
    </row>
    <row r="991" spans="1:12">
      <c r="A991" t="s">
        <v>1326</v>
      </c>
      <c r="B991" t="s">
        <v>404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 s="8">
        <v>0.90310000000000001</v>
      </c>
      <c r="K991">
        <v>100000</v>
      </c>
      <c r="L991" s="2">
        <v>46194</v>
      </c>
    </row>
    <row r="992" spans="1:12">
      <c r="A992" t="s">
        <v>1327</v>
      </c>
      <c r="B992" t="s">
        <v>632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 s="8">
        <v>0.6804</v>
      </c>
      <c r="K992">
        <v>75000</v>
      </c>
      <c r="L992" s="2">
        <v>45997</v>
      </c>
    </row>
    <row r="993" spans="1:12">
      <c r="A993" t="s">
        <v>1328</v>
      </c>
      <c r="B993" t="s">
        <v>218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 s="8">
        <v>0.87019999999999997</v>
      </c>
      <c r="K993">
        <v>110000</v>
      </c>
      <c r="L993" s="2">
        <v>46191</v>
      </c>
    </row>
    <row r="994" spans="1:12">
      <c r="A994" t="s">
        <v>1329</v>
      </c>
      <c r="B994" t="s">
        <v>1330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 s="8">
        <v>0.87929999999999997</v>
      </c>
      <c r="K994">
        <v>120000</v>
      </c>
      <c r="L994" s="2">
        <v>45575</v>
      </c>
    </row>
    <row r="995" spans="1:12">
      <c r="A995" t="s">
        <v>1331</v>
      </c>
      <c r="B995" t="s">
        <v>382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 s="8">
        <v>0.94410000000000005</v>
      </c>
      <c r="K995">
        <v>110000</v>
      </c>
      <c r="L995" s="2">
        <v>45908</v>
      </c>
    </row>
    <row r="996" spans="1:12">
      <c r="A996" t="s">
        <v>1332</v>
      </c>
      <c r="B996" t="s">
        <v>380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 s="8">
        <v>0.66180000000000005</v>
      </c>
      <c r="K996">
        <v>130000</v>
      </c>
      <c r="L996" s="2">
        <v>46082</v>
      </c>
    </row>
    <row r="997" spans="1:12">
      <c r="A997" t="s">
        <v>1333</v>
      </c>
      <c r="B997" t="s">
        <v>71</v>
      </c>
      <c r="C997" t="s">
        <v>19</v>
      </c>
      <c r="D997" t="s">
        <v>32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 s="8">
        <v>0.63160000000000005</v>
      </c>
      <c r="K997">
        <v>85000</v>
      </c>
      <c r="L997" s="2">
        <v>45985</v>
      </c>
    </row>
    <row r="998" spans="1:12">
      <c r="A998" t="s">
        <v>1334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 s="8">
        <v>0.87109999999999999</v>
      </c>
      <c r="K998">
        <v>50000</v>
      </c>
      <c r="L998" s="2">
        <v>46152</v>
      </c>
    </row>
    <row r="999" spans="1:12">
      <c r="A999" t="s">
        <v>1335</v>
      </c>
      <c r="B999" t="s">
        <v>378</v>
      </c>
      <c r="C999" t="s">
        <v>14</v>
      </c>
      <c r="D999" t="s">
        <v>36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 s="8">
        <v>0.96430000000000005</v>
      </c>
      <c r="K999">
        <v>85000</v>
      </c>
      <c r="L999" s="2">
        <v>45859</v>
      </c>
    </row>
    <row r="1000" spans="1:12">
      <c r="A1000" t="s">
        <v>1336</v>
      </c>
      <c r="B1000" t="s">
        <v>191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 s="8">
        <v>0.64580000000000004</v>
      </c>
      <c r="K1000">
        <v>85000</v>
      </c>
      <c r="L1000" s="2">
        <v>46013</v>
      </c>
    </row>
    <row r="1001" spans="1:12">
      <c r="A1001" t="s">
        <v>1337</v>
      </c>
      <c r="B1001" t="s">
        <v>55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 s="8">
        <v>0.90300000000000002</v>
      </c>
      <c r="K1001">
        <v>100000</v>
      </c>
      <c r="L1001" s="2">
        <v>45829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96F1-B571-40EC-B95C-26F479810B3B}">
  <dimension ref="A1:R1001"/>
  <sheetViews>
    <sheetView workbookViewId="0">
      <selection activeCell="S10" sqref="S10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0" max="10" width="9.140625" style="8"/>
    <col min="11" max="11" width="11.5703125" bestFit="1" customWidth="1"/>
    <col min="12" max="12" width="19.5703125" bestFit="1" customWidth="1"/>
    <col min="16" max="16" width="6.42578125" customWidth="1"/>
    <col min="17" max="17" width="33" customWidth="1"/>
    <col min="18" max="18" width="13.28515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 spans="1:18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8">
        <v>0.91869999999999996</v>
      </c>
      <c r="K2">
        <v>75000</v>
      </c>
      <c r="L2" s="2">
        <v>45854</v>
      </c>
    </row>
    <row r="3" spans="1:18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8">
        <v>0.81930000000000003</v>
      </c>
      <c r="K3">
        <v>90000</v>
      </c>
      <c r="L3" s="2">
        <v>45633</v>
      </c>
    </row>
    <row r="4" spans="1:18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8">
        <v>0.79079999999999995</v>
      </c>
      <c r="K4">
        <v>85000</v>
      </c>
      <c r="L4" s="2">
        <v>45682</v>
      </c>
    </row>
    <row r="5" spans="1:18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8">
        <v>0.76400000000000001</v>
      </c>
      <c r="K5">
        <v>120000</v>
      </c>
      <c r="L5" s="2">
        <v>45844</v>
      </c>
      <c r="Q5" s="12" t="s">
        <v>1344</v>
      </c>
      <c r="R5" s="13"/>
    </row>
    <row r="6" spans="1:18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8">
        <v>0.73070000000000002</v>
      </c>
      <c r="K6">
        <v>70000</v>
      </c>
      <c r="L6" s="2">
        <v>46019</v>
      </c>
      <c r="Q6" s="14" t="s">
        <v>1345</v>
      </c>
      <c r="R6" s="15" t="s">
        <v>1346</v>
      </c>
    </row>
    <row r="7" spans="1:18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8">
        <v>0.7429</v>
      </c>
      <c r="K7">
        <v>85000</v>
      </c>
      <c r="L7" s="2">
        <v>45826</v>
      </c>
      <c r="Q7" s="16" t="s">
        <v>1347</v>
      </c>
      <c r="R7" s="17">
        <f>COUNT(F2:F1001)</f>
        <v>1000</v>
      </c>
    </row>
    <row r="8" spans="1:18">
      <c r="A8" t="s">
        <v>34</v>
      </c>
      <c r="B8" t="s">
        <v>35</v>
      </c>
      <c r="C8" t="s">
        <v>14</v>
      </c>
      <c r="D8" t="s">
        <v>36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8">
        <v>0.75839999999999996</v>
      </c>
      <c r="K8">
        <v>60000</v>
      </c>
      <c r="L8" s="2">
        <v>45915</v>
      </c>
      <c r="Q8" s="16" t="s">
        <v>1348</v>
      </c>
      <c r="R8" s="17">
        <f>AVERAGE(F2:F1001)</f>
        <v>13.190809999999976</v>
      </c>
    </row>
    <row r="9" spans="1:18">
      <c r="A9" t="s">
        <v>42</v>
      </c>
      <c r="B9" t="s">
        <v>43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8">
        <v>0.95250000000000001</v>
      </c>
      <c r="K9">
        <v>90000</v>
      </c>
      <c r="L9" s="2">
        <v>45901</v>
      </c>
      <c r="Q9" s="16" t="s">
        <v>1349</v>
      </c>
      <c r="R9" s="17">
        <f>MAX(F2:F1001)</f>
        <v>20</v>
      </c>
    </row>
    <row r="10" spans="1:18">
      <c r="A10" t="s">
        <v>44</v>
      </c>
      <c r="B10" t="s">
        <v>45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8">
        <v>0.87990000000000002</v>
      </c>
      <c r="K10">
        <v>50000</v>
      </c>
      <c r="L10" s="2">
        <v>45724</v>
      </c>
      <c r="Q10" s="16" t="s">
        <v>1350</v>
      </c>
      <c r="R10" s="17">
        <f>MIN(F2:F1001)</f>
        <v>3.3</v>
      </c>
    </row>
    <row r="11" spans="1:18">
      <c r="A11" t="s">
        <v>46</v>
      </c>
      <c r="B11" t="s">
        <v>47</v>
      </c>
      <c r="C11" t="s">
        <v>14</v>
      </c>
      <c r="D11" t="s">
        <v>36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 s="8">
        <v>0.74860000000000004</v>
      </c>
      <c r="K11">
        <v>80000</v>
      </c>
      <c r="L11" s="2">
        <v>45731</v>
      </c>
      <c r="Q11" s="16" t="s">
        <v>1351</v>
      </c>
      <c r="R11" s="17">
        <f>COUNT(H2:H1001)</f>
        <v>1000</v>
      </c>
    </row>
    <row r="12" spans="1:18">
      <c r="A12" t="s">
        <v>49</v>
      </c>
      <c r="B12" t="s">
        <v>50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8">
        <v>0.78959999999999997</v>
      </c>
      <c r="K12">
        <v>50000</v>
      </c>
      <c r="L12" s="2">
        <v>45834</v>
      </c>
      <c r="Q12" s="16" t="s">
        <v>1352</v>
      </c>
      <c r="R12" s="17">
        <f>AVERAGE(H2:H1001)</f>
        <v>13.42810999999999</v>
      </c>
    </row>
    <row r="13" spans="1:18">
      <c r="A13" t="s">
        <v>51</v>
      </c>
      <c r="B13" t="s">
        <v>52</v>
      </c>
      <c r="C13" t="s">
        <v>19</v>
      </c>
      <c r="D13" t="s">
        <v>53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8">
        <v>0.9133</v>
      </c>
      <c r="K13">
        <v>75000</v>
      </c>
      <c r="L13" s="2">
        <v>45558</v>
      </c>
      <c r="Q13" s="16" t="s">
        <v>1353</v>
      </c>
      <c r="R13" s="17">
        <f>MAX(H2:H1001)</f>
        <v>20</v>
      </c>
    </row>
    <row r="14" spans="1:18">
      <c r="A14" t="s">
        <v>54</v>
      </c>
      <c r="B14" t="s">
        <v>55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8">
        <v>0.87109999999999999</v>
      </c>
      <c r="K14">
        <v>85000</v>
      </c>
      <c r="L14" s="2">
        <v>46015</v>
      </c>
      <c r="Q14" s="16" t="s">
        <v>1354</v>
      </c>
      <c r="R14" s="17">
        <f>MIN(H2:H1001)</f>
        <v>0.41</v>
      </c>
    </row>
    <row r="15" spans="1:18">
      <c r="A15" t="s">
        <v>56</v>
      </c>
      <c r="B15" t="s">
        <v>57</v>
      </c>
      <c r="C15" t="s">
        <v>19</v>
      </c>
      <c r="D15" t="s">
        <v>32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 s="8">
        <v>0.73260000000000003</v>
      </c>
      <c r="K15">
        <v>75000</v>
      </c>
      <c r="L15" s="2">
        <v>45966</v>
      </c>
    </row>
    <row r="16" spans="1:18">
      <c r="A16" t="s">
        <v>58</v>
      </c>
      <c r="B16" t="s">
        <v>59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8">
        <v>0.95089999999999997</v>
      </c>
      <c r="K16">
        <v>80000</v>
      </c>
      <c r="L16" s="2">
        <v>45750</v>
      </c>
    </row>
    <row r="17" spans="1:18">
      <c r="A17" t="s">
        <v>60</v>
      </c>
      <c r="B17" t="s">
        <v>61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8">
        <v>0.79810000000000003</v>
      </c>
      <c r="K17">
        <v>60000</v>
      </c>
      <c r="L17" s="2">
        <v>45797</v>
      </c>
      <c r="Q17" s="12" t="s">
        <v>1355</v>
      </c>
      <c r="R17" s="13"/>
    </row>
    <row r="18" spans="1:18">
      <c r="A18" t="s">
        <v>62</v>
      </c>
      <c r="B18" t="s">
        <v>63</v>
      </c>
      <c r="C18" t="s">
        <v>19</v>
      </c>
      <c r="D18" t="s">
        <v>15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 s="8">
        <v>0.84589999999999999</v>
      </c>
      <c r="K18">
        <v>100000</v>
      </c>
      <c r="L18" s="2">
        <v>45766</v>
      </c>
      <c r="Q18" s="14" t="s">
        <v>1345</v>
      </c>
      <c r="R18" s="15" t="s">
        <v>1346</v>
      </c>
    </row>
    <row r="19" spans="1:18">
      <c r="A19" t="s">
        <v>64</v>
      </c>
      <c r="B19" t="s">
        <v>65</v>
      </c>
      <c r="C19" t="s">
        <v>14</v>
      </c>
      <c r="D19" t="s">
        <v>15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 s="8">
        <v>0.55000000000000004</v>
      </c>
      <c r="K19">
        <v>110000</v>
      </c>
      <c r="L19" s="2">
        <v>45991</v>
      </c>
      <c r="Q19" s="16" t="s">
        <v>1356</v>
      </c>
      <c r="R19" s="17">
        <f>COUNTIF(H2:H1001,"&gt;=15")</f>
        <v>341</v>
      </c>
    </row>
    <row r="20" spans="1:18">
      <c r="A20" t="s">
        <v>66</v>
      </c>
      <c r="B20" t="s">
        <v>67</v>
      </c>
      <c r="C20" t="s">
        <v>19</v>
      </c>
      <c r="D20" t="s">
        <v>15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 s="8">
        <v>0.55000000000000004</v>
      </c>
      <c r="K20">
        <v>85000</v>
      </c>
      <c r="L20" s="2">
        <v>46067</v>
      </c>
      <c r="Q20" s="18" t="s">
        <v>1357</v>
      </c>
      <c r="R20" s="19">
        <f>COUNTIF(F2:F1001,"&gt;=15")</f>
        <v>321</v>
      </c>
    </row>
    <row r="21" spans="1:18">
      <c r="A21" t="s">
        <v>68</v>
      </c>
      <c r="B21" t="s">
        <v>69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8">
        <v>0.82350000000000001</v>
      </c>
      <c r="K21">
        <v>50000</v>
      </c>
      <c r="L21" s="2">
        <v>45612</v>
      </c>
      <c r="Q21" s="16" t="s">
        <v>1358</v>
      </c>
      <c r="R21" s="17">
        <f>COUNTIF(J2:J1001,"&gt;=90%")</f>
        <v>305</v>
      </c>
    </row>
    <row r="22" spans="1:18">
      <c r="A22" t="s">
        <v>70</v>
      </c>
      <c r="B22" t="s">
        <v>71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8">
        <v>0.87709999999999999</v>
      </c>
      <c r="K22">
        <v>50000</v>
      </c>
      <c r="L22" s="2">
        <v>45825</v>
      </c>
      <c r="Q22" s="20"/>
      <c r="R22" s="21"/>
    </row>
    <row r="23" spans="1:18">
      <c r="A23" t="s">
        <v>72</v>
      </c>
      <c r="B23" t="s">
        <v>73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8">
        <v>0.83630000000000004</v>
      </c>
      <c r="K23">
        <v>100000</v>
      </c>
      <c r="L23" s="2">
        <v>45545</v>
      </c>
      <c r="Q23" s="20"/>
      <c r="R23" s="21"/>
    </row>
    <row r="24" spans="1:18">
      <c r="A24" t="s">
        <v>74</v>
      </c>
      <c r="B24" t="s">
        <v>75</v>
      </c>
      <c r="C24" t="s">
        <v>14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 s="8">
        <v>0.94589999999999996</v>
      </c>
      <c r="K24">
        <v>130000</v>
      </c>
      <c r="L24" s="2">
        <v>45852</v>
      </c>
      <c r="Q24" s="22" t="s">
        <v>1359</v>
      </c>
      <c r="R24" s="23"/>
    </row>
    <row r="25" spans="1:18">
      <c r="A25" t="s">
        <v>76</v>
      </c>
      <c r="B25" t="s">
        <v>77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8">
        <v>0.58579999999999999</v>
      </c>
      <c r="K25">
        <v>120000</v>
      </c>
      <c r="L25" s="2">
        <v>45709</v>
      </c>
      <c r="Q25" s="14" t="s">
        <v>1345</v>
      </c>
      <c r="R25" s="15" t="s">
        <v>1346</v>
      </c>
    </row>
    <row r="26" spans="1:18">
      <c r="A26" t="s">
        <v>78</v>
      </c>
      <c r="B26" t="s">
        <v>79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8">
        <v>0.9405</v>
      </c>
      <c r="K26">
        <v>80000</v>
      </c>
      <c r="L26" s="2">
        <v>45771</v>
      </c>
      <c r="Q26" s="16" t="s">
        <v>1360</v>
      </c>
      <c r="R26" s="17">
        <f>COUNTIFS(F2:F1001,"&gt;=15",H2:H1001,"&gt;=15")</f>
        <v>194</v>
      </c>
    </row>
    <row r="27" spans="1:18">
      <c r="A27" t="s">
        <v>80</v>
      </c>
      <c r="B27" t="s">
        <v>81</v>
      </c>
      <c r="C27" t="s">
        <v>19</v>
      </c>
      <c r="D27" t="s">
        <v>32</v>
      </c>
      <c r="E27" t="s">
        <v>48</v>
      </c>
      <c r="F27">
        <v>18.41</v>
      </c>
      <c r="G27">
        <v>20</v>
      </c>
      <c r="H27">
        <v>14.71</v>
      </c>
      <c r="I27">
        <v>20</v>
      </c>
      <c r="J27" s="8">
        <v>0.81899999999999995</v>
      </c>
      <c r="K27">
        <v>85000</v>
      </c>
      <c r="L27" s="2">
        <v>45855</v>
      </c>
      <c r="Q27" s="16" t="s">
        <v>1361</v>
      </c>
      <c r="R27" s="17">
        <f>COUNTIFS(H2:H1001,"&gt;=15",J2:J1001,"&gt;=90%")</f>
        <v>101</v>
      </c>
    </row>
    <row r="28" spans="1:18">
      <c r="A28" t="s">
        <v>82</v>
      </c>
      <c r="B28" t="s">
        <v>83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8">
        <v>0.76739999999999997</v>
      </c>
      <c r="K28">
        <v>60000</v>
      </c>
      <c r="L28" s="2">
        <v>45762</v>
      </c>
      <c r="Q28" s="16" t="s">
        <v>1362</v>
      </c>
      <c r="R28" s="17">
        <f>COUNTIFS(F2:F1001,"&lt;10",J2:J1001,"&lt;80%")</f>
        <v>66</v>
      </c>
    </row>
    <row r="29" spans="1:18">
      <c r="A29" t="s">
        <v>84</v>
      </c>
      <c r="B29" t="s">
        <v>85</v>
      </c>
      <c r="C29" t="s">
        <v>19</v>
      </c>
      <c r="D29" t="s">
        <v>53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8">
        <v>0.81159999999999999</v>
      </c>
      <c r="K29">
        <v>50000</v>
      </c>
      <c r="L29" s="2">
        <v>45811</v>
      </c>
      <c r="Q29" s="20"/>
      <c r="R29" s="21"/>
    </row>
    <row r="30" spans="1:18">
      <c r="A30" t="s">
        <v>86</v>
      </c>
      <c r="B30" t="s">
        <v>59</v>
      </c>
      <c r="C30" t="s">
        <v>19</v>
      </c>
      <c r="D30" t="s">
        <v>15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 s="8">
        <v>0.97089999999999999</v>
      </c>
      <c r="K30">
        <v>110000</v>
      </c>
      <c r="L30" s="2">
        <v>46071</v>
      </c>
      <c r="Q30" s="20"/>
      <c r="R30" s="21"/>
    </row>
    <row r="31" spans="1:18">
      <c r="A31" t="s">
        <v>87</v>
      </c>
      <c r="B31" t="s">
        <v>88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8">
        <v>0.55000000000000004</v>
      </c>
      <c r="K31">
        <v>80000</v>
      </c>
      <c r="L31" s="2">
        <v>46103</v>
      </c>
      <c r="Q31" s="20"/>
      <c r="R31" s="21"/>
    </row>
    <row r="32" spans="1:18">
      <c r="A32" t="s">
        <v>89</v>
      </c>
      <c r="B32" t="s">
        <v>90</v>
      </c>
      <c r="C32" t="s">
        <v>14</v>
      </c>
      <c r="D32" t="s">
        <v>36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8">
        <v>0.98560000000000003</v>
      </c>
      <c r="K32">
        <v>85000</v>
      </c>
      <c r="L32" s="2">
        <v>45540</v>
      </c>
      <c r="Q32" s="20"/>
      <c r="R32" s="21"/>
    </row>
    <row r="33" spans="1:18">
      <c r="A33" t="s">
        <v>91</v>
      </c>
      <c r="B33" t="s">
        <v>92</v>
      </c>
      <c r="C33" t="s">
        <v>14</v>
      </c>
      <c r="D33" t="s">
        <v>36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8">
        <v>0.93830000000000002</v>
      </c>
      <c r="K33">
        <v>75000</v>
      </c>
      <c r="L33" s="2">
        <v>45800</v>
      </c>
      <c r="Q33" s="20"/>
      <c r="R33" s="21"/>
    </row>
    <row r="34" spans="1:18">
      <c r="A34" t="s">
        <v>93</v>
      </c>
      <c r="B34" t="s">
        <v>94</v>
      </c>
      <c r="C34" t="s">
        <v>14</v>
      </c>
      <c r="D34" t="s">
        <v>53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8">
        <v>0.79310000000000003</v>
      </c>
      <c r="K34">
        <v>75000</v>
      </c>
      <c r="L34" s="2">
        <v>46128</v>
      </c>
    </row>
    <row r="35" spans="1:18">
      <c r="A35" t="s">
        <v>95</v>
      </c>
      <c r="B35" t="s">
        <v>96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8">
        <v>0.85240000000000005</v>
      </c>
      <c r="K35">
        <v>130000</v>
      </c>
      <c r="L35" s="2">
        <v>45907</v>
      </c>
    </row>
    <row r="36" spans="1:18">
      <c r="A36" t="s">
        <v>97</v>
      </c>
      <c r="B36" t="s">
        <v>98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8">
        <v>0.75270000000000004</v>
      </c>
      <c r="K36">
        <v>110000</v>
      </c>
      <c r="L36" s="2">
        <v>45679</v>
      </c>
    </row>
    <row r="37" spans="1:18">
      <c r="A37" t="s">
        <v>99</v>
      </c>
      <c r="B37" t="s">
        <v>100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8">
        <v>0.7046</v>
      </c>
      <c r="K37">
        <v>100000</v>
      </c>
      <c r="L37" s="2">
        <v>45951</v>
      </c>
    </row>
    <row r="38" spans="1:18">
      <c r="A38" t="s">
        <v>101</v>
      </c>
      <c r="B38" t="s">
        <v>102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8">
        <v>0.92279999999999995</v>
      </c>
      <c r="K38">
        <v>80000</v>
      </c>
      <c r="L38" s="2">
        <v>45637</v>
      </c>
    </row>
    <row r="39" spans="1:18">
      <c r="A39" t="s">
        <v>103</v>
      </c>
      <c r="B39" t="s">
        <v>104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8">
        <v>0.82920000000000005</v>
      </c>
      <c r="K39">
        <v>100000</v>
      </c>
      <c r="L39" s="2">
        <v>45551</v>
      </c>
    </row>
    <row r="40" spans="1:18">
      <c r="A40" t="s">
        <v>105</v>
      </c>
      <c r="B40" t="s">
        <v>106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8">
        <v>0.92720000000000002</v>
      </c>
      <c r="K40">
        <v>75000</v>
      </c>
      <c r="L40" s="2">
        <v>45978</v>
      </c>
    </row>
    <row r="41" spans="1:18">
      <c r="A41" t="s">
        <v>107</v>
      </c>
      <c r="B41" t="s">
        <v>77</v>
      </c>
      <c r="C41" t="s">
        <v>19</v>
      </c>
      <c r="D41" t="s">
        <v>53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8">
        <v>0.95599999999999996</v>
      </c>
      <c r="K41">
        <v>85000</v>
      </c>
      <c r="L41" s="2">
        <v>45896</v>
      </c>
    </row>
    <row r="42" spans="1:18">
      <c r="A42" t="s">
        <v>108</v>
      </c>
      <c r="B42" t="s">
        <v>109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8">
        <v>0.77600000000000002</v>
      </c>
      <c r="K42">
        <v>60000</v>
      </c>
      <c r="L42" s="2">
        <v>46065</v>
      </c>
    </row>
    <row r="43" spans="1:18">
      <c r="A43" t="s">
        <v>110</v>
      </c>
      <c r="B43" t="s">
        <v>111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8">
        <v>0.90200000000000002</v>
      </c>
      <c r="K43">
        <v>100000</v>
      </c>
      <c r="L43" s="2">
        <v>45777</v>
      </c>
    </row>
    <row r="44" spans="1:18">
      <c r="A44" t="s">
        <v>112</v>
      </c>
      <c r="B44" t="s">
        <v>113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8">
        <v>0.94040000000000001</v>
      </c>
      <c r="K44">
        <v>50000</v>
      </c>
      <c r="L44" s="2">
        <v>46133</v>
      </c>
    </row>
    <row r="45" spans="1:18">
      <c r="A45" t="s">
        <v>114</v>
      </c>
      <c r="B45" t="s">
        <v>115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8">
        <v>0.86899999999999999</v>
      </c>
      <c r="K45">
        <v>100000</v>
      </c>
      <c r="L45" s="2">
        <v>45830</v>
      </c>
    </row>
    <row r="46" spans="1:18">
      <c r="A46" t="s">
        <v>116</v>
      </c>
      <c r="B46" t="s">
        <v>117</v>
      </c>
      <c r="C46" t="s">
        <v>14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 s="8">
        <v>0.91449999999999998</v>
      </c>
      <c r="K46">
        <v>90000</v>
      </c>
      <c r="L46" s="2">
        <v>46052</v>
      </c>
    </row>
    <row r="47" spans="1:18">
      <c r="A47" t="s">
        <v>118</v>
      </c>
      <c r="B47" t="s">
        <v>119</v>
      </c>
      <c r="C47" t="s">
        <v>19</v>
      </c>
      <c r="D47" t="s">
        <v>36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 s="8">
        <v>0.98260000000000003</v>
      </c>
      <c r="K47">
        <v>50000</v>
      </c>
      <c r="L47" s="2">
        <v>45606</v>
      </c>
    </row>
    <row r="48" spans="1:18">
      <c r="A48" t="s">
        <v>120</v>
      </c>
      <c r="B48" t="s">
        <v>121</v>
      </c>
      <c r="C48" t="s">
        <v>14</v>
      </c>
      <c r="D48" t="s">
        <v>53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8">
        <v>0.94130000000000003</v>
      </c>
      <c r="K48">
        <v>85000</v>
      </c>
      <c r="L48" s="2">
        <v>45604</v>
      </c>
    </row>
    <row r="49" spans="1:12">
      <c r="A49" t="s">
        <v>122</v>
      </c>
      <c r="B49" t="s">
        <v>123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8">
        <v>0.93630000000000002</v>
      </c>
      <c r="K49">
        <v>70000</v>
      </c>
      <c r="L49" s="2">
        <v>46083</v>
      </c>
    </row>
    <row r="50" spans="1:12">
      <c r="A50" t="s">
        <v>124</v>
      </c>
      <c r="B50" t="s">
        <v>125</v>
      </c>
      <c r="C50" t="s">
        <v>19</v>
      </c>
      <c r="D50" t="s">
        <v>20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 s="8">
        <v>0.92930000000000001</v>
      </c>
      <c r="K50">
        <v>85000</v>
      </c>
      <c r="L50" s="2">
        <v>46119</v>
      </c>
    </row>
    <row r="51" spans="1:12">
      <c r="A51" t="s">
        <v>126</v>
      </c>
      <c r="B51" t="s">
        <v>127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8">
        <v>0.77490000000000003</v>
      </c>
      <c r="K51">
        <v>50000</v>
      </c>
      <c r="L51" s="2">
        <v>46195</v>
      </c>
    </row>
    <row r="52" spans="1:12">
      <c r="A52" t="s">
        <v>128</v>
      </c>
      <c r="B52" t="s">
        <v>129</v>
      </c>
      <c r="C52" t="s">
        <v>19</v>
      </c>
      <c r="D52" t="s">
        <v>36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 s="8">
        <v>0.95179999999999998</v>
      </c>
      <c r="K52">
        <v>100000</v>
      </c>
      <c r="L52" s="2">
        <v>45763</v>
      </c>
    </row>
    <row r="53" spans="1:12">
      <c r="A53" t="s">
        <v>130</v>
      </c>
      <c r="B53" t="s">
        <v>131</v>
      </c>
      <c r="C53" t="s">
        <v>14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 s="8">
        <v>0.9385</v>
      </c>
      <c r="K53">
        <v>85000</v>
      </c>
      <c r="L53" s="2">
        <v>45551</v>
      </c>
    </row>
    <row r="54" spans="1:12">
      <c r="A54" t="s">
        <v>132</v>
      </c>
      <c r="B54" t="s">
        <v>133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8">
        <v>0.92410000000000003</v>
      </c>
      <c r="K54">
        <v>75000</v>
      </c>
      <c r="L54" s="2">
        <v>46221</v>
      </c>
    </row>
    <row r="55" spans="1:12">
      <c r="A55" t="s">
        <v>134</v>
      </c>
      <c r="B55" t="s">
        <v>135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8">
        <v>0.79700000000000004</v>
      </c>
      <c r="K55">
        <v>120000</v>
      </c>
      <c r="L55" s="2">
        <v>45956</v>
      </c>
    </row>
    <row r="56" spans="1:12">
      <c r="A56" t="s">
        <v>136</v>
      </c>
      <c r="B56" t="s">
        <v>137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8">
        <v>0.80020000000000002</v>
      </c>
      <c r="K56">
        <v>100000</v>
      </c>
      <c r="L56" s="2">
        <v>45708</v>
      </c>
    </row>
    <row r="57" spans="1:12">
      <c r="A57" t="s">
        <v>138</v>
      </c>
      <c r="B57" t="s">
        <v>139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8">
        <v>0.89</v>
      </c>
      <c r="K57">
        <v>90000</v>
      </c>
      <c r="L57" s="2">
        <v>46070</v>
      </c>
    </row>
    <row r="58" spans="1:12">
      <c r="A58" t="s">
        <v>140</v>
      </c>
      <c r="B58" t="s">
        <v>141</v>
      </c>
      <c r="C58" t="s">
        <v>19</v>
      </c>
      <c r="D58" t="s">
        <v>36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8">
        <v>0.74680000000000002</v>
      </c>
      <c r="K58">
        <v>60000</v>
      </c>
      <c r="L58" s="2">
        <v>46168</v>
      </c>
    </row>
    <row r="59" spans="1:12">
      <c r="A59" t="s">
        <v>142</v>
      </c>
      <c r="B59" t="s">
        <v>109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8">
        <v>0.6895</v>
      </c>
      <c r="K59">
        <v>85000</v>
      </c>
      <c r="L59" s="2">
        <v>45735</v>
      </c>
    </row>
    <row r="60" spans="1:12">
      <c r="A60" t="s">
        <v>143</v>
      </c>
      <c r="B60" t="s">
        <v>144</v>
      </c>
      <c r="C60" t="s">
        <v>19</v>
      </c>
      <c r="D60" t="s">
        <v>32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 s="8">
        <v>0.9617</v>
      </c>
      <c r="K60">
        <v>100000</v>
      </c>
      <c r="L60" s="2">
        <v>46074</v>
      </c>
    </row>
    <row r="61" spans="1:12">
      <c r="A61" t="s">
        <v>145</v>
      </c>
      <c r="B61" t="s">
        <v>146</v>
      </c>
      <c r="C61" t="s">
        <v>19</v>
      </c>
      <c r="D61" t="s">
        <v>36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 s="8">
        <v>0.91279999999999994</v>
      </c>
      <c r="K61">
        <v>130000</v>
      </c>
      <c r="L61" s="2">
        <v>46087</v>
      </c>
    </row>
    <row r="62" spans="1:12">
      <c r="A62" t="s">
        <v>147</v>
      </c>
      <c r="B62" t="s">
        <v>148</v>
      </c>
      <c r="C62" t="s">
        <v>19</v>
      </c>
      <c r="D62" t="s">
        <v>20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 s="8">
        <v>0.55000000000000004</v>
      </c>
      <c r="K62">
        <v>90000</v>
      </c>
      <c r="L62" s="2">
        <v>45887</v>
      </c>
    </row>
    <row r="63" spans="1:12">
      <c r="A63" t="s">
        <v>149</v>
      </c>
      <c r="B63" t="s">
        <v>150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8">
        <v>0.95489999999999997</v>
      </c>
      <c r="K63">
        <v>60000</v>
      </c>
      <c r="L63" s="2">
        <v>45978</v>
      </c>
    </row>
    <row r="64" spans="1:12">
      <c r="A64" t="s">
        <v>151</v>
      </c>
      <c r="B64" t="s">
        <v>152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8">
        <v>0.84250000000000003</v>
      </c>
      <c r="K64">
        <v>100000</v>
      </c>
      <c r="L64" s="2">
        <v>45724</v>
      </c>
    </row>
    <row r="65" spans="1:12">
      <c r="A65" t="s">
        <v>153</v>
      </c>
      <c r="B65" t="s">
        <v>52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8">
        <v>0.9204</v>
      </c>
      <c r="K65">
        <v>50000</v>
      </c>
      <c r="L65" s="2">
        <v>46186</v>
      </c>
    </row>
    <row r="66" spans="1:12">
      <c r="A66" t="s">
        <v>154</v>
      </c>
      <c r="B66" t="s">
        <v>155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8">
        <v>0.80159999999999998</v>
      </c>
      <c r="K66">
        <v>75000</v>
      </c>
      <c r="L66" s="2">
        <v>46224</v>
      </c>
    </row>
    <row r="67" spans="1:12">
      <c r="A67" t="s">
        <v>156</v>
      </c>
      <c r="B67" t="s">
        <v>157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8">
        <v>0.87060000000000004</v>
      </c>
      <c r="K67">
        <v>130000</v>
      </c>
      <c r="L67" s="2">
        <v>46222</v>
      </c>
    </row>
    <row r="68" spans="1:12">
      <c r="A68" t="s">
        <v>158</v>
      </c>
      <c r="B68" t="s">
        <v>159</v>
      </c>
      <c r="C68" t="s">
        <v>19</v>
      </c>
      <c r="D68" t="s">
        <v>32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 s="8">
        <v>0.84919999999999995</v>
      </c>
      <c r="K68">
        <v>110000</v>
      </c>
      <c r="L68" s="2">
        <v>46051</v>
      </c>
    </row>
    <row r="69" spans="1:12">
      <c r="A69" t="s">
        <v>160</v>
      </c>
      <c r="B69" t="s">
        <v>161</v>
      </c>
      <c r="C69" t="s">
        <v>14</v>
      </c>
      <c r="D69" t="s">
        <v>36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8">
        <v>0.80720000000000003</v>
      </c>
      <c r="K69">
        <v>120000</v>
      </c>
      <c r="L69" s="2">
        <v>45565</v>
      </c>
    </row>
    <row r="70" spans="1:12">
      <c r="A70" t="s">
        <v>162</v>
      </c>
      <c r="B70" t="s">
        <v>115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8">
        <v>0.86950000000000005</v>
      </c>
      <c r="K70">
        <v>75000</v>
      </c>
      <c r="L70" s="2">
        <v>45792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8">
        <v>0.72430000000000005</v>
      </c>
      <c r="K71">
        <v>100000</v>
      </c>
      <c r="L71" s="2">
        <v>45847</v>
      </c>
    </row>
    <row r="72" spans="1:12">
      <c r="A72" t="s">
        <v>165</v>
      </c>
      <c r="B72" t="s">
        <v>166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8">
        <v>0.7157</v>
      </c>
      <c r="K72">
        <v>100000</v>
      </c>
      <c r="L72" s="2">
        <v>46207</v>
      </c>
    </row>
    <row r="73" spans="1:12">
      <c r="A73" t="s">
        <v>167</v>
      </c>
      <c r="B73" t="s">
        <v>168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8">
        <v>0.88990000000000002</v>
      </c>
      <c r="K73">
        <v>70000</v>
      </c>
      <c r="L73" s="2">
        <v>45918</v>
      </c>
    </row>
    <row r="74" spans="1:12">
      <c r="A74" t="s">
        <v>169</v>
      </c>
      <c r="B74" t="s">
        <v>170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8">
        <v>0.76880000000000004</v>
      </c>
      <c r="K74">
        <v>130000</v>
      </c>
      <c r="L74" s="2">
        <v>45911</v>
      </c>
    </row>
    <row r="75" spans="1:12">
      <c r="A75" t="s">
        <v>171</v>
      </c>
      <c r="B75" t="s">
        <v>133</v>
      </c>
      <c r="C75" t="s">
        <v>14</v>
      </c>
      <c r="D75" t="s">
        <v>36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8">
        <v>0.90290000000000004</v>
      </c>
      <c r="K75">
        <v>130000</v>
      </c>
      <c r="L75" s="2">
        <v>45638</v>
      </c>
    </row>
    <row r="76" spans="1:12">
      <c r="A76" t="s">
        <v>172</v>
      </c>
      <c r="B76" t="s">
        <v>173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8">
        <v>0.96130000000000004</v>
      </c>
      <c r="K76">
        <v>60000</v>
      </c>
      <c r="L76" s="2">
        <v>46091</v>
      </c>
    </row>
    <row r="77" spans="1:12">
      <c r="A77" t="s">
        <v>174</v>
      </c>
      <c r="B77" t="s">
        <v>175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8">
        <v>0.65480000000000005</v>
      </c>
      <c r="K77">
        <v>110000</v>
      </c>
      <c r="L77" s="2">
        <v>45771</v>
      </c>
    </row>
    <row r="78" spans="1:12">
      <c r="A78" t="s">
        <v>176</v>
      </c>
      <c r="B78" t="s">
        <v>109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8">
        <v>0.92200000000000004</v>
      </c>
      <c r="K78">
        <v>80000</v>
      </c>
      <c r="L78" s="2">
        <v>45600</v>
      </c>
    </row>
    <row r="79" spans="1:12">
      <c r="A79" t="s">
        <v>177</v>
      </c>
      <c r="B79" t="s">
        <v>178</v>
      </c>
      <c r="C79" t="s">
        <v>14</v>
      </c>
      <c r="D79" t="s">
        <v>36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8">
        <v>0.83409999999999995</v>
      </c>
      <c r="K79">
        <v>100000</v>
      </c>
      <c r="L79" s="2">
        <v>46227</v>
      </c>
    </row>
    <row r="80" spans="1:12">
      <c r="A80" t="s">
        <v>179</v>
      </c>
      <c r="B80" t="s">
        <v>180</v>
      </c>
      <c r="C80" t="s">
        <v>19</v>
      </c>
      <c r="D80" t="s">
        <v>15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 s="8">
        <v>0.87749999999999995</v>
      </c>
      <c r="K80">
        <v>90000</v>
      </c>
      <c r="L80" s="2">
        <v>45669</v>
      </c>
    </row>
    <row r="81" spans="1:12">
      <c r="A81" t="s">
        <v>181</v>
      </c>
      <c r="B81" t="s">
        <v>182</v>
      </c>
      <c r="C81" t="s">
        <v>19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 s="8">
        <v>0.95140000000000002</v>
      </c>
      <c r="K81">
        <v>70000</v>
      </c>
      <c r="L81" s="2">
        <v>45547</v>
      </c>
    </row>
    <row r="82" spans="1:12">
      <c r="A82" t="s">
        <v>183</v>
      </c>
      <c r="B82" t="s">
        <v>184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8">
        <v>0.84179999999999999</v>
      </c>
      <c r="K82">
        <v>60000</v>
      </c>
      <c r="L82" s="2">
        <v>45590</v>
      </c>
    </row>
    <row r="83" spans="1:12">
      <c r="A83" t="s">
        <v>185</v>
      </c>
      <c r="B83" t="s">
        <v>186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8">
        <v>0.93310000000000004</v>
      </c>
      <c r="K83">
        <v>85000</v>
      </c>
      <c r="L83" s="2">
        <v>45852</v>
      </c>
    </row>
    <row r="84" spans="1:12">
      <c r="A84" t="s">
        <v>187</v>
      </c>
      <c r="B84" t="s">
        <v>188</v>
      </c>
      <c r="C84" t="s">
        <v>14</v>
      </c>
      <c r="D84" t="s">
        <v>53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8">
        <v>0.93730000000000002</v>
      </c>
      <c r="K84">
        <v>120000</v>
      </c>
      <c r="L84" s="2">
        <v>45608</v>
      </c>
    </row>
    <row r="85" spans="1:12">
      <c r="A85" t="s">
        <v>189</v>
      </c>
      <c r="B85" t="s">
        <v>59</v>
      </c>
      <c r="C85" t="s">
        <v>19</v>
      </c>
      <c r="D85" t="s">
        <v>20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 s="8">
        <v>0.83599999999999997</v>
      </c>
      <c r="K85">
        <v>120000</v>
      </c>
      <c r="L85" s="2">
        <v>46125</v>
      </c>
    </row>
    <row r="86" spans="1:12">
      <c r="A86" t="s">
        <v>190</v>
      </c>
      <c r="B86" t="s">
        <v>191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8">
        <v>0.84530000000000005</v>
      </c>
      <c r="K86">
        <v>75000</v>
      </c>
      <c r="L86" s="2">
        <v>45894</v>
      </c>
    </row>
    <row r="87" spans="1:12">
      <c r="A87" t="s">
        <v>192</v>
      </c>
      <c r="B87" t="s">
        <v>79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8">
        <v>0.74470000000000003</v>
      </c>
      <c r="K87">
        <v>120000</v>
      </c>
      <c r="L87" s="2">
        <v>45762</v>
      </c>
    </row>
    <row r="88" spans="1:12">
      <c r="A88" t="s">
        <v>193</v>
      </c>
      <c r="B88" t="s">
        <v>194</v>
      </c>
      <c r="C88" t="s">
        <v>14</v>
      </c>
      <c r="D88" t="s">
        <v>36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8">
        <v>0.67400000000000004</v>
      </c>
      <c r="K88">
        <v>75000</v>
      </c>
      <c r="L88" s="2">
        <v>45538</v>
      </c>
    </row>
    <row r="89" spans="1:12">
      <c r="A89" t="s">
        <v>195</v>
      </c>
      <c r="B89" t="s">
        <v>196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8">
        <v>0.76039999999999996</v>
      </c>
      <c r="K89">
        <v>90000</v>
      </c>
      <c r="L89" s="2">
        <v>45871</v>
      </c>
    </row>
    <row r="90" spans="1:12">
      <c r="A90" t="s">
        <v>197</v>
      </c>
      <c r="B90" t="s">
        <v>198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8">
        <v>0.84550000000000003</v>
      </c>
      <c r="K90">
        <v>75000</v>
      </c>
      <c r="L90" s="2">
        <v>45641</v>
      </c>
    </row>
    <row r="91" spans="1:12">
      <c r="A91" t="s">
        <v>199</v>
      </c>
      <c r="B91" t="s">
        <v>200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8">
        <v>0.67589999999999995</v>
      </c>
      <c r="K91">
        <v>85000</v>
      </c>
      <c r="L91" s="2">
        <v>46220</v>
      </c>
    </row>
    <row r="92" spans="1:12">
      <c r="A92" t="s">
        <v>201</v>
      </c>
      <c r="B92" t="s">
        <v>202</v>
      </c>
      <c r="C92" t="s">
        <v>14</v>
      </c>
      <c r="D92" t="s">
        <v>32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 s="8">
        <v>0.89300000000000002</v>
      </c>
      <c r="K92">
        <v>85000</v>
      </c>
      <c r="L92" s="2">
        <v>45739</v>
      </c>
    </row>
    <row r="93" spans="1:12">
      <c r="A93" t="s">
        <v>203</v>
      </c>
      <c r="B93" t="s">
        <v>204</v>
      </c>
      <c r="C93" t="s">
        <v>19</v>
      </c>
      <c r="D93" t="s">
        <v>53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8">
        <v>0.94669999999999999</v>
      </c>
      <c r="K93">
        <v>100000</v>
      </c>
      <c r="L93" s="2">
        <v>45868</v>
      </c>
    </row>
    <row r="94" spans="1:12">
      <c r="A94" t="s">
        <v>205</v>
      </c>
      <c r="B94" t="s">
        <v>79</v>
      </c>
      <c r="C94" t="s">
        <v>19</v>
      </c>
      <c r="D94" t="s">
        <v>36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 s="8">
        <v>0.82809999999999995</v>
      </c>
      <c r="K94">
        <v>85000</v>
      </c>
      <c r="L94" s="2">
        <v>45549</v>
      </c>
    </row>
    <row r="95" spans="1:12">
      <c r="A95" t="s">
        <v>206</v>
      </c>
      <c r="B95" t="s">
        <v>207</v>
      </c>
      <c r="C95" t="s">
        <v>14</v>
      </c>
      <c r="D95" t="s">
        <v>32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 s="8">
        <v>0.73799999999999999</v>
      </c>
      <c r="K95">
        <v>85000</v>
      </c>
      <c r="L95" s="2">
        <v>45627</v>
      </c>
    </row>
    <row r="96" spans="1:12">
      <c r="A96" t="s">
        <v>208</v>
      </c>
      <c r="B96" t="s">
        <v>96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8">
        <v>0.88939999999999997</v>
      </c>
      <c r="K96">
        <v>100000</v>
      </c>
      <c r="L96" s="2">
        <v>45681</v>
      </c>
    </row>
    <row r="97" spans="1:12">
      <c r="A97" t="s">
        <v>209</v>
      </c>
      <c r="B97" t="s">
        <v>210</v>
      </c>
      <c r="C97" t="s">
        <v>14</v>
      </c>
      <c r="D97" t="s">
        <v>32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 s="8">
        <v>0.83150000000000002</v>
      </c>
      <c r="K97">
        <v>80000</v>
      </c>
      <c r="L97" s="2">
        <v>45572</v>
      </c>
    </row>
    <row r="98" spans="1:12">
      <c r="A98" t="s">
        <v>211</v>
      </c>
      <c r="B98" t="s">
        <v>13</v>
      </c>
      <c r="C98" t="s">
        <v>14</v>
      </c>
      <c r="D98" t="s">
        <v>32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 s="8">
        <v>0.92949999999999999</v>
      </c>
      <c r="K98">
        <v>85000</v>
      </c>
      <c r="L98" s="2">
        <v>46044</v>
      </c>
    </row>
    <row r="99" spans="1:12">
      <c r="A99" t="s">
        <v>212</v>
      </c>
      <c r="B99" t="s">
        <v>213</v>
      </c>
      <c r="C99" t="s">
        <v>19</v>
      </c>
      <c r="D99" t="s">
        <v>28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 s="8">
        <v>0.94189999999999996</v>
      </c>
      <c r="K99">
        <v>50000</v>
      </c>
      <c r="L99" s="2">
        <v>46197</v>
      </c>
    </row>
    <row r="100" spans="1:12">
      <c r="A100" t="s">
        <v>214</v>
      </c>
      <c r="B100" t="s">
        <v>104</v>
      </c>
      <c r="C100" t="s">
        <v>19</v>
      </c>
      <c r="D100" t="s">
        <v>20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 s="8">
        <v>0.92549999999999999</v>
      </c>
      <c r="K100">
        <v>120000</v>
      </c>
      <c r="L100" s="2">
        <v>46225</v>
      </c>
    </row>
    <row r="101" spans="1:12">
      <c r="A101" t="s">
        <v>215</v>
      </c>
      <c r="B101" t="s">
        <v>216</v>
      </c>
      <c r="C101" t="s">
        <v>14</v>
      </c>
      <c r="D101" t="s">
        <v>15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 s="8">
        <v>0.78510000000000002</v>
      </c>
      <c r="K101">
        <v>60000</v>
      </c>
      <c r="L101" s="2">
        <v>45722</v>
      </c>
    </row>
    <row r="102" spans="1:12">
      <c r="A102" t="s">
        <v>217</v>
      </c>
      <c r="B102" t="s">
        <v>218</v>
      </c>
      <c r="C102" t="s">
        <v>19</v>
      </c>
      <c r="D102" t="s">
        <v>53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 s="8">
        <v>0.80259999999999998</v>
      </c>
      <c r="K102">
        <v>120000</v>
      </c>
      <c r="L102" s="2">
        <v>46088</v>
      </c>
    </row>
    <row r="103" spans="1:12">
      <c r="A103" t="s">
        <v>219</v>
      </c>
      <c r="B103" t="s">
        <v>220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 s="8">
        <v>0.79849999999999999</v>
      </c>
      <c r="K103">
        <v>110000</v>
      </c>
      <c r="L103" s="2">
        <v>45888</v>
      </c>
    </row>
    <row r="104" spans="1:12">
      <c r="A104" t="s">
        <v>221</v>
      </c>
      <c r="B104" t="s">
        <v>31</v>
      </c>
      <c r="C104" t="s">
        <v>19</v>
      </c>
      <c r="D104" t="s">
        <v>53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 s="8">
        <v>0.62409999999999999</v>
      </c>
      <c r="K104">
        <v>130000</v>
      </c>
      <c r="L104" s="2">
        <v>45568</v>
      </c>
    </row>
    <row r="105" spans="1:12">
      <c r="A105" t="s">
        <v>222</v>
      </c>
      <c r="B105" t="s">
        <v>178</v>
      </c>
      <c r="C105" t="s">
        <v>14</v>
      </c>
      <c r="D105" t="s">
        <v>36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 s="8">
        <v>0.90580000000000005</v>
      </c>
      <c r="K105">
        <v>50000</v>
      </c>
      <c r="L105" s="2">
        <v>45599</v>
      </c>
    </row>
    <row r="106" spans="1:12">
      <c r="A106" t="s">
        <v>223</v>
      </c>
      <c r="B106" t="s">
        <v>224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 s="8">
        <v>0.6411</v>
      </c>
      <c r="K106">
        <v>70000</v>
      </c>
      <c r="L106" s="2">
        <v>45919</v>
      </c>
    </row>
    <row r="107" spans="1:12">
      <c r="A107" t="s">
        <v>225</v>
      </c>
      <c r="B107" t="s">
        <v>226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 s="8">
        <v>0.89759999999999995</v>
      </c>
      <c r="K107">
        <v>50000</v>
      </c>
      <c r="L107" s="2">
        <v>45832</v>
      </c>
    </row>
    <row r="108" spans="1:12">
      <c r="A108" t="s">
        <v>227</v>
      </c>
      <c r="B108" t="s">
        <v>191</v>
      </c>
      <c r="C108" t="s">
        <v>19</v>
      </c>
      <c r="D108" t="s">
        <v>53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 s="8">
        <v>0.85189999999999999</v>
      </c>
      <c r="K108">
        <v>80000</v>
      </c>
      <c r="L108" s="2">
        <v>45541</v>
      </c>
    </row>
    <row r="109" spans="1:12">
      <c r="A109" t="s">
        <v>228</v>
      </c>
      <c r="B109" t="s">
        <v>229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 s="8">
        <v>0.79859999999999998</v>
      </c>
      <c r="K109">
        <v>120000</v>
      </c>
      <c r="L109" s="2">
        <v>46187</v>
      </c>
    </row>
    <row r="110" spans="1:12">
      <c r="A110" t="s">
        <v>230</v>
      </c>
      <c r="B110" t="s">
        <v>231</v>
      </c>
      <c r="C110" t="s">
        <v>14</v>
      </c>
      <c r="D110" t="s">
        <v>36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 s="8">
        <v>0.98750000000000004</v>
      </c>
      <c r="K110">
        <v>110000</v>
      </c>
      <c r="L110" s="2">
        <v>46047</v>
      </c>
    </row>
    <row r="111" spans="1:12">
      <c r="A111" t="s">
        <v>232</v>
      </c>
      <c r="B111" t="s">
        <v>233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 s="8">
        <v>0.8972</v>
      </c>
      <c r="K111">
        <v>100000</v>
      </c>
      <c r="L111" s="2">
        <v>45887</v>
      </c>
    </row>
    <row r="112" spans="1:12">
      <c r="A112" t="s">
        <v>234</v>
      </c>
      <c r="B112" t="s">
        <v>235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 s="8">
        <v>0.88100000000000001</v>
      </c>
      <c r="K112">
        <v>120000</v>
      </c>
      <c r="L112" s="2">
        <v>46226</v>
      </c>
    </row>
    <row r="113" spans="1:12">
      <c r="A113" t="s">
        <v>236</v>
      </c>
      <c r="B113" t="s">
        <v>237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 s="8">
        <v>0.89270000000000005</v>
      </c>
      <c r="K113">
        <v>50000</v>
      </c>
      <c r="L113" s="2">
        <v>46215</v>
      </c>
    </row>
    <row r="114" spans="1:12">
      <c r="A114" t="s">
        <v>238</v>
      </c>
      <c r="B114" t="s">
        <v>239</v>
      </c>
      <c r="C114" t="s">
        <v>19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 s="8">
        <v>0.84499999999999997</v>
      </c>
      <c r="K114">
        <v>110000</v>
      </c>
      <c r="L114" s="2">
        <v>46217</v>
      </c>
    </row>
    <row r="115" spans="1:12">
      <c r="A115" t="s">
        <v>240</v>
      </c>
      <c r="B115" t="s">
        <v>241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 s="8">
        <v>0.80830000000000002</v>
      </c>
      <c r="K115">
        <v>75000</v>
      </c>
      <c r="L115" s="2">
        <v>45717</v>
      </c>
    </row>
    <row r="116" spans="1:12">
      <c r="A116" t="s">
        <v>242</v>
      </c>
      <c r="B116" t="s">
        <v>243</v>
      </c>
      <c r="C116" t="s">
        <v>19</v>
      </c>
      <c r="D116" t="s">
        <v>53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 s="8">
        <v>0.55089999999999995</v>
      </c>
      <c r="K116">
        <v>100000</v>
      </c>
      <c r="L116" s="2">
        <v>46152</v>
      </c>
    </row>
    <row r="117" spans="1:12">
      <c r="A117" t="s">
        <v>244</v>
      </c>
      <c r="B117" t="s">
        <v>173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 s="8">
        <v>0.91290000000000004</v>
      </c>
      <c r="K117">
        <v>110000</v>
      </c>
      <c r="L117" s="2">
        <v>45889</v>
      </c>
    </row>
    <row r="118" spans="1:12">
      <c r="A118" t="s">
        <v>245</v>
      </c>
      <c r="B118" t="s">
        <v>246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 s="8">
        <v>0.66739999999999999</v>
      </c>
      <c r="K118">
        <v>100000</v>
      </c>
      <c r="L118" s="2">
        <v>46044</v>
      </c>
    </row>
    <row r="119" spans="1:12">
      <c r="A119" t="s">
        <v>247</v>
      </c>
      <c r="B119" t="s">
        <v>248</v>
      </c>
      <c r="C119" t="s">
        <v>14</v>
      </c>
      <c r="D119" t="s">
        <v>53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 s="8">
        <v>0.94169999999999998</v>
      </c>
      <c r="K119">
        <v>80000</v>
      </c>
      <c r="L119" s="2">
        <v>46137</v>
      </c>
    </row>
    <row r="120" spans="1:12">
      <c r="A120" t="s">
        <v>249</v>
      </c>
      <c r="B120" t="s">
        <v>100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 s="8">
        <v>0.82340000000000002</v>
      </c>
      <c r="K120">
        <v>90000</v>
      </c>
      <c r="L120" s="2">
        <v>45650</v>
      </c>
    </row>
    <row r="121" spans="1:12">
      <c r="A121" t="s">
        <v>250</v>
      </c>
      <c r="B121" t="s">
        <v>251</v>
      </c>
      <c r="C121" t="s">
        <v>14</v>
      </c>
      <c r="D121" t="s">
        <v>36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 s="8">
        <v>0.77759999999999996</v>
      </c>
      <c r="K121">
        <v>85000</v>
      </c>
      <c r="L121" s="2">
        <v>45849</v>
      </c>
    </row>
    <row r="122" spans="1:12">
      <c r="A122" t="s">
        <v>252</v>
      </c>
      <c r="B122" t="s">
        <v>253</v>
      </c>
      <c r="C122" t="s">
        <v>14</v>
      </c>
      <c r="D122" t="s">
        <v>53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 s="8">
        <v>0.87290000000000001</v>
      </c>
      <c r="K122">
        <v>90000</v>
      </c>
      <c r="L122" s="2">
        <v>45626</v>
      </c>
    </row>
    <row r="123" spans="1:12">
      <c r="A123" t="s">
        <v>254</v>
      </c>
      <c r="B123" t="s">
        <v>71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 s="8">
        <v>0.83599999999999997</v>
      </c>
      <c r="K123">
        <v>85000</v>
      </c>
      <c r="L123" s="2">
        <v>45731</v>
      </c>
    </row>
    <row r="124" spans="1:12">
      <c r="A124" t="s">
        <v>255</v>
      </c>
      <c r="B124" t="s">
        <v>256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 s="8">
        <v>0.8034</v>
      </c>
      <c r="K124">
        <v>80000</v>
      </c>
      <c r="L124" s="2">
        <v>45825</v>
      </c>
    </row>
    <row r="125" spans="1:12">
      <c r="A125" t="s">
        <v>257</v>
      </c>
      <c r="B125" t="s">
        <v>258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 s="8">
        <v>0.70330000000000004</v>
      </c>
      <c r="K125">
        <v>70000</v>
      </c>
      <c r="L125" s="2">
        <v>46134</v>
      </c>
    </row>
    <row r="126" spans="1:12">
      <c r="A126" t="s">
        <v>259</v>
      </c>
      <c r="B126" t="s">
        <v>260</v>
      </c>
      <c r="C126" t="s">
        <v>19</v>
      </c>
      <c r="D126" t="s">
        <v>53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 s="8">
        <v>0.77380000000000004</v>
      </c>
      <c r="K126">
        <v>80000</v>
      </c>
      <c r="L126" s="2">
        <v>46139</v>
      </c>
    </row>
    <row r="127" spans="1:12">
      <c r="A127" t="s">
        <v>261</v>
      </c>
      <c r="B127" t="s">
        <v>262</v>
      </c>
      <c r="C127" t="s">
        <v>19</v>
      </c>
      <c r="D127" t="s">
        <v>36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 s="8">
        <v>0.82779999999999998</v>
      </c>
      <c r="K127">
        <v>100000</v>
      </c>
      <c r="L127" s="2">
        <v>45808</v>
      </c>
    </row>
    <row r="128" spans="1:12">
      <c r="A128" t="s">
        <v>263</v>
      </c>
      <c r="B128" t="s">
        <v>264</v>
      </c>
      <c r="C128" t="s">
        <v>14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 s="8">
        <v>0.83150000000000002</v>
      </c>
      <c r="K128">
        <v>120000</v>
      </c>
      <c r="L128" s="2">
        <v>45766</v>
      </c>
    </row>
    <row r="129" spans="1:12">
      <c r="A129" t="s">
        <v>265</v>
      </c>
      <c r="B129" t="s">
        <v>123</v>
      </c>
      <c r="C129" t="s">
        <v>19</v>
      </c>
      <c r="D129" t="s">
        <v>36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 s="8">
        <v>0.89610000000000001</v>
      </c>
      <c r="K129">
        <v>60000</v>
      </c>
      <c r="L129" s="2">
        <v>45907</v>
      </c>
    </row>
    <row r="130" spans="1:12">
      <c r="A130" t="s">
        <v>266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 s="8">
        <v>0.75839999999999996</v>
      </c>
      <c r="K130">
        <v>70000</v>
      </c>
      <c r="L130" s="2">
        <v>46174</v>
      </c>
    </row>
    <row r="131" spans="1:12">
      <c r="A131" t="s">
        <v>267</v>
      </c>
      <c r="B131" t="s">
        <v>268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 s="8">
        <v>0.76829999999999998</v>
      </c>
      <c r="K131">
        <v>85000</v>
      </c>
      <c r="L131" s="2">
        <v>46219</v>
      </c>
    </row>
    <row r="132" spans="1:12">
      <c r="A132" t="s">
        <v>269</v>
      </c>
      <c r="B132" t="s">
        <v>270</v>
      </c>
      <c r="C132" t="s">
        <v>19</v>
      </c>
      <c r="D132" t="s">
        <v>53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 s="8">
        <v>0.56440000000000001</v>
      </c>
      <c r="K132">
        <v>100000</v>
      </c>
      <c r="L132" s="2">
        <v>45694</v>
      </c>
    </row>
    <row r="133" spans="1:12">
      <c r="A133" t="s">
        <v>271</v>
      </c>
      <c r="B133" t="s">
        <v>272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 s="8">
        <v>0.71589999999999998</v>
      </c>
      <c r="K133">
        <v>60000</v>
      </c>
      <c r="L133" s="2">
        <v>45666</v>
      </c>
    </row>
    <row r="134" spans="1:12">
      <c r="A134" t="s">
        <v>273</v>
      </c>
      <c r="B134" t="s">
        <v>274</v>
      </c>
      <c r="C134" t="s">
        <v>14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 s="8">
        <v>0.58899999999999997</v>
      </c>
      <c r="K134">
        <v>75000</v>
      </c>
      <c r="L134" s="2">
        <v>46030</v>
      </c>
    </row>
    <row r="135" spans="1:12">
      <c r="A135" t="s">
        <v>275</v>
      </c>
      <c r="B135" t="s">
        <v>18</v>
      </c>
      <c r="C135" t="s">
        <v>19</v>
      </c>
      <c r="D135" t="s">
        <v>28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 s="8">
        <v>0.81699999999999995</v>
      </c>
      <c r="K135">
        <v>50000</v>
      </c>
      <c r="L135" s="2">
        <v>45746</v>
      </c>
    </row>
    <row r="136" spans="1:12">
      <c r="A136" t="s">
        <v>276</v>
      </c>
      <c r="B136" t="s">
        <v>125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 s="8">
        <v>0.95309999999999995</v>
      </c>
      <c r="K136">
        <v>50000</v>
      </c>
      <c r="L136" s="2">
        <v>45675</v>
      </c>
    </row>
    <row r="137" spans="1:12">
      <c r="A137" t="s">
        <v>277</v>
      </c>
      <c r="B137" t="s">
        <v>278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 s="8">
        <v>0.94479999999999997</v>
      </c>
      <c r="K137">
        <v>60000</v>
      </c>
      <c r="L137" s="2">
        <v>45557</v>
      </c>
    </row>
    <row r="138" spans="1:12">
      <c r="A138" t="s">
        <v>279</v>
      </c>
      <c r="B138" t="s">
        <v>280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 s="8">
        <v>0.93310000000000004</v>
      </c>
      <c r="K138">
        <v>110000</v>
      </c>
      <c r="L138" s="2">
        <v>45818</v>
      </c>
    </row>
    <row r="139" spans="1:12">
      <c r="A139" t="s">
        <v>281</v>
      </c>
      <c r="B139" t="s">
        <v>115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 s="8">
        <v>0.79290000000000005</v>
      </c>
      <c r="K139">
        <v>120000</v>
      </c>
      <c r="L139" s="2">
        <v>45810</v>
      </c>
    </row>
    <row r="140" spans="1:12">
      <c r="A140" t="s">
        <v>282</v>
      </c>
      <c r="B140" t="s">
        <v>283</v>
      </c>
      <c r="C140" t="s">
        <v>14</v>
      </c>
      <c r="D140" t="s">
        <v>32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 s="8">
        <v>0.83130000000000004</v>
      </c>
      <c r="K140">
        <v>85000</v>
      </c>
      <c r="L140" s="2">
        <v>45930</v>
      </c>
    </row>
    <row r="141" spans="1:12">
      <c r="A141" t="s">
        <v>284</v>
      </c>
      <c r="B141" t="s">
        <v>285</v>
      </c>
      <c r="C141" t="s">
        <v>14</v>
      </c>
      <c r="D141" t="s">
        <v>53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 s="8">
        <v>0.95430000000000004</v>
      </c>
      <c r="K141">
        <v>60000</v>
      </c>
      <c r="L141" s="2">
        <v>45676</v>
      </c>
    </row>
    <row r="142" spans="1:12">
      <c r="A142" t="s">
        <v>286</v>
      </c>
      <c r="B142" t="s">
        <v>260</v>
      </c>
      <c r="C142" t="s">
        <v>19</v>
      </c>
      <c r="D142" t="s">
        <v>32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 s="8">
        <v>0.80449999999999999</v>
      </c>
      <c r="K142">
        <v>130000</v>
      </c>
      <c r="L142" s="2">
        <v>46036</v>
      </c>
    </row>
    <row r="143" spans="1:12">
      <c r="A143" t="s">
        <v>287</v>
      </c>
      <c r="B143" t="s">
        <v>288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 s="8">
        <v>0.85609999999999997</v>
      </c>
      <c r="K143">
        <v>75000</v>
      </c>
      <c r="L143" s="2">
        <v>46012</v>
      </c>
    </row>
    <row r="144" spans="1:12">
      <c r="A144" t="s">
        <v>289</v>
      </c>
      <c r="B144" t="s">
        <v>196</v>
      </c>
      <c r="C144" t="s">
        <v>14</v>
      </c>
      <c r="D144" t="s">
        <v>32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 s="8">
        <v>0.76539999999999997</v>
      </c>
      <c r="K144">
        <v>60000</v>
      </c>
      <c r="L144" s="2">
        <v>45859</v>
      </c>
    </row>
    <row r="145" spans="1:12">
      <c r="A145" t="s">
        <v>290</v>
      </c>
      <c r="B145" t="s">
        <v>291</v>
      </c>
      <c r="C145" t="s">
        <v>14</v>
      </c>
      <c r="D145" t="s">
        <v>20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 s="8">
        <v>0.8982</v>
      </c>
      <c r="K145">
        <v>60000</v>
      </c>
      <c r="L145" s="2">
        <v>45662</v>
      </c>
    </row>
    <row r="146" spans="1:12">
      <c r="A146" t="s">
        <v>292</v>
      </c>
      <c r="B146" t="s">
        <v>63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 s="8">
        <v>0.72319999999999995</v>
      </c>
      <c r="K146">
        <v>75000</v>
      </c>
      <c r="L146" s="2">
        <v>45890</v>
      </c>
    </row>
    <row r="147" spans="1:12">
      <c r="A147" t="s">
        <v>293</v>
      </c>
      <c r="B147" t="s">
        <v>144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 s="8">
        <v>0.91400000000000003</v>
      </c>
      <c r="K147">
        <v>110000</v>
      </c>
      <c r="L147" s="2">
        <v>46008</v>
      </c>
    </row>
    <row r="148" spans="1:12">
      <c r="A148" t="s">
        <v>294</v>
      </c>
      <c r="B148" t="s">
        <v>295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 s="8">
        <v>0.81269999999999998</v>
      </c>
      <c r="K148">
        <v>80000</v>
      </c>
      <c r="L148" s="2">
        <v>45796</v>
      </c>
    </row>
    <row r="149" spans="1:12">
      <c r="A149" t="s">
        <v>296</v>
      </c>
      <c r="B149" t="s">
        <v>297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 s="8">
        <v>0.94320000000000004</v>
      </c>
      <c r="K149">
        <v>80000</v>
      </c>
      <c r="L149" s="2">
        <v>45720</v>
      </c>
    </row>
    <row r="150" spans="1:12">
      <c r="A150" t="s">
        <v>298</v>
      </c>
      <c r="B150" t="s">
        <v>272</v>
      </c>
      <c r="C150" t="s">
        <v>19</v>
      </c>
      <c r="D150" t="s">
        <v>36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 s="8">
        <v>0.70140000000000002</v>
      </c>
      <c r="K150">
        <v>75000</v>
      </c>
      <c r="L150" s="2">
        <v>45890</v>
      </c>
    </row>
    <row r="151" spans="1:12">
      <c r="A151" t="s">
        <v>299</v>
      </c>
      <c r="B151" t="s">
        <v>35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 s="8">
        <v>0.68049999999999999</v>
      </c>
      <c r="K151">
        <v>130000</v>
      </c>
      <c r="L151" s="2">
        <v>45784</v>
      </c>
    </row>
    <row r="152" spans="1:12">
      <c r="A152" t="s">
        <v>300</v>
      </c>
      <c r="B152" t="s">
        <v>301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 s="8">
        <v>0.81130000000000002</v>
      </c>
      <c r="K152">
        <v>100000</v>
      </c>
      <c r="L152" s="2">
        <v>45816</v>
      </c>
    </row>
    <row r="153" spans="1:12">
      <c r="A153" t="s">
        <v>302</v>
      </c>
      <c r="B153" t="s">
        <v>47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 s="8">
        <v>0.90129999999999999</v>
      </c>
      <c r="K153">
        <v>100000</v>
      </c>
      <c r="L153" s="2">
        <v>45780</v>
      </c>
    </row>
    <row r="154" spans="1:12">
      <c r="A154" t="s">
        <v>303</v>
      </c>
      <c r="B154" t="s">
        <v>180</v>
      </c>
      <c r="C154" t="s">
        <v>19</v>
      </c>
      <c r="D154" t="s">
        <v>20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 s="8">
        <v>0.74870000000000003</v>
      </c>
      <c r="K154">
        <v>80000</v>
      </c>
      <c r="L154" s="2">
        <v>45748</v>
      </c>
    </row>
    <row r="155" spans="1:12">
      <c r="A155" t="s">
        <v>304</v>
      </c>
      <c r="B155" t="s">
        <v>231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 s="8">
        <v>0.84219999999999995</v>
      </c>
      <c r="K155">
        <v>85000</v>
      </c>
      <c r="L155" s="2">
        <v>46037</v>
      </c>
    </row>
    <row r="156" spans="1:12">
      <c r="A156" t="s">
        <v>305</v>
      </c>
      <c r="B156" t="s">
        <v>288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 s="8">
        <v>0.71230000000000004</v>
      </c>
      <c r="K156">
        <v>120000</v>
      </c>
      <c r="L156" s="2">
        <v>45858</v>
      </c>
    </row>
    <row r="157" spans="1:12">
      <c r="A157" t="s">
        <v>306</v>
      </c>
      <c r="B157" t="s">
        <v>307</v>
      </c>
      <c r="C157" t="s">
        <v>19</v>
      </c>
      <c r="D157" t="s">
        <v>36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 s="8">
        <v>0.89759999999999995</v>
      </c>
      <c r="K157">
        <v>100000</v>
      </c>
      <c r="L157" s="2">
        <v>45862</v>
      </c>
    </row>
    <row r="158" spans="1:12">
      <c r="A158" t="s">
        <v>308</v>
      </c>
      <c r="B158" t="s">
        <v>152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 s="8">
        <v>0.92930000000000001</v>
      </c>
      <c r="K158">
        <v>110000</v>
      </c>
      <c r="L158" s="2">
        <v>45993</v>
      </c>
    </row>
    <row r="159" spans="1:12">
      <c r="A159" t="s">
        <v>309</v>
      </c>
      <c r="B159" t="s">
        <v>310</v>
      </c>
      <c r="C159" t="s">
        <v>19</v>
      </c>
      <c r="D159" t="s">
        <v>36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 s="8">
        <v>0.82089999999999996</v>
      </c>
      <c r="K159">
        <v>50000</v>
      </c>
      <c r="L159" s="2">
        <v>45788</v>
      </c>
    </row>
    <row r="160" spans="1:12">
      <c r="A160" t="s">
        <v>311</v>
      </c>
      <c r="B160" t="s">
        <v>224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 s="8">
        <v>0.6431</v>
      </c>
      <c r="K160">
        <v>120000</v>
      </c>
      <c r="L160" s="2">
        <v>45606</v>
      </c>
    </row>
    <row r="161" spans="1:12">
      <c r="A161" t="s">
        <v>312</v>
      </c>
      <c r="B161" t="s">
        <v>313</v>
      </c>
      <c r="C161" t="s">
        <v>19</v>
      </c>
      <c r="D161" t="s">
        <v>36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 s="8">
        <v>0.83650000000000002</v>
      </c>
      <c r="K161">
        <v>130000</v>
      </c>
      <c r="L161" s="2">
        <v>46132</v>
      </c>
    </row>
    <row r="162" spans="1:12">
      <c r="A162" t="s">
        <v>314</v>
      </c>
      <c r="B162" t="s">
        <v>315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 s="8">
        <v>0.91639999999999999</v>
      </c>
      <c r="K162">
        <v>100000</v>
      </c>
      <c r="L162" s="2">
        <v>45574</v>
      </c>
    </row>
    <row r="163" spans="1:12">
      <c r="A163" t="s">
        <v>316</v>
      </c>
      <c r="B163" t="s">
        <v>317</v>
      </c>
      <c r="C163" t="s">
        <v>19</v>
      </c>
      <c r="D163" t="s">
        <v>36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 s="8">
        <v>0.74680000000000002</v>
      </c>
      <c r="K163">
        <v>130000</v>
      </c>
      <c r="L163" s="2">
        <v>45936</v>
      </c>
    </row>
    <row r="164" spans="1:12">
      <c r="A164" t="s">
        <v>318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 s="8">
        <v>0.91080000000000005</v>
      </c>
      <c r="K164">
        <v>90000</v>
      </c>
      <c r="L164" s="2">
        <v>45722</v>
      </c>
    </row>
    <row r="165" spans="1:12">
      <c r="A165" t="s">
        <v>319</v>
      </c>
      <c r="B165" t="s">
        <v>320</v>
      </c>
      <c r="C165" t="s">
        <v>14</v>
      </c>
      <c r="D165" t="s">
        <v>36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 s="8">
        <v>0.9526</v>
      </c>
      <c r="K165">
        <v>75000</v>
      </c>
      <c r="L165" s="2">
        <v>45685</v>
      </c>
    </row>
    <row r="166" spans="1:12">
      <c r="A166" t="s">
        <v>321</v>
      </c>
      <c r="B166" t="s">
        <v>285</v>
      </c>
      <c r="C166" t="s">
        <v>14</v>
      </c>
      <c r="D166" t="s">
        <v>53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 s="8">
        <v>0.55000000000000004</v>
      </c>
      <c r="K166">
        <v>90000</v>
      </c>
      <c r="L166" s="2">
        <v>45565</v>
      </c>
    </row>
    <row r="167" spans="1:12">
      <c r="A167" t="s">
        <v>322</v>
      </c>
      <c r="B167" t="s">
        <v>323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 s="8">
        <v>0.86670000000000003</v>
      </c>
      <c r="K167">
        <v>90000</v>
      </c>
      <c r="L167" s="2">
        <v>46166</v>
      </c>
    </row>
    <row r="168" spans="1:12">
      <c r="A168" t="s">
        <v>324</v>
      </c>
      <c r="B168" t="s">
        <v>325</v>
      </c>
      <c r="C168" t="s">
        <v>14</v>
      </c>
      <c r="D168" t="s">
        <v>36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 s="8">
        <v>0.76029999999999998</v>
      </c>
      <c r="K168">
        <v>60000</v>
      </c>
      <c r="L168" s="2">
        <v>45836</v>
      </c>
    </row>
    <row r="169" spans="1:12">
      <c r="A169" t="s">
        <v>326</v>
      </c>
      <c r="B169" t="s">
        <v>88</v>
      </c>
      <c r="C169" t="s">
        <v>14</v>
      </c>
      <c r="D169" t="s">
        <v>53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 s="8">
        <v>0.93049999999999999</v>
      </c>
      <c r="K169">
        <v>70000</v>
      </c>
      <c r="L169" s="2">
        <v>45775</v>
      </c>
    </row>
    <row r="170" spans="1:12">
      <c r="A170" t="s">
        <v>327</v>
      </c>
      <c r="B170" t="s">
        <v>231</v>
      </c>
      <c r="C170" t="s">
        <v>14</v>
      </c>
      <c r="D170" t="s">
        <v>32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 s="8">
        <v>0.85829999999999995</v>
      </c>
      <c r="K170">
        <v>75000</v>
      </c>
      <c r="L170" s="2">
        <v>46054</v>
      </c>
    </row>
    <row r="171" spans="1:12">
      <c r="A171" t="s">
        <v>328</v>
      </c>
      <c r="B171" t="s">
        <v>329</v>
      </c>
      <c r="C171" t="s">
        <v>14</v>
      </c>
      <c r="D171" t="s">
        <v>53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 s="8">
        <v>0.8236</v>
      </c>
      <c r="K171">
        <v>90000</v>
      </c>
      <c r="L171" s="2">
        <v>45563</v>
      </c>
    </row>
    <row r="172" spans="1:12">
      <c r="A172" t="s">
        <v>330</v>
      </c>
      <c r="B172" t="s">
        <v>331</v>
      </c>
      <c r="C172" t="s">
        <v>14</v>
      </c>
      <c r="D172" t="s">
        <v>32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 s="8">
        <v>0.90839999999999999</v>
      </c>
      <c r="K172">
        <v>60000</v>
      </c>
      <c r="L172" s="2">
        <v>45931</v>
      </c>
    </row>
    <row r="173" spans="1:12">
      <c r="A173" t="s">
        <v>332</v>
      </c>
      <c r="B173" t="s">
        <v>161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 s="8">
        <v>0.91259999999999997</v>
      </c>
      <c r="K173">
        <v>110000</v>
      </c>
      <c r="L173" s="2">
        <v>45882</v>
      </c>
    </row>
    <row r="174" spans="1:12">
      <c r="A174" t="s">
        <v>333</v>
      </c>
      <c r="B174" t="s">
        <v>313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 s="8">
        <v>0.94269999999999998</v>
      </c>
      <c r="K174">
        <v>60000</v>
      </c>
      <c r="L174" s="2">
        <v>45923</v>
      </c>
    </row>
    <row r="175" spans="1:12">
      <c r="A175" t="s">
        <v>334</v>
      </c>
      <c r="B175" t="s">
        <v>119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 s="8">
        <v>0.85809999999999997</v>
      </c>
      <c r="K175">
        <v>130000</v>
      </c>
      <c r="L175" s="2">
        <v>45622</v>
      </c>
    </row>
    <row r="176" spans="1:12">
      <c r="A176" t="s">
        <v>335</v>
      </c>
      <c r="B176" t="s">
        <v>104</v>
      </c>
      <c r="C176" t="s">
        <v>19</v>
      </c>
      <c r="D176" t="s">
        <v>53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 s="8">
        <v>0.71509999999999996</v>
      </c>
      <c r="K176">
        <v>100000</v>
      </c>
      <c r="L176" s="2">
        <v>46202</v>
      </c>
    </row>
    <row r="177" spans="1:12">
      <c r="A177" t="s">
        <v>336</v>
      </c>
      <c r="B177" t="s">
        <v>337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 s="8">
        <v>0.93520000000000003</v>
      </c>
      <c r="K177">
        <v>75000</v>
      </c>
      <c r="L177" s="2">
        <v>45702</v>
      </c>
    </row>
    <row r="178" spans="1:12">
      <c r="A178" t="s">
        <v>338</v>
      </c>
      <c r="B178" t="s">
        <v>146</v>
      </c>
      <c r="C178" t="s">
        <v>19</v>
      </c>
      <c r="D178" t="s">
        <v>36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 s="8">
        <v>0.83160000000000001</v>
      </c>
      <c r="K178">
        <v>80000</v>
      </c>
      <c r="L178" s="2">
        <v>46010</v>
      </c>
    </row>
    <row r="179" spans="1:12">
      <c r="A179" t="s">
        <v>339</v>
      </c>
      <c r="B179" t="s">
        <v>340</v>
      </c>
      <c r="C179" t="s">
        <v>14</v>
      </c>
      <c r="D179" t="s">
        <v>36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 s="8">
        <v>0.91769999999999996</v>
      </c>
      <c r="K179">
        <v>100000</v>
      </c>
      <c r="L179" s="2">
        <v>46058</v>
      </c>
    </row>
    <row r="180" spans="1:12">
      <c r="A180" t="s">
        <v>341</v>
      </c>
      <c r="B180" t="s">
        <v>342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 s="8">
        <v>0.77470000000000006</v>
      </c>
      <c r="K180">
        <v>50000</v>
      </c>
      <c r="L180" s="2">
        <v>45776</v>
      </c>
    </row>
    <row r="181" spans="1:12">
      <c r="A181" t="s">
        <v>343</v>
      </c>
      <c r="B181" t="s">
        <v>344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 s="8">
        <v>0.74880000000000002</v>
      </c>
      <c r="K181">
        <v>100000</v>
      </c>
      <c r="L181" s="2">
        <v>45627</v>
      </c>
    </row>
    <row r="182" spans="1:12">
      <c r="A182" t="s">
        <v>345</v>
      </c>
      <c r="B182" t="s">
        <v>346</v>
      </c>
      <c r="C182" t="s">
        <v>19</v>
      </c>
      <c r="D182" t="s">
        <v>53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 s="8">
        <v>0.74060000000000004</v>
      </c>
      <c r="K182">
        <v>90000</v>
      </c>
      <c r="L182" s="2">
        <v>45743</v>
      </c>
    </row>
    <row r="183" spans="1:12">
      <c r="A183" t="s">
        <v>347</v>
      </c>
      <c r="B183" t="s">
        <v>231</v>
      </c>
      <c r="C183" t="s">
        <v>14</v>
      </c>
      <c r="D183" t="s">
        <v>36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 s="8">
        <v>0.88170000000000004</v>
      </c>
      <c r="K183">
        <v>70000</v>
      </c>
      <c r="L183" s="2">
        <v>46100</v>
      </c>
    </row>
    <row r="184" spans="1:12">
      <c r="A184" t="s">
        <v>348</v>
      </c>
      <c r="B184" t="s">
        <v>235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 s="8">
        <v>0.83099999999999996</v>
      </c>
      <c r="K184">
        <v>120000</v>
      </c>
      <c r="L184" s="2">
        <v>46170</v>
      </c>
    </row>
    <row r="185" spans="1:12">
      <c r="A185" t="s">
        <v>349</v>
      </c>
      <c r="B185" t="s">
        <v>270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 s="8">
        <v>0.90920000000000001</v>
      </c>
      <c r="K185">
        <v>90000</v>
      </c>
      <c r="L185" s="2">
        <v>46191</v>
      </c>
    </row>
    <row r="186" spans="1:12">
      <c r="A186" t="s">
        <v>350</v>
      </c>
      <c r="B186" t="s">
        <v>351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 s="8">
        <v>0.89990000000000003</v>
      </c>
      <c r="K186">
        <v>60000</v>
      </c>
      <c r="L186" s="2">
        <v>45694</v>
      </c>
    </row>
    <row r="187" spans="1:12">
      <c r="A187" t="s">
        <v>352</v>
      </c>
      <c r="B187" t="s">
        <v>115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 s="8">
        <v>0.77890000000000004</v>
      </c>
      <c r="K187">
        <v>100000</v>
      </c>
      <c r="L187" s="2">
        <v>45960</v>
      </c>
    </row>
    <row r="188" spans="1:12">
      <c r="A188" t="s">
        <v>353</v>
      </c>
      <c r="B188" t="s">
        <v>354</v>
      </c>
      <c r="C188" t="s">
        <v>14</v>
      </c>
      <c r="D188" t="s">
        <v>53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 s="8">
        <v>0.77200000000000002</v>
      </c>
      <c r="K188">
        <v>80000</v>
      </c>
      <c r="L188" s="2">
        <v>45641</v>
      </c>
    </row>
    <row r="189" spans="1:12">
      <c r="A189" t="s">
        <v>355</v>
      </c>
      <c r="B189" t="s">
        <v>47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 s="8">
        <v>0.83209999999999995</v>
      </c>
      <c r="K189">
        <v>110000</v>
      </c>
      <c r="L189" s="2">
        <v>46033</v>
      </c>
    </row>
    <row r="190" spans="1:12">
      <c r="A190" t="s">
        <v>356</v>
      </c>
      <c r="B190" t="s">
        <v>357</v>
      </c>
      <c r="C190" t="s">
        <v>14</v>
      </c>
      <c r="D190" t="s">
        <v>28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 s="8">
        <v>0.90059999999999996</v>
      </c>
      <c r="K190">
        <v>85000</v>
      </c>
      <c r="L190" s="2">
        <v>45827</v>
      </c>
    </row>
    <row r="191" spans="1:12">
      <c r="A191" t="s">
        <v>358</v>
      </c>
      <c r="B191" t="s">
        <v>359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 s="8">
        <v>0.96360000000000001</v>
      </c>
      <c r="K191">
        <v>130000</v>
      </c>
      <c r="L191" s="2">
        <v>46035</v>
      </c>
    </row>
    <row r="192" spans="1:12">
      <c r="A192" t="s">
        <v>360</v>
      </c>
      <c r="B192" t="s">
        <v>270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 s="8">
        <v>0.6754</v>
      </c>
      <c r="K192">
        <v>130000</v>
      </c>
      <c r="L192" s="2">
        <v>46015</v>
      </c>
    </row>
    <row r="193" spans="1:12">
      <c r="A193" t="s">
        <v>361</v>
      </c>
      <c r="B193" t="s">
        <v>362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 s="8">
        <v>0.97640000000000005</v>
      </c>
      <c r="K193">
        <v>50000</v>
      </c>
      <c r="L193" s="2">
        <v>46230</v>
      </c>
    </row>
    <row r="194" spans="1:12">
      <c r="A194" t="s">
        <v>363</v>
      </c>
      <c r="B194" t="s">
        <v>127</v>
      </c>
      <c r="C194" t="s">
        <v>19</v>
      </c>
      <c r="D194" t="s">
        <v>15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 s="8">
        <v>0.91849999999999998</v>
      </c>
      <c r="K194">
        <v>80000</v>
      </c>
      <c r="L194" s="2">
        <v>45878</v>
      </c>
    </row>
    <row r="195" spans="1:12">
      <c r="A195" t="s">
        <v>364</v>
      </c>
      <c r="B195" t="s">
        <v>100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 s="8">
        <v>0.72919999999999996</v>
      </c>
      <c r="K195">
        <v>70000</v>
      </c>
      <c r="L195" s="2">
        <v>45775</v>
      </c>
    </row>
    <row r="196" spans="1:12">
      <c r="A196" t="s">
        <v>365</v>
      </c>
      <c r="B196" t="s">
        <v>366</v>
      </c>
      <c r="C196" t="s">
        <v>19</v>
      </c>
      <c r="D196" t="s">
        <v>53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 s="8">
        <v>0.76680000000000004</v>
      </c>
      <c r="K196">
        <v>80000</v>
      </c>
      <c r="L196" s="2">
        <v>45904</v>
      </c>
    </row>
    <row r="197" spans="1:12">
      <c r="A197" t="s">
        <v>367</v>
      </c>
      <c r="B197" t="s">
        <v>331</v>
      </c>
      <c r="C197" t="s">
        <v>14</v>
      </c>
      <c r="D197" t="s">
        <v>36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 s="8">
        <v>0.74980000000000002</v>
      </c>
      <c r="K197">
        <v>60000</v>
      </c>
      <c r="L197" s="2">
        <v>45649</v>
      </c>
    </row>
    <row r="198" spans="1:12">
      <c r="A198" t="s">
        <v>368</v>
      </c>
      <c r="B198" t="s">
        <v>283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 s="8">
        <v>0.8337</v>
      </c>
      <c r="K198">
        <v>85000</v>
      </c>
      <c r="L198" s="2">
        <v>45614</v>
      </c>
    </row>
    <row r="199" spans="1:12">
      <c r="A199" t="s">
        <v>369</v>
      </c>
      <c r="B199" t="s">
        <v>370</v>
      </c>
      <c r="C199" t="s">
        <v>14</v>
      </c>
      <c r="D199" t="s">
        <v>32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 s="8">
        <v>0.94599999999999995</v>
      </c>
      <c r="K199">
        <v>60000</v>
      </c>
      <c r="L199" s="2">
        <v>45899</v>
      </c>
    </row>
    <row r="200" spans="1:12">
      <c r="A200" t="s">
        <v>371</v>
      </c>
      <c r="B200" t="s">
        <v>372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 s="8">
        <v>0.93899999999999995</v>
      </c>
      <c r="K200">
        <v>90000</v>
      </c>
      <c r="L200" s="2">
        <v>46113</v>
      </c>
    </row>
    <row r="201" spans="1:12">
      <c r="A201" t="s">
        <v>373</v>
      </c>
      <c r="B201" t="s">
        <v>272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 s="8">
        <v>0.61180000000000001</v>
      </c>
      <c r="K201">
        <v>80000</v>
      </c>
      <c r="L201" s="2">
        <v>45909</v>
      </c>
    </row>
    <row r="202" spans="1:12">
      <c r="A202" t="s">
        <v>374</v>
      </c>
      <c r="B202" t="s">
        <v>194</v>
      </c>
      <c r="C202" t="s">
        <v>14</v>
      </c>
      <c r="D202" t="s">
        <v>15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 s="8">
        <v>0.67989999999999995</v>
      </c>
      <c r="K202">
        <v>130000</v>
      </c>
      <c r="L202" s="2">
        <v>46083</v>
      </c>
    </row>
    <row r="203" spans="1:12">
      <c r="A203" t="s">
        <v>375</v>
      </c>
      <c r="B203" t="s">
        <v>376</v>
      </c>
      <c r="C203" t="s">
        <v>19</v>
      </c>
      <c r="D203" t="s">
        <v>20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 s="8">
        <v>0.74199999999999999</v>
      </c>
      <c r="K203">
        <v>120000</v>
      </c>
      <c r="L203" s="2">
        <v>45660</v>
      </c>
    </row>
    <row r="204" spans="1:12">
      <c r="A204" t="s">
        <v>377</v>
      </c>
      <c r="B204" t="s">
        <v>378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 s="8">
        <v>0.77929999999999999</v>
      </c>
      <c r="K204">
        <v>90000</v>
      </c>
      <c r="L204" s="2">
        <v>45850</v>
      </c>
    </row>
    <row r="205" spans="1:12">
      <c r="A205" t="s">
        <v>379</v>
      </c>
      <c r="B205" t="s">
        <v>380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 s="8">
        <v>0.89129999999999998</v>
      </c>
      <c r="K205">
        <v>80000</v>
      </c>
      <c r="L205" s="2">
        <v>45965</v>
      </c>
    </row>
    <row r="206" spans="1:12">
      <c r="A206" t="s">
        <v>381</v>
      </c>
      <c r="B206" t="s">
        <v>382</v>
      </c>
      <c r="C206" t="s">
        <v>14</v>
      </c>
      <c r="D206" t="s">
        <v>53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 s="8">
        <v>0.57250000000000001</v>
      </c>
      <c r="K206">
        <v>100000</v>
      </c>
      <c r="L206" s="2">
        <v>45779</v>
      </c>
    </row>
    <row r="207" spans="1:12">
      <c r="A207" t="s">
        <v>383</v>
      </c>
      <c r="B207" t="s">
        <v>378</v>
      </c>
      <c r="C207" t="s">
        <v>14</v>
      </c>
      <c r="D207" t="s">
        <v>15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 s="8">
        <v>0.86299999999999999</v>
      </c>
      <c r="K207">
        <v>100000</v>
      </c>
      <c r="L207" s="2">
        <v>45545</v>
      </c>
    </row>
    <row r="208" spans="1:12">
      <c r="A208" t="s">
        <v>384</v>
      </c>
      <c r="B208" t="s">
        <v>129</v>
      </c>
      <c r="C208" t="s">
        <v>19</v>
      </c>
      <c r="D208" t="s">
        <v>15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 s="8">
        <v>0.97829999999999995</v>
      </c>
      <c r="K208">
        <v>60000</v>
      </c>
      <c r="L208" s="2">
        <v>45587</v>
      </c>
    </row>
    <row r="209" spans="1:12">
      <c r="A209" t="s">
        <v>385</v>
      </c>
      <c r="B209" t="s">
        <v>386</v>
      </c>
      <c r="C209" t="s">
        <v>19</v>
      </c>
      <c r="D209" t="s">
        <v>28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 s="8">
        <v>0.98960000000000004</v>
      </c>
      <c r="K209">
        <v>80000</v>
      </c>
      <c r="L209" s="2">
        <v>46185</v>
      </c>
    </row>
    <row r="210" spans="1:12">
      <c r="A210" t="s">
        <v>387</v>
      </c>
      <c r="B210" t="s">
        <v>388</v>
      </c>
      <c r="C210" t="s">
        <v>14</v>
      </c>
      <c r="D210" t="s">
        <v>53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 s="8">
        <v>0.90839999999999999</v>
      </c>
      <c r="K210">
        <v>130000</v>
      </c>
      <c r="L210" s="2">
        <v>45959</v>
      </c>
    </row>
    <row r="211" spans="1:12">
      <c r="A211" t="s">
        <v>389</v>
      </c>
      <c r="B211" t="s">
        <v>31</v>
      </c>
      <c r="C211" t="s">
        <v>19</v>
      </c>
      <c r="D211" t="s">
        <v>53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 s="8">
        <v>0.64800000000000002</v>
      </c>
      <c r="K211">
        <v>75000</v>
      </c>
      <c r="L211" s="2">
        <v>45721</v>
      </c>
    </row>
    <row r="212" spans="1:12">
      <c r="A212" t="s">
        <v>390</v>
      </c>
      <c r="B212" t="s">
        <v>161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 s="8">
        <v>0.79520000000000002</v>
      </c>
      <c r="K212">
        <v>50000</v>
      </c>
      <c r="L212" s="2">
        <v>45717</v>
      </c>
    </row>
    <row r="213" spans="1:12">
      <c r="A213" t="s">
        <v>391</v>
      </c>
      <c r="B213" t="s">
        <v>392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 s="8">
        <v>0.76449999999999996</v>
      </c>
      <c r="K213">
        <v>120000</v>
      </c>
      <c r="L213" s="2">
        <v>45563</v>
      </c>
    </row>
    <row r="214" spans="1:12">
      <c r="A214" t="s">
        <v>393</v>
      </c>
      <c r="B214" t="s">
        <v>113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 s="8">
        <v>0.84589999999999999</v>
      </c>
      <c r="K214">
        <v>130000</v>
      </c>
      <c r="L214" s="2">
        <v>46197</v>
      </c>
    </row>
    <row r="215" spans="1:12">
      <c r="A215" t="s">
        <v>394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 s="8">
        <v>0.97270000000000001</v>
      </c>
      <c r="K215">
        <v>100000</v>
      </c>
      <c r="L215" s="2">
        <v>45611</v>
      </c>
    </row>
    <row r="216" spans="1:12">
      <c r="A216" t="s">
        <v>395</v>
      </c>
      <c r="B216" t="s">
        <v>81</v>
      </c>
      <c r="C216" t="s">
        <v>19</v>
      </c>
      <c r="D216" t="s">
        <v>36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 s="8">
        <v>0.89070000000000005</v>
      </c>
      <c r="K216">
        <v>90000</v>
      </c>
      <c r="L216" s="2">
        <v>46067</v>
      </c>
    </row>
    <row r="217" spans="1:12">
      <c r="A217" t="s">
        <v>396</v>
      </c>
      <c r="B217" t="s">
        <v>92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 s="8">
        <v>0.79590000000000005</v>
      </c>
      <c r="K217">
        <v>75000</v>
      </c>
      <c r="L217" s="2">
        <v>45704</v>
      </c>
    </row>
    <row r="218" spans="1:12">
      <c r="A218" t="s">
        <v>397</v>
      </c>
      <c r="B218" t="s">
        <v>133</v>
      </c>
      <c r="C218" t="s">
        <v>14</v>
      </c>
      <c r="D218" t="s">
        <v>28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 s="8">
        <v>0.55000000000000004</v>
      </c>
      <c r="K218">
        <v>75000</v>
      </c>
      <c r="L218" s="2">
        <v>45770</v>
      </c>
    </row>
    <row r="219" spans="1:12">
      <c r="A219" t="s">
        <v>398</v>
      </c>
      <c r="B219" t="s">
        <v>274</v>
      </c>
      <c r="C219" t="s">
        <v>14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 s="8">
        <v>0.92500000000000004</v>
      </c>
      <c r="K219">
        <v>130000</v>
      </c>
      <c r="L219" s="2">
        <v>45727</v>
      </c>
    </row>
    <row r="220" spans="1:12">
      <c r="A220" t="s">
        <v>399</v>
      </c>
      <c r="B220" t="s">
        <v>372</v>
      </c>
      <c r="C220" t="s">
        <v>14</v>
      </c>
      <c r="D220" t="s">
        <v>36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 s="8">
        <v>0.86780000000000002</v>
      </c>
      <c r="K220">
        <v>120000</v>
      </c>
      <c r="L220" s="2">
        <v>46113</v>
      </c>
    </row>
    <row r="221" spans="1:12">
      <c r="A221" t="s">
        <v>400</v>
      </c>
      <c r="B221" t="s">
        <v>173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 s="8">
        <v>0.7833</v>
      </c>
      <c r="K221">
        <v>85000</v>
      </c>
      <c r="L221" s="2">
        <v>45558</v>
      </c>
    </row>
    <row r="222" spans="1:12">
      <c r="A222" t="s">
        <v>401</v>
      </c>
      <c r="B222" t="s">
        <v>331</v>
      </c>
      <c r="C222" t="s">
        <v>14</v>
      </c>
      <c r="D222" t="s">
        <v>20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 s="8">
        <v>0.71450000000000002</v>
      </c>
      <c r="K222">
        <v>75000</v>
      </c>
      <c r="L222" s="2">
        <v>45782</v>
      </c>
    </row>
    <row r="223" spans="1:12">
      <c r="A223" t="s">
        <v>402</v>
      </c>
      <c r="B223" t="s">
        <v>202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 s="8">
        <v>0.59699999999999998</v>
      </c>
      <c r="K223">
        <v>70000</v>
      </c>
      <c r="L223" s="2">
        <v>45731</v>
      </c>
    </row>
    <row r="224" spans="1:12">
      <c r="A224" t="s">
        <v>403</v>
      </c>
      <c r="B224" t="s">
        <v>404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 s="8">
        <v>0.76500000000000001</v>
      </c>
      <c r="K224">
        <v>50000</v>
      </c>
      <c r="L224" s="2">
        <v>45727</v>
      </c>
    </row>
    <row r="225" spans="1:12">
      <c r="A225" t="s">
        <v>405</v>
      </c>
      <c r="B225" t="s">
        <v>406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 s="8">
        <v>0.86499999999999999</v>
      </c>
      <c r="K225">
        <v>85000</v>
      </c>
      <c r="L225" s="2">
        <v>45671</v>
      </c>
    </row>
    <row r="226" spans="1:12">
      <c r="A226" t="s">
        <v>407</v>
      </c>
      <c r="B226" t="s">
        <v>408</v>
      </c>
      <c r="C226" t="s">
        <v>19</v>
      </c>
      <c r="D226" t="s">
        <v>53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 s="8">
        <v>0.94030000000000002</v>
      </c>
      <c r="K226">
        <v>90000</v>
      </c>
      <c r="L226" s="2">
        <v>46174</v>
      </c>
    </row>
    <row r="227" spans="1:12">
      <c r="A227" t="s">
        <v>409</v>
      </c>
      <c r="B227" t="s">
        <v>410</v>
      </c>
      <c r="C227" t="s">
        <v>14</v>
      </c>
      <c r="D227" t="s">
        <v>32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 s="8">
        <v>0.67549999999999999</v>
      </c>
      <c r="K227">
        <v>100000</v>
      </c>
      <c r="L227" s="2">
        <v>45801</v>
      </c>
    </row>
    <row r="228" spans="1:12">
      <c r="A228" t="s">
        <v>411</v>
      </c>
      <c r="B228" t="s">
        <v>412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 s="8">
        <v>0.9395</v>
      </c>
      <c r="K228">
        <v>110000</v>
      </c>
      <c r="L228" s="2">
        <v>45828</v>
      </c>
    </row>
    <row r="229" spans="1:12">
      <c r="A229" t="s">
        <v>413</v>
      </c>
      <c r="B229" t="s">
        <v>229</v>
      </c>
      <c r="C229" t="s">
        <v>19</v>
      </c>
      <c r="D229" t="s">
        <v>32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 s="8">
        <v>0.79869999999999997</v>
      </c>
      <c r="K229">
        <v>80000</v>
      </c>
      <c r="L229" s="2">
        <v>45805</v>
      </c>
    </row>
    <row r="230" spans="1:12">
      <c r="A230" t="s">
        <v>414</v>
      </c>
      <c r="B230" t="s">
        <v>415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 s="8">
        <v>0.64900000000000002</v>
      </c>
      <c r="K230">
        <v>60000</v>
      </c>
      <c r="L230" s="2">
        <v>46222</v>
      </c>
    </row>
    <row r="231" spans="1:12">
      <c r="A231" t="s">
        <v>416</v>
      </c>
      <c r="B231" t="s">
        <v>417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 s="8">
        <v>0.79449999999999998</v>
      </c>
      <c r="K231">
        <v>120000</v>
      </c>
      <c r="L231" s="2">
        <v>45773</v>
      </c>
    </row>
    <row r="232" spans="1:12">
      <c r="A232" t="s">
        <v>418</v>
      </c>
      <c r="B232" t="s">
        <v>35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 s="8">
        <v>0.94510000000000005</v>
      </c>
      <c r="K232">
        <v>110000</v>
      </c>
      <c r="L232" s="2">
        <v>45775</v>
      </c>
    </row>
    <row r="233" spans="1:12">
      <c r="A233" t="s">
        <v>419</v>
      </c>
      <c r="B233" t="s">
        <v>420</v>
      </c>
      <c r="C233" t="s">
        <v>19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 s="8">
        <v>0.75680000000000003</v>
      </c>
      <c r="K233">
        <v>85000</v>
      </c>
      <c r="L233" s="2">
        <v>45765</v>
      </c>
    </row>
    <row r="234" spans="1:12">
      <c r="A234" t="s">
        <v>421</v>
      </c>
      <c r="B234" t="s">
        <v>135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 s="8">
        <v>0.55000000000000004</v>
      </c>
      <c r="K234">
        <v>50000</v>
      </c>
      <c r="L234" s="2">
        <v>45764</v>
      </c>
    </row>
    <row r="235" spans="1:12">
      <c r="A235" t="s">
        <v>422</v>
      </c>
      <c r="B235" t="s">
        <v>423</v>
      </c>
      <c r="C235" t="s">
        <v>19</v>
      </c>
      <c r="D235" t="s">
        <v>20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 s="8">
        <v>0.90759999999999996</v>
      </c>
      <c r="K235">
        <v>85000</v>
      </c>
      <c r="L235" s="2">
        <v>45598</v>
      </c>
    </row>
    <row r="236" spans="1:12">
      <c r="A236" t="s">
        <v>424</v>
      </c>
      <c r="B236" t="s">
        <v>425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 s="8">
        <v>0.59889999999999999</v>
      </c>
      <c r="K236">
        <v>90000</v>
      </c>
      <c r="L236" s="2">
        <v>45958</v>
      </c>
    </row>
    <row r="237" spans="1:12">
      <c r="A237" t="s">
        <v>426</v>
      </c>
      <c r="B237" t="s">
        <v>301</v>
      </c>
      <c r="C237" t="s">
        <v>19</v>
      </c>
      <c r="D237" t="s">
        <v>36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 s="8">
        <v>0.69740000000000002</v>
      </c>
      <c r="K237">
        <v>120000</v>
      </c>
      <c r="L237" s="2">
        <v>45553</v>
      </c>
    </row>
    <row r="238" spans="1:12">
      <c r="A238" t="s">
        <v>427</v>
      </c>
      <c r="B238" t="s">
        <v>428</v>
      </c>
      <c r="C238" t="s">
        <v>19</v>
      </c>
      <c r="D238" t="s">
        <v>53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 s="8">
        <v>0.77359999999999995</v>
      </c>
      <c r="K238">
        <v>85000</v>
      </c>
      <c r="L238" s="2">
        <v>45694</v>
      </c>
    </row>
    <row r="239" spans="1:12">
      <c r="A239" t="s">
        <v>429</v>
      </c>
      <c r="B239" t="s">
        <v>354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 s="8">
        <v>0.91810000000000003</v>
      </c>
      <c r="K239">
        <v>85000</v>
      </c>
      <c r="L239" s="2">
        <v>45677</v>
      </c>
    </row>
    <row r="240" spans="1:12">
      <c r="A240" t="s">
        <v>430</v>
      </c>
      <c r="B240" t="s">
        <v>431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 s="8">
        <v>0.8478</v>
      </c>
      <c r="K240">
        <v>80000</v>
      </c>
      <c r="L240" s="2">
        <v>45740</v>
      </c>
    </row>
    <row r="241" spans="1:12">
      <c r="A241" t="s">
        <v>432</v>
      </c>
      <c r="B241" t="s">
        <v>433</v>
      </c>
      <c r="C241" t="s">
        <v>19</v>
      </c>
      <c r="D241" t="s">
        <v>36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 s="8">
        <v>0.93389999999999995</v>
      </c>
      <c r="K241">
        <v>80000</v>
      </c>
      <c r="L241" s="2">
        <v>46065</v>
      </c>
    </row>
    <row r="242" spans="1:12">
      <c r="A242" t="s">
        <v>434</v>
      </c>
      <c r="B242" t="s">
        <v>285</v>
      </c>
      <c r="C242" t="s">
        <v>14</v>
      </c>
      <c r="D242" t="s">
        <v>28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 s="8">
        <v>0.80379999999999996</v>
      </c>
      <c r="K242">
        <v>50000</v>
      </c>
      <c r="L242" s="2">
        <v>45955</v>
      </c>
    </row>
    <row r="243" spans="1:12">
      <c r="A243" t="s">
        <v>435</v>
      </c>
      <c r="B243" t="s">
        <v>436</v>
      </c>
      <c r="C243" t="s">
        <v>19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 s="8">
        <v>0.72509999999999997</v>
      </c>
      <c r="K243">
        <v>60000</v>
      </c>
      <c r="L243" s="2">
        <v>46229</v>
      </c>
    </row>
    <row r="244" spans="1:12">
      <c r="A244" t="s">
        <v>437</v>
      </c>
      <c r="B244" t="s">
        <v>139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 s="8">
        <v>0.87749999999999995</v>
      </c>
      <c r="K244">
        <v>110000</v>
      </c>
      <c r="L244" s="2">
        <v>45781</v>
      </c>
    </row>
    <row r="245" spans="1:12">
      <c r="A245" t="s">
        <v>438</v>
      </c>
      <c r="B245" t="s">
        <v>317</v>
      </c>
      <c r="C245" t="s">
        <v>19</v>
      </c>
      <c r="D245" t="s">
        <v>53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 s="8">
        <v>0.79690000000000005</v>
      </c>
      <c r="K245">
        <v>75000</v>
      </c>
      <c r="L245" s="2">
        <v>46185</v>
      </c>
    </row>
    <row r="246" spans="1:12">
      <c r="A246" t="s">
        <v>439</v>
      </c>
      <c r="B246" t="s">
        <v>111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 s="8">
        <v>0.76190000000000002</v>
      </c>
      <c r="K246">
        <v>120000</v>
      </c>
      <c r="L246" s="2">
        <v>45567</v>
      </c>
    </row>
    <row r="247" spans="1:12">
      <c r="A247" t="s">
        <v>440</v>
      </c>
      <c r="B247" t="s">
        <v>139</v>
      </c>
      <c r="C247" t="s">
        <v>14</v>
      </c>
      <c r="D247" t="s">
        <v>20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 s="8">
        <v>0.95069999999999999</v>
      </c>
      <c r="K247">
        <v>80000</v>
      </c>
      <c r="L247" s="2">
        <v>45888</v>
      </c>
    </row>
    <row r="248" spans="1:12">
      <c r="A248" t="s">
        <v>441</v>
      </c>
      <c r="B248" t="s">
        <v>442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 s="8">
        <v>0.84540000000000004</v>
      </c>
      <c r="K248">
        <v>130000</v>
      </c>
      <c r="L248" s="2">
        <v>46095</v>
      </c>
    </row>
    <row r="249" spans="1:12">
      <c r="A249" t="s">
        <v>443</v>
      </c>
      <c r="B249" t="s">
        <v>444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 s="8">
        <v>0.92369999999999997</v>
      </c>
      <c r="K249">
        <v>60000</v>
      </c>
      <c r="L249" s="2">
        <v>45908</v>
      </c>
    </row>
    <row r="250" spans="1:12">
      <c r="A250" t="s">
        <v>445</v>
      </c>
      <c r="B250" t="s">
        <v>301</v>
      </c>
      <c r="C250" t="s">
        <v>19</v>
      </c>
      <c r="D250" t="s">
        <v>28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 s="8">
        <v>0.87739999999999996</v>
      </c>
      <c r="K250">
        <v>70000</v>
      </c>
      <c r="L250" s="2">
        <v>46189</v>
      </c>
    </row>
    <row r="251" spans="1:12">
      <c r="A251" t="s">
        <v>446</v>
      </c>
      <c r="B251" t="s">
        <v>231</v>
      </c>
      <c r="C251" t="s">
        <v>14</v>
      </c>
      <c r="D251" t="s">
        <v>36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 s="8">
        <v>0.94869999999999999</v>
      </c>
      <c r="K251">
        <v>90000</v>
      </c>
      <c r="L251" s="2">
        <v>45756</v>
      </c>
    </row>
    <row r="252" spans="1:12">
      <c r="A252" t="s">
        <v>447</v>
      </c>
      <c r="B252" t="s">
        <v>431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 s="8">
        <v>0.83479999999999999</v>
      </c>
      <c r="K252">
        <v>110000</v>
      </c>
      <c r="L252" s="2">
        <v>45559</v>
      </c>
    </row>
    <row r="253" spans="1:12">
      <c r="A253" t="s">
        <v>448</v>
      </c>
      <c r="B253" t="s">
        <v>449</v>
      </c>
      <c r="C253" t="s">
        <v>14</v>
      </c>
      <c r="D253" t="s">
        <v>53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 s="8">
        <v>0.91059999999999997</v>
      </c>
      <c r="K253">
        <v>60000</v>
      </c>
      <c r="L253" s="2">
        <v>46077</v>
      </c>
    </row>
    <row r="254" spans="1:12">
      <c r="A254" t="s">
        <v>450</v>
      </c>
      <c r="B254" t="s">
        <v>451</v>
      </c>
      <c r="C254" t="s">
        <v>14</v>
      </c>
      <c r="D254" t="s">
        <v>53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 s="8">
        <v>0.94679999999999997</v>
      </c>
      <c r="K254">
        <v>85000</v>
      </c>
      <c r="L254" s="2">
        <v>45583</v>
      </c>
    </row>
    <row r="255" spans="1:12">
      <c r="A255" t="s">
        <v>452</v>
      </c>
      <c r="B255" t="s">
        <v>453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 s="8">
        <v>0.68320000000000003</v>
      </c>
      <c r="K255">
        <v>70000</v>
      </c>
      <c r="L255" s="2">
        <v>46071</v>
      </c>
    </row>
    <row r="256" spans="1:12">
      <c r="A256" t="s">
        <v>454</v>
      </c>
      <c r="B256" t="s">
        <v>455</v>
      </c>
      <c r="C256" t="s">
        <v>19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 s="8">
        <v>0.96360000000000001</v>
      </c>
      <c r="K256">
        <v>110000</v>
      </c>
      <c r="L256" s="2">
        <v>46049</v>
      </c>
    </row>
    <row r="257" spans="1:12">
      <c r="A257" t="s">
        <v>456</v>
      </c>
      <c r="B257" t="s">
        <v>451</v>
      </c>
      <c r="C257" t="s">
        <v>14</v>
      </c>
      <c r="D257" t="s">
        <v>15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 s="8">
        <v>0.63129999999999997</v>
      </c>
      <c r="K257">
        <v>90000</v>
      </c>
      <c r="L257" s="2">
        <v>46126</v>
      </c>
    </row>
    <row r="258" spans="1:12">
      <c r="A258" t="s">
        <v>457</v>
      </c>
      <c r="B258" t="s">
        <v>458</v>
      </c>
      <c r="C258" t="s">
        <v>19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 s="8">
        <v>0.92749999999999999</v>
      </c>
      <c r="K258">
        <v>100000</v>
      </c>
      <c r="L258" s="2">
        <v>45871</v>
      </c>
    </row>
    <row r="259" spans="1:12">
      <c r="A259" t="s">
        <v>459</v>
      </c>
      <c r="B259" t="s">
        <v>460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 s="8">
        <v>0.79310000000000003</v>
      </c>
      <c r="K259">
        <v>70000</v>
      </c>
      <c r="L259" s="2">
        <v>46162</v>
      </c>
    </row>
    <row r="260" spans="1:12">
      <c r="A260" t="s">
        <v>461</v>
      </c>
      <c r="B260" t="s">
        <v>285</v>
      </c>
      <c r="C260" t="s">
        <v>14</v>
      </c>
      <c r="D260" t="s">
        <v>28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 s="8">
        <v>0.97809999999999997</v>
      </c>
      <c r="K260">
        <v>75000</v>
      </c>
      <c r="L260" s="2">
        <v>45654</v>
      </c>
    </row>
    <row r="261" spans="1:12">
      <c r="A261" t="s">
        <v>462</v>
      </c>
      <c r="B261" t="s">
        <v>310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 s="8">
        <v>0.82909999999999995</v>
      </c>
      <c r="K261">
        <v>100000</v>
      </c>
      <c r="L261" s="2">
        <v>45840</v>
      </c>
    </row>
    <row r="262" spans="1:12">
      <c r="A262" t="s">
        <v>463</v>
      </c>
      <c r="B262" t="s">
        <v>464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 s="8">
        <v>0.83850000000000002</v>
      </c>
      <c r="K262">
        <v>75000</v>
      </c>
      <c r="L262" s="2">
        <v>45621</v>
      </c>
    </row>
    <row r="263" spans="1:12">
      <c r="A263" t="s">
        <v>465</v>
      </c>
      <c r="B263" t="s">
        <v>410</v>
      </c>
      <c r="C263" t="s">
        <v>14</v>
      </c>
      <c r="D263" t="s">
        <v>36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 s="8">
        <v>0.92810000000000004</v>
      </c>
      <c r="K263">
        <v>100000</v>
      </c>
      <c r="L263" s="2">
        <v>46072</v>
      </c>
    </row>
    <row r="264" spans="1:12">
      <c r="A264" t="s">
        <v>466</v>
      </c>
      <c r="B264" t="s">
        <v>467</v>
      </c>
      <c r="C264" t="s">
        <v>14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 s="8">
        <v>0.82140000000000002</v>
      </c>
      <c r="K264">
        <v>60000</v>
      </c>
      <c r="L264" s="2">
        <v>46035</v>
      </c>
    </row>
    <row r="265" spans="1:12">
      <c r="A265" t="s">
        <v>468</v>
      </c>
      <c r="B265" t="s">
        <v>469</v>
      </c>
      <c r="C265" t="s">
        <v>19</v>
      </c>
      <c r="D265" t="s">
        <v>53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 s="8">
        <v>0.93889999999999996</v>
      </c>
      <c r="K265">
        <v>75000</v>
      </c>
      <c r="L265" s="2">
        <v>46100</v>
      </c>
    </row>
    <row r="266" spans="1:12">
      <c r="A266" t="s">
        <v>470</v>
      </c>
      <c r="B266" t="s">
        <v>471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 s="8">
        <v>0.98360000000000003</v>
      </c>
      <c r="K266">
        <v>60000</v>
      </c>
      <c r="L266" s="2">
        <v>46071</v>
      </c>
    </row>
    <row r="267" spans="1:12">
      <c r="A267" t="s">
        <v>472</v>
      </c>
      <c r="B267" t="s">
        <v>98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 s="8">
        <v>0.98909999999999998</v>
      </c>
      <c r="K267">
        <v>50000</v>
      </c>
      <c r="L267" s="2">
        <v>45751</v>
      </c>
    </row>
    <row r="268" spans="1:12">
      <c r="A268" t="s">
        <v>473</v>
      </c>
      <c r="B268" t="s">
        <v>474</v>
      </c>
      <c r="C268" t="s">
        <v>14</v>
      </c>
      <c r="D268" t="s">
        <v>15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 s="8">
        <v>0.9153</v>
      </c>
      <c r="K268">
        <v>70000</v>
      </c>
      <c r="L268" s="2">
        <v>45583</v>
      </c>
    </row>
    <row r="269" spans="1:12">
      <c r="A269" t="s">
        <v>475</v>
      </c>
      <c r="B269" t="s">
        <v>88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 s="8">
        <v>0.67179999999999995</v>
      </c>
      <c r="K269">
        <v>85000</v>
      </c>
      <c r="L269" s="2">
        <v>46186</v>
      </c>
    </row>
    <row r="270" spans="1:12">
      <c r="A270" t="s">
        <v>476</v>
      </c>
      <c r="B270" t="s">
        <v>477</v>
      </c>
      <c r="C270" t="s">
        <v>19</v>
      </c>
      <c r="D270" t="s">
        <v>53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 s="8">
        <v>0.81479999999999997</v>
      </c>
      <c r="K270">
        <v>60000</v>
      </c>
      <c r="L270" s="2">
        <v>45880</v>
      </c>
    </row>
    <row r="271" spans="1:12">
      <c r="A271" t="s">
        <v>478</v>
      </c>
      <c r="B271" t="s">
        <v>479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 s="8">
        <v>0.55000000000000004</v>
      </c>
      <c r="K271">
        <v>60000</v>
      </c>
      <c r="L271" s="2">
        <v>45602</v>
      </c>
    </row>
    <row r="272" spans="1:12">
      <c r="A272" t="s">
        <v>480</v>
      </c>
      <c r="B272" t="s">
        <v>88</v>
      </c>
      <c r="C272" t="s">
        <v>14</v>
      </c>
      <c r="D272" t="s">
        <v>53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 s="8">
        <v>0.83330000000000004</v>
      </c>
      <c r="K272">
        <v>120000</v>
      </c>
      <c r="L272" s="2">
        <v>46184</v>
      </c>
    </row>
    <row r="273" spans="1:12">
      <c r="A273" t="s">
        <v>481</v>
      </c>
      <c r="B273" t="s">
        <v>482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 s="8">
        <v>0.84279999999999999</v>
      </c>
      <c r="K273">
        <v>85000</v>
      </c>
      <c r="L273" s="2">
        <v>46231</v>
      </c>
    </row>
    <row r="274" spans="1:12">
      <c r="A274" t="s">
        <v>483</v>
      </c>
      <c r="B274" t="s">
        <v>135</v>
      </c>
      <c r="C274" t="s">
        <v>14</v>
      </c>
      <c r="D274" t="s">
        <v>53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 s="8">
        <v>0.55000000000000004</v>
      </c>
      <c r="K274">
        <v>100000</v>
      </c>
      <c r="L274" s="2">
        <v>45847</v>
      </c>
    </row>
    <row r="275" spans="1:12">
      <c r="A275" t="s">
        <v>484</v>
      </c>
      <c r="B275" t="s">
        <v>485</v>
      </c>
      <c r="C275" t="s">
        <v>19</v>
      </c>
      <c r="D275" t="s">
        <v>36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 s="8">
        <v>0.62019999999999997</v>
      </c>
      <c r="K275">
        <v>100000</v>
      </c>
      <c r="L275" s="2">
        <v>46075</v>
      </c>
    </row>
    <row r="276" spans="1:12">
      <c r="A276" t="s">
        <v>486</v>
      </c>
      <c r="B276" t="s">
        <v>155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 s="8">
        <v>0.88829999999999998</v>
      </c>
      <c r="K276">
        <v>60000</v>
      </c>
      <c r="L276" s="2">
        <v>45561</v>
      </c>
    </row>
    <row r="277" spans="1:12">
      <c r="A277" t="s">
        <v>487</v>
      </c>
      <c r="B277" t="s">
        <v>453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 s="8">
        <v>0.60209999999999997</v>
      </c>
      <c r="K277">
        <v>90000</v>
      </c>
      <c r="L277" s="2">
        <v>45601</v>
      </c>
    </row>
    <row r="278" spans="1:12">
      <c r="A278" t="s">
        <v>488</v>
      </c>
      <c r="B278" t="s">
        <v>382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 s="8">
        <v>0.83730000000000004</v>
      </c>
      <c r="K278">
        <v>120000</v>
      </c>
      <c r="L278" s="2">
        <v>45729</v>
      </c>
    </row>
    <row r="279" spans="1:12">
      <c r="A279" t="s">
        <v>489</v>
      </c>
      <c r="B279" t="s">
        <v>490</v>
      </c>
      <c r="C279" t="s">
        <v>19</v>
      </c>
      <c r="D279" t="s">
        <v>53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 s="8">
        <v>0.85229999999999995</v>
      </c>
      <c r="K279">
        <v>80000</v>
      </c>
      <c r="L279" s="2">
        <v>45995</v>
      </c>
    </row>
    <row r="280" spans="1:12">
      <c r="A280" t="s">
        <v>491</v>
      </c>
      <c r="B280" t="s">
        <v>492</v>
      </c>
      <c r="C280" t="s">
        <v>14</v>
      </c>
      <c r="D280" t="s">
        <v>53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 s="8">
        <v>0.82589999999999997</v>
      </c>
      <c r="K280">
        <v>120000</v>
      </c>
      <c r="L280" s="2">
        <v>45629</v>
      </c>
    </row>
    <row r="281" spans="1:12">
      <c r="A281" t="s">
        <v>493</v>
      </c>
      <c r="B281" t="s">
        <v>494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 s="8">
        <v>0.88490000000000002</v>
      </c>
      <c r="K281">
        <v>130000</v>
      </c>
      <c r="L281" s="2">
        <v>45559</v>
      </c>
    </row>
    <row r="282" spans="1:12">
      <c r="A282" t="s">
        <v>495</v>
      </c>
      <c r="B282" t="s">
        <v>496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 s="8">
        <v>0.95240000000000002</v>
      </c>
      <c r="K282">
        <v>90000</v>
      </c>
      <c r="L282" s="2">
        <v>46004</v>
      </c>
    </row>
    <row r="283" spans="1:12">
      <c r="A283" t="s">
        <v>497</v>
      </c>
      <c r="B283" t="s">
        <v>453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 s="8">
        <v>0.74180000000000001</v>
      </c>
      <c r="K283">
        <v>60000</v>
      </c>
      <c r="L283" s="2">
        <v>46075</v>
      </c>
    </row>
    <row r="284" spans="1:12">
      <c r="A284" t="s">
        <v>498</v>
      </c>
      <c r="B284" t="s">
        <v>146</v>
      </c>
      <c r="C284" t="s">
        <v>19</v>
      </c>
      <c r="D284" t="s">
        <v>20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 s="8">
        <v>0.95789999999999997</v>
      </c>
      <c r="K284">
        <v>90000</v>
      </c>
      <c r="L284" s="2">
        <v>46053</v>
      </c>
    </row>
    <row r="285" spans="1:12">
      <c r="A285" t="s">
        <v>499</v>
      </c>
      <c r="B285" t="s">
        <v>500</v>
      </c>
      <c r="C285" t="s">
        <v>14</v>
      </c>
      <c r="D285" t="s">
        <v>53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 s="8">
        <v>0.71940000000000004</v>
      </c>
      <c r="K285">
        <v>120000</v>
      </c>
      <c r="L285" s="2">
        <v>46095</v>
      </c>
    </row>
    <row r="286" spans="1:12">
      <c r="A286" t="s">
        <v>501</v>
      </c>
      <c r="B286" t="s">
        <v>288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 s="8">
        <v>0.91659999999999997</v>
      </c>
      <c r="K286">
        <v>90000</v>
      </c>
      <c r="L286" s="2">
        <v>46097</v>
      </c>
    </row>
    <row r="287" spans="1:12">
      <c r="A287" t="s">
        <v>502</v>
      </c>
      <c r="B287" t="s">
        <v>433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 s="8">
        <v>0.83550000000000002</v>
      </c>
      <c r="K287">
        <v>110000</v>
      </c>
      <c r="L287" s="2">
        <v>45957</v>
      </c>
    </row>
    <row r="288" spans="1:12">
      <c r="A288" t="s">
        <v>503</v>
      </c>
      <c r="B288" t="s">
        <v>370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 s="8">
        <v>0.67620000000000002</v>
      </c>
      <c r="K288">
        <v>85000</v>
      </c>
      <c r="L288" s="2">
        <v>45899</v>
      </c>
    </row>
    <row r="289" spans="1:12">
      <c r="A289" t="s">
        <v>504</v>
      </c>
      <c r="B289" t="s">
        <v>55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 s="8">
        <v>0.59109999999999996</v>
      </c>
      <c r="K289">
        <v>80000</v>
      </c>
      <c r="L289" s="2">
        <v>46135</v>
      </c>
    </row>
    <row r="290" spans="1:12">
      <c r="A290" t="s">
        <v>505</v>
      </c>
      <c r="B290" t="s">
        <v>506</v>
      </c>
      <c r="C290" t="s">
        <v>19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 s="8">
        <v>0.91249999999999998</v>
      </c>
      <c r="K290">
        <v>130000</v>
      </c>
      <c r="L290" s="2">
        <v>45779</v>
      </c>
    </row>
    <row r="291" spans="1:12">
      <c r="A291" t="s">
        <v>507</v>
      </c>
      <c r="B291" t="s">
        <v>161</v>
      </c>
      <c r="C291" t="s">
        <v>14</v>
      </c>
      <c r="D291" t="s">
        <v>53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 s="8">
        <v>0.84230000000000005</v>
      </c>
      <c r="K291">
        <v>60000</v>
      </c>
      <c r="L291" s="2">
        <v>45604</v>
      </c>
    </row>
    <row r="292" spans="1:12">
      <c r="A292" t="s">
        <v>508</v>
      </c>
      <c r="B292" t="s">
        <v>509</v>
      </c>
      <c r="C292" t="s">
        <v>19</v>
      </c>
      <c r="D292" t="s">
        <v>36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 s="8">
        <v>0.83460000000000001</v>
      </c>
      <c r="K292">
        <v>80000</v>
      </c>
      <c r="L292" s="2">
        <v>46062</v>
      </c>
    </row>
    <row r="293" spans="1:12">
      <c r="A293" t="s">
        <v>510</v>
      </c>
      <c r="B293" t="s">
        <v>511</v>
      </c>
      <c r="C293" t="s">
        <v>14</v>
      </c>
      <c r="D293" t="s">
        <v>53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 s="8">
        <v>0.88360000000000005</v>
      </c>
      <c r="K293">
        <v>60000</v>
      </c>
      <c r="L293" s="2">
        <v>45729</v>
      </c>
    </row>
    <row r="294" spans="1:12">
      <c r="A294" t="s">
        <v>512</v>
      </c>
      <c r="B294" t="s">
        <v>113</v>
      </c>
      <c r="C294" t="s">
        <v>19</v>
      </c>
      <c r="D294" t="s">
        <v>20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 s="8">
        <v>0.89810000000000001</v>
      </c>
      <c r="K294">
        <v>100000</v>
      </c>
      <c r="L294" s="2">
        <v>46221</v>
      </c>
    </row>
    <row r="295" spans="1:12">
      <c r="A295" t="s">
        <v>513</v>
      </c>
      <c r="B295" t="s">
        <v>514</v>
      </c>
      <c r="C295" t="s">
        <v>14</v>
      </c>
      <c r="D295" t="s">
        <v>36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 s="8">
        <v>0.92490000000000006</v>
      </c>
      <c r="K295">
        <v>130000</v>
      </c>
      <c r="L295" s="2">
        <v>45825</v>
      </c>
    </row>
    <row r="296" spans="1:12">
      <c r="A296" t="s">
        <v>515</v>
      </c>
      <c r="B296" t="s">
        <v>516</v>
      </c>
      <c r="C296" t="s">
        <v>19</v>
      </c>
      <c r="D296" t="s">
        <v>15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 s="8">
        <v>0.87549999999999994</v>
      </c>
      <c r="K296">
        <v>130000</v>
      </c>
      <c r="L296" s="2">
        <v>46132</v>
      </c>
    </row>
    <row r="297" spans="1:12">
      <c r="A297" t="s">
        <v>517</v>
      </c>
      <c r="B297" t="s">
        <v>518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 s="8">
        <v>0.94489999999999996</v>
      </c>
      <c r="K297">
        <v>70000</v>
      </c>
      <c r="L297" s="2">
        <v>45565</v>
      </c>
    </row>
    <row r="298" spans="1:12">
      <c r="A298" t="s">
        <v>519</v>
      </c>
      <c r="B298" t="s">
        <v>191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 s="8">
        <v>0.71930000000000005</v>
      </c>
      <c r="K298">
        <v>110000</v>
      </c>
      <c r="L298" s="2">
        <v>45997</v>
      </c>
    </row>
    <row r="299" spans="1:12">
      <c r="A299" t="s">
        <v>520</v>
      </c>
      <c r="B299" t="s">
        <v>521</v>
      </c>
      <c r="C299" t="s">
        <v>14</v>
      </c>
      <c r="D299" t="s">
        <v>36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 s="8">
        <v>0.78539999999999999</v>
      </c>
      <c r="K299">
        <v>120000</v>
      </c>
      <c r="L299" s="2">
        <v>45849</v>
      </c>
    </row>
    <row r="300" spans="1:12">
      <c r="A300" t="s">
        <v>522</v>
      </c>
      <c r="B300" t="s">
        <v>460</v>
      </c>
      <c r="C300" t="s">
        <v>14</v>
      </c>
      <c r="D300" t="s">
        <v>53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 s="8">
        <v>0.75690000000000002</v>
      </c>
      <c r="K300">
        <v>120000</v>
      </c>
      <c r="L300" s="2">
        <v>45859</v>
      </c>
    </row>
    <row r="301" spans="1:12">
      <c r="A301" t="s">
        <v>523</v>
      </c>
      <c r="B301" t="s">
        <v>83</v>
      </c>
      <c r="C301" t="s">
        <v>14</v>
      </c>
      <c r="D301" t="s">
        <v>36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 s="8">
        <v>0.69230000000000003</v>
      </c>
      <c r="K301">
        <v>85000</v>
      </c>
      <c r="L301" s="2">
        <v>45721</v>
      </c>
    </row>
    <row r="302" spans="1:12">
      <c r="A302" t="s">
        <v>524</v>
      </c>
      <c r="B302" t="s">
        <v>274</v>
      </c>
      <c r="C302" t="s">
        <v>14</v>
      </c>
      <c r="D302" t="s">
        <v>36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 s="8">
        <v>0.97560000000000002</v>
      </c>
      <c r="K302">
        <v>60000</v>
      </c>
      <c r="L302" s="2">
        <v>46215</v>
      </c>
    </row>
    <row r="303" spans="1:12">
      <c r="A303" t="s">
        <v>525</v>
      </c>
      <c r="B303" t="s">
        <v>526</v>
      </c>
      <c r="C303" t="s">
        <v>19</v>
      </c>
      <c r="D303" t="s">
        <v>53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 s="8">
        <v>0.81740000000000002</v>
      </c>
      <c r="K303">
        <v>85000</v>
      </c>
      <c r="L303" s="2">
        <v>45810</v>
      </c>
    </row>
    <row r="304" spans="1:12">
      <c r="A304" t="s">
        <v>527</v>
      </c>
      <c r="B304" t="s">
        <v>528</v>
      </c>
      <c r="C304" t="s">
        <v>14</v>
      </c>
      <c r="D304" t="s">
        <v>53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 s="8">
        <v>0.7198</v>
      </c>
      <c r="K304">
        <v>110000</v>
      </c>
      <c r="L304" s="2">
        <v>46131</v>
      </c>
    </row>
    <row r="305" spans="1:12">
      <c r="A305" t="s">
        <v>529</v>
      </c>
      <c r="B305" t="s">
        <v>61</v>
      </c>
      <c r="C305" t="s">
        <v>19</v>
      </c>
      <c r="D305" t="s">
        <v>20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 s="8">
        <v>0.7026</v>
      </c>
      <c r="K305">
        <v>90000</v>
      </c>
      <c r="L305" s="2">
        <v>45833</v>
      </c>
    </row>
    <row r="306" spans="1:12">
      <c r="A306" t="s">
        <v>530</v>
      </c>
      <c r="B306" t="s">
        <v>125</v>
      </c>
      <c r="C306" t="s">
        <v>19</v>
      </c>
      <c r="D306" t="s">
        <v>53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 s="8">
        <v>0.84230000000000005</v>
      </c>
      <c r="K306">
        <v>80000</v>
      </c>
      <c r="L306" s="2">
        <v>45569</v>
      </c>
    </row>
    <row r="307" spans="1:12">
      <c r="A307" t="s">
        <v>531</v>
      </c>
      <c r="B307" t="s">
        <v>532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 s="8">
        <v>0.55000000000000004</v>
      </c>
      <c r="K307">
        <v>70000</v>
      </c>
      <c r="L307" s="2">
        <v>46151</v>
      </c>
    </row>
    <row r="308" spans="1:12">
      <c r="A308" t="s">
        <v>533</v>
      </c>
      <c r="B308" t="s">
        <v>431</v>
      </c>
      <c r="C308" t="s">
        <v>14</v>
      </c>
      <c r="D308" t="s">
        <v>53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 s="8">
        <v>0.79059999999999997</v>
      </c>
      <c r="K308">
        <v>100000</v>
      </c>
      <c r="L308" s="2">
        <v>45665</v>
      </c>
    </row>
    <row r="309" spans="1:12">
      <c r="A309" t="s">
        <v>534</v>
      </c>
      <c r="B309" t="s">
        <v>535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 s="8">
        <v>0.74919999999999998</v>
      </c>
      <c r="K309">
        <v>80000</v>
      </c>
      <c r="L309" s="2">
        <v>45725</v>
      </c>
    </row>
    <row r="310" spans="1:12">
      <c r="A310" t="s">
        <v>536</v>
      </c>
      <c r="B310" t="s">
        <v>444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 s="8">
        <v>0.77869999999999995</v>
      </c>
      <c r="K310">
        <v>85000</v>
      </c>
      <c r="L310" s="2">
        <v>46138</v>
      </c>
    </row>
    <row r="311" spans="1:12">
      <c r="A311" t="s">
        <v>537</v>
      </c>
      <c r="B311" t="s">
        <v>372</v>
      </c>
      <c r="C311" t="s">
        <v>14</v>
      </c>
      <c r="D311" t="s">
        <v>53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 s="8">
        <v>0.64239999999999997</v>
      </c>
      <c r="K311">
        <v>130000</v>
      </c>
      <c r="L311" s="2">
        <v>46161</v>
      </c>
    </row>
    <row r="312" spans="1:12">
      <c r="A312" t="s">
        <v>538</v>
      </c>
      <c r="B312" t="s">
        <v>539</v>
      </c>
      <c r="C312" t="s">
        <v>19</v>
      </c>
      <c r="D312" t="s">
        <v>53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 s="8">
        <v>0.91190000000000004</v>
      </c>
      <c r="K312">
        <v>50000</v>
      </c>
      <c r="L312" s="2">
        <v>46177</v>
      </c>
    </row>
    <row r="313" spans="1:12">
      <c r="A313" t="s">
        <v>540</v>
      </c>
      <c r="B313" t="s">
        <v>541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 s="8">
        <v>0.8952</v>
      </c>
      <c r="K313">
        <v>70000</v>
      </c>
      <c r="L313" s="2">
        <v>45834</v>
      </c>
    </row>
    <row r="314" spans="1:12">
      <c r="A314" t="s">
        <v>542</v>
      </c>
      <c r="B314" t="s">
        <v>543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 s="8">
        <v>0.88970000000000005</v>
      </c>
      <c r="K314">
        <v>130000</v>
      </c>
      <c r="L314" s="2">
        <v>46065</v>
      </c>
    </row>
    <row r="315" spans="1:12">
      <c r="A315" t="s">
        <v>544</v>
      </c>
      <c r="B315" t="s">
        <v>511</v>
      </c>
      <c r="C315" t="s">
        <v>14</v>
      </c>
      <c r="D315" t="s">
        <v>53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 s="8">
        <v>0.78210000000000002</v>
      </c>
      <c r="K315">
        <v>130000</v>
      </c>
      <c r="L315" s="2">
        <v>45765</v>
      </c>
    </row>
    <row r="316" spans="1:12">
      <c r="A316" t="s">
        <v>545</v>
      </c>
      <c r="B316" t="s">
        <v>246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 s="8">
        <v>0.78939999999999999</v>
      </c>
      <c r="K316">
        <v>75000</v>
      </c>
      <c r="L316" s="2">
        <v>46054</v>
      </c>
    </row>
    <row r="317" spans="1:12">
      <c r="A317" t="s">
        <v>546</v>
      </c>
      <c r="B317" t="s">
        <v>256</v>
      </c>
      <c r="C317" t="s">
        <v>19</v>
      </c>
      <c r="D317" t="s">
        <v>28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 s="8">
        <v>0.60060000000000002</v>
      </c>
      <c r="K317">
        <v>130000</v>
      </c>
      <c r="L317" s="2">
        <v>45887</v>
      </c>
    </row>
    <row r="318" spans="1:12">
      <c r="A318" t="s">
        <v>547</v>
      </c>
      <c r="B318" t="s">
        <v>423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 s="8">
        <v>0.86739999999999995</v>
      </c>
      <c r="K318">
        <v>70000</v>
      </c>
      <c r="L318" s="2">
        <v>45572</v>
      </c>
    </row>
    <row r="319" spans="1:12">
      <c r="A319" t="s">
        <v>548</v>
      </c>
      <c r="B319" t="s">
        <v>539</v>
      </c>
      <c r="C319" t="s">
        <v>19</v>
      </c>
      <c r="D319" t="s">
        <v>36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 s="8">
        <v>0.98650000000000004</v>
      </c>
      <c r="K319">
        <v>50000</v>
      </c>
      <c r="L319" s="2">
        <v>45828</v>
      </c>
    </row>
    <row r="320" spans="1:12">
      <c r="A320" t="s">
        <v>549</v>
      </c>
      <c r="B320" t="s">
        <v>550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 s="8">
        <v>0.87139999999999995</v>
      </c>
      <c r="K320">
        <v>75000</v>
      </c>
      <c r="L320" s="2">
        <v>45863</v>
      </c>
    </row>
    <row r="321" spans="1:12">
      <c r="A321" t="s">
        <v>551</v>
      </c>
      <c r="B321" t="s">
        <v>552</v>
      </c>
      <c r="C321" t="s">
        <v>19</v>
      </c>
      <c r="D321" t="s">
        <v>20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 s="8">
        <v>0.96179999999999999</v>
      </c>
      <c r="K321">
        <v>85000</v>
      </c>
      <c r="L321" s="2">
        <v>45716</v>
      </c>
    </row>
    <row r="322" spans="1:12">
      <c r="A322" t="s">
        <v>553</v>
      </c>
      <c r="B322" t="s">
        <v>175</v>
      </c>
      <c r="C322" t="s">
        <v>14</v>
      </c>
      <c r="D322" t="s">
        <v>32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 s="8">
        <v>0.55000000000000004</v>
      </c>
      <c r="K322">
        <v>50000</v>
      </c>
      <c r="L322" s="2">
        <v>45798</v>
      </c>
    </row>
    <row r="323" spans="1:12">
      <c r="A323" t="s">
        <v>554</v>
      </c>
      <c r="B323" t="s">
        <v>555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 s="8">
        <v>0.67400000000000004</v>
      </c>
      <c r="K323">
        <v>60000</v>
      </c>
      <c r="L323" s="2">
        <v>45887</v>
      </c>
    </row>
    <row r="324" spans="1:12">
      <c r="A324" t="s">
        <v>556</v>
      </c>
      <c r="B324" t="s">
        <v>557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 s="8">
        <v>0.8901</v>
      </c>
      <c r="K324">
        <v>110000</v>
      </c>
      <c r="L324" s="2">
        <v>45570</v>
      </c>
    </row>
    <row r="325" spans="1:12">
      <c r="A325" t="s">
        <v>558</v>
      </c>
      <c r="B325" t="s">
        <v>182</v>
      </c>
      <c r="C325" t="s">
        <v>19</v>
      </c>
      <c r="D325" t="s">
        <v>36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 s="8">
        <v>0.66690000000000005</v>
      </c>
      <c r="K325">
        <v>90000</v>
      </c>
      <c r="L325" s="2">
        <v>45642</v>
      </c>
    </row>
    <row r="326" spans="1:12">
      <c r="A326" t="s">
        <v>559</v>
      </c>
      <c r="B326" t="s">
        <v>79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 s="8">
        <v>0.92649999999999999</v>
      </c>
      <c r="K326">
        <v>90000</v>
      </c>
      <c r="L326" s="2">
        <v>46072</v>
      </c>
    </row>
    <row r="327" spans="1:12">
      <c r="A327" t="s">
        <v>560</v>
      </c>
      <c r="B327" t="s">
        <v>69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 s="8">
        <v>0.9254</v>
      </c>
      <c r="K327">
        <v>130000</v>
      </c>
      <c r="L327" s="2">
        <v>45782</v>
      </c>
    </row>
    <row r="328" spans="1:12">
      <c r="A328" t="s">
        <v>561</v>
      </c>
      <c r="B328" t="s">
        <v>562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 s="8">
        <v>0.89339999999999997</v>
      </c>
      <c r="K328">
        <v>70000</v>
      </c>
      <c r="L328" s="2">
        <v>45961</v>
      </c>
    </row>
    <row r="329" spans="1:12">
      <c r="A329" t="s">
        <v>563</v>
      </c>
      <c r="B329" t="s">
        <v>564</v>
      </c>
      <c r="C329" t="s">
        <v>14</v>
      </c>
      <c r="D329" t="s">
        <v>53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 s="8">
        <v>0.80220000000000002</v>
      </c>
      <c r="K329">
        <v>120000</v>
      </c>
      <c r="L329" s="2">
        <v>45932</v>
      </c>
    </row>
    <row r="330" spans="1:12">
      <c r="A330" t="s">
        <v>565</v>
      </c>
      <c r="B330" t="s">
        <v>382</v>
      </c>
      <c r="C330" t="s">
        <v>14</v>
      </c>
      <c r="D330" t="s">
        <v>53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 s="8">
        <v>0.67269999999999996</v>
      </c>
      <c r="K330">
        <v>75000</v>
      </c>
      <c r="L330" s="2">
        <v>45921</v>
      </c>
    </row>
    <row r="331" spans="1:12">
      <c r="A331" t="s">
        <v>566</v>
      </c>
      <c r="B331" t="s">
        <v>552</v>
      </c>
      <c r="C331" t="s">
        <v>19</v>
      </c>
      <c r="D331" t="s">
        <v>36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 s="8">
        <v>0.85360000000000003</v>
      </c>
      <c r="K331">
        <v>130000</v>
      </c>
      <c r="L331" s="2">
        <v>45825</v>
      </c>
    </row>
    <row r="332" spans="1:12">
      <c r="A332" t="s">
        <v>567</v>
      </c>
      <c r="B332" t="s">
        <v>270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 s="8">
        <v>0.78349999999999997</v>
      </c>
      <c r="K332">
        <v>110000</v>
      </c>
      <c r="L332" s="2">
        <v>45874</v>
      </c>
    </row>
    <row r="333" spans="1:12">
      <c r="A333" t="s">
        <v>568</v>
      </c>
      <c r="B333" t="s">
        <v>453</v>
      </c>
      <c r="C333" t="s">
        <v>14</v>
      </c>
      <c r="D333" t="s">
        <v>15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 s="8">
        <v>0.83299999999999996</v>
      </c>
      <c r="K333">
        <v>70000</v>
      </c>
      <c r="L333" s="2">
        <v>46112</v>
      </c>
    </row>
    <row r="334" spans="1:12">
      <c r="A334" t="s">
        <v>569</v>
      </c>
      <c r="B334" t="s">
        <v>220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 s="8">
        <v>0.95879999999999999</v>
      </c>
      <c r="K334">
        <v>70000</v>
      </c>
      <c r="L334" s="2">
        <v>46211</v>
      </c>
    </row>
    <row r="335" spans="1:12">
      <c r="A335" t="s">
        <v>570</v>
      </c>
      <c r="B335" t="s">
        <v>111</v>
      </c>
      <c r="C335" t="s">
        <v>19</v>
      </c>
      <c r="D335" t="s">
        <v>53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 s="8">
        <v>0.95950000000000002</v>
      </c>
      <c r="K335">
        <v>85000</v>
      </c>
      <c r="L335" s="2">
        <v>45715</v>
      </c>
    </row>
    <row r="336" spans="1:12">
      <c r="A336" t="s">
        <v>571</v>
      </c>
      <c r="B336" t="s">
        <v>320</v>
      </c>
      <c r="C336" t="s">
        <v>14</v>
      </c>
      <c r="D336" t="s">
        <v>53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 s="8">
        <v>0.93059999999999998</v>
      </c>
      <c r="K336">
        <v>85000</v>
      </c>
      <c r="L336" s="2">
        <v>46004</v>
      </c>
    </row>
    <row r="337" spans="1:12">
      <c r="A337" t="s">
        <v>572</v>
      </c>
      <c r="B337" t="s">
        <v>477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 s="8">
        <v>0.84789999999999999</v>
      </c>
      <c r="K337">
        <v>70000</v>
      </c>
      <c r="L337" s="2">
        <v>46214</v>
      </c>
    </row>
    <row r="338" spans="1:12">
      <c r="A338" t="s">
        <v>573</v>
      </c>
      <c r="B338" t="s">
        <v>485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 s="8">
        <v>0.8589</v>
      </c>
      <c r="K338">
        <v>70000</v>
      </c>
      <c r="L338" s="2">
        <v>45541</v>
      </c>
    </row>
    <row r="339" spans="1:12">
      <c r="A339" t="s">
        <v>574</v>
      </c>
      <c r="B339" t="s">
        <v>575</v>
      </c>
      <c r="C339" t="s">
        <v>14</v>
      </c>
      <c r="D339" t="s">
        <v>36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 s="8">
        <v>0.73309999999999997</v>
      </c>
      <c r="K339">
        <v>120000</v>
      </c>
      <c r="L339" s="2">
        <v>46085</v>
      </c>
    </row>
    <row r="340" spans="1:12">
      <c r="A340" t="s">
        <v>576</v>
      </c>
      <c r="B340" t="s">
        <v>170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 s="8">
        <v>0.80679999999999996</v>
      </c>
      <c r="K340">
        <v>110000</v>
      </c>
      <c r="L340" s="2">
        <v>45883</v>
      </c>
    </row>
    <row r="341" spans="1:12">
      <c r="A341" t="s">
        <v>577</v>
      </c>
      <c r="B341" t="s">
        <v>578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 s="8">
        <v>0.95840000000000003</v>
      </c>
      <c r="K341">
        <v>70000</v>
      </c>
      <c r="L341" s="2">
        <v>46213</v>
      </c>
    </row>
    <row r="342" spans="1:12">
      <c r="A342" t="s">
        <v>579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 s="8">
        <v>0.93799999999999994</v>
      </c>
      <c r="K342">
        <v>100000</v>
      </c>
      <c r="L342" s="2">
        <v>45940</v>
      </c>
    </row>
    <row r="343" spans="1:12">
      <c r="A343" t="s">
        <v>580</v>
      </c>
      <c r="B343" t="s">
        <v>581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 s="8">
        <v>0.81640000000000001</v>
      </c>
      <c r="K343">
        <v>60000</v>
      </c>
      <c r="L343" s="2">
        <v>46122</v>
      </c>
    </row>
    <row r="344" spans="1:12">
      <c r="A344" t="s">
        <v>582</v>
      </c>
      <c r="B344" t="s">
        <v>243</v>
      </c>
      <c r="C344" t="s">
        <v>19</v>
      </c>
      <c r="D344" t="s">
        <v>20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 s="8">
        <v>0.67269999999999996</v>
      </c>
      <c r="K344">
        <v>80000</v>
      </c>
      <c r="L344" s="2">
        <v>45652</v>
      </c>
    </row>
    <row r="345" spans="1:12">
      <c r="A345" t="s">
        <v>583</v>
      </c>
      <c r="B345" t="s">
        <v>539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 s="8">
        <v>0.82779999999999998</v>
      </c>
      <c r="K345">
        <v>50000</v>
      </c>
      <c r="L345" s="2">
        <v>45635</v>
      </c>
    </row>
    <row r="346" spans="1:12">
      <c r="A346" t="s">
        <v>584</v>
      </c>
      <c r="B346" t="s">
        <v>585</v>
      </c>
      <c r="C346" t="s">
        <v>19</v>
      </c>
      <c r="D346" t="s">
        <v>53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 s="8">
        <v>0.79369999999999996</v>
      </c>
      <c r="K346">
        <v>100000</v>
      </c>
      <c r="L346" s="2">
        <v>46184</v>
      </c>
    </row>
    <row r="347" spans="1:12">
      <c r="A347" t="s">
        <v>586</v>
      </c>
      <c r="B347" t="s">
        <v>378</v>
      </c>
      <c r="C347" t="s">
        <v>14</v>
      </c>
      <c r="D347" t="s">
        <v>53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 s="8">
        <v>0.85799999999999998</v>
      </c>
      <c r="K347">
        <v>70000</v>
      </c>
      <c r="L347" s="2">
        <v>45904</v>
      </c>
    </row>
    <row r="348" spans="1:12">
      <c r="A348" t="s">
        <v>587</v>
      </c>
      <c r="B348" t="s">
        <v>310</v>
      </c>
      <c r="C348" t="s">
        <v>19</v>
      </c>
      <c r="D348" t="s">
        <v>36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 s="8">
        <v>0.86880000000000002</v>
      </c>
      <c r="K348">
        <v>70000</v>
      </c>
      <c r="L348" s="2">
        <v>45926</v>
      </c>
    </row>
    <row r="349" spans="1:12">
      <c r="A349" t="s">
        <v>588</v>
      </c>
      <c r="B349" t="s">
        <v>589</v>
      </c>
      <c r="C349" t="s">
        <v>19</v>
      </c>
      <c r="D349" t="s">
        <v>53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 s="8">
        <v>0.80469999999999997</v>
      </c>
      <c r="K349">
        <v>70000</v>
      </c>
      <c r="L349" s="2">
        <v>45654</v>
      </c>
    </row>
    <row r="350" spans="1:12">
      <c r="A350" t="s">
        <v>590</v>
      </c>
      <c r="B350" t="s">
        <v>45</v>
      </c>
      <c r="C350" t="s">
        <v>14</v>
      </c>
      <c r="D350" t="s">
        <v>36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 s="8">
        <v>0.9738</v>
      </c>
      <c r="K350">
        <v>70000</v>
      </c>
      <c r="L350" s="2">
        <v>45694</v>
      </c>
    </row>
    <row r="351" spans="1:12">
      <c r="A351" t="s">
        <v>591</v>
      </c>
      <c r="B351" t="s">
        <v>202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 s="8">
        <v>0.58009999999999995</v>
      </c>
      <c r="K351">
        <v>50000</v>
      </c>
      <c r="L351" s="2">
        <v>46108</v>
      </c>
    </row>
    <row r="352" spans="1:12">
      <c r="A352" t="s">
        <v>592</v>
      </c>
      <c r="B352" t="s">
        <v>479</v>
      </c>
      <c r="C352" t="s">
        <v>19</v>
      </c>
      <c r="D352" t="s">
        <v>53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 s="8">
        <v>0.83930000000000005</v>
      </c>
      <c r="K352">
        <v>90000</v>
      </c>
      <c r="L352" s="2">
        <v>45748</v>
      </c>
    </row>
    <row r="353" spans="1:12">
      <c r="A353" t="s">
        <v>593</v>
      </c>
      <c r="B353" t="s">
        <v>594</v>
      </c>
      <c r="C353" t="s">
        <v>14</v>
      </c>
      <c r="D353" t="s">
        <v>36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 s="8">
        <v>0.85319999999999996</v>
      </c>
      <c r="K353">
        <v>120000</v>
      </c>
      <c r="L353" s="2">
        <v>45944</v>
      </c>
    </row>
    <row r="354" spans="1:12">
      <c r="A354" t="s">
        <v>595</v>
      </c>
      <c r="B354" t="s">
        <v>65</v>
      </c>
      <c r="C354" t="s">
        <v>14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 s="8">
        <v>0.84409999999999996</v>
      </c>
      <c r="K354">
        <v>75000</v>
      </c>
      <c r="L354" s="2">
        <v>45757</v>
      </c>
    </row>
    <row r="355" spans="1:12">
      <c r="A355" t="s">
        <v>596</v>
      </c>
      <c r="B355" t="s">
        <v>378</v>
      </c>
      <c r="C355" t="s">
        <v>14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 s="8">
        <v>0.83609999999999995</v>
      </c>
      <c r="K355">
        <v>110000</v>
      </c>
      <c r="L355" s="2">
        <v>45720</v>
      </c>
    </row>
    <row r="356" spans="1:12">
      <c r="A356" t="s">
        <v>597</v>
      </c>
      <c r="B356" t="s">
        <v>256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 s="8">
        <v>0.82279999999999998</v>
      </c>
      <c r="K356">
        <v>85000</v>
      </c>
      <c r="L356" s="2">
        <v>45652</v>
      </c>
    </row>
    <row r="357" spans="1:12">
      <c r="A357" t="s">
        <v>598</v>
      </c>
      <c r="B357" t="s">
        <v>113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 s="8">
        <v>0.90110000000000001</v>
      </c>
      <c r="K357">
        <v>70000</v>
      </c>
      <c r="L357" s="2">
        <v>46186</v>
      </c>
    </row>
    <row r="358" spans="1:12">
      <c r="A358" t="s">
        <v>599</v>
      </c>
      <c r="B358" t="s">
        <v>600</v>
      </c>
      <c r="C358" t="s">
        <v>14</v>
      </c>
      <c r="D358" t="s">
        <v>32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 s="8">
        <v>0.84319999999999995</v>
      </c>
      <c r="K358">
        <v>50000</v>
      </c>
      <c r="L358" s="2">
        <v>46194</v>
      </c>
    </row>
    <row r="359" spans="1:12">
      <c r="A359" t="s">
        <v>601</v>
      </c>
      <c r="B359" t="s">
        <v>119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 s="8">
        <v>0.94010000000000005</v>
      </c>
      <c r="K359">
        <v>110000</v>
      </c>
      <c r="L359" s="2">
        <v>45616</v>
      </c>
    </row>
    <row r="360" spans="1:12">
      <c r="A360" t="s">
        <v>602</v>
      </c>
      <c r="B360" t="s">
        <v>340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 s="8">
        <v>0.87829999999999997</v>
      </c>
      <c r="K360">
        <v>50000</v>
      </c>
      <c r="L360" s="2">
        <v>45783</v>
      </c>
    </row>
    <row r="361" spans="1:12">
      <c r="A361" t="s">
        <v>603</v>
      </c>
      <c r="B361" t="s">
        <v>146</v>
      </c>
      <c r="C361" t="s">
        <v>19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 s="8">
        <v>0.9587</v>
      </c>
      <c r="K361">
        <v>80000</v>
      </c>
      <c r="L361" s="2">
        <v>45930</v>
      </c>
    </row>
    <row r="362" spans="1:12">
      <c r="A362" t="s">
        <v>604</v>
      </c>
      <c r="B362" t="s">
        <v>233</v>
      </c>
      <c r="C362" t="s">
        <v>19</v>
      </c>
      <c r="D362" t="s">
        <v>32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 s="8">
        <v>0.76790000000000003</v>
      </c>
      <c r="K362">
        <v>50000</v>
      </c>
      <c r="L362" s="2">
        <v>45804</v>
      </c>
    </row>
    <row r="363" spans="1:12">
      <c r="A363" t="s">
        <v>605</v>
      </c>
      <c r="B363" t="s">
        <v>81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 s="8">
        <v>0.80830000000000002</v>
      </c>
      <c r="K363">
        <v>110000</v>
      </c>
      <c r="L363" s="2">
        <v>46040</v>
      </c>
    </row>
    <row r="364" spans="1:12">
      <c r="A364" t="s">
        <v>606</v>
      </c>
      <c r="B364" t="s">
        <v>607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 s="8">
        <v>0.87450000000000006</v>
      </c>
      <c r="K364">
        <v>130000</v>
      </c>
      <c r="L364" s="2">
        <v>45718</v>
      </c>
    </row>
    <row r="365" spans="1:12">
      <c r="A365" t="s">
        <v>608</v>
      </c>
      <c r="B365" t="s">
        <v>464</v>
      </c>
      <c r="C365" t="s">
        <v>19</v>
      </c>
      <c r="D365" t="s">
        <v>20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 s="8">
        <v>0.79049999999999998</v>
      </c>
      <c r="K365">
        <v>75000</v>
      </c>
      <c r="L365" s="2">
        <v>45577</v>
      </c>
    </row>
    <row r="366" spans="1:12">
      <c r="A366" t="s">
        <v>609</v>
      </c>
      <c r="B366" t="s">
        <v>357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 s="8">
        <v>0.75980000000000003</v>
      </c>
      <c r="K366">
        <v>75000</v>
      </c>
      <c r="L366" s="2">
        <v>45771</v>
      </c>
    </row>
    <row r="367" spans="1:12">
      <c r="A367" t="s">
        <v>610</v>
      </c>
      <c r="B367" t="s">
        <v>611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 s="8">
        <v>0.80969999999999998</v>
      </c>
      <c r="K367">
        <v>90000</v>
      </c>
      <c r="L367" s="2">
        <v>45954</v>
      </c>
    </row>
    <row r="368" spans="1:12">
      <c r="A368" t="s">
        <v>612</v>
      </c>
      <c r="B368" t="s">
        <v>600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 s="8">
        <v>0.8569</v>
      </c>
      <c r="K368">
        <v>85000</v>
      </c>
      <c r="L368" s="2">
        <v>45662</v>
      </c>
    </row>
    <row r="369" spans="1:12">
      <c r="A369" t="s">
        <v>613</v>
      </c>
      <c r="B369" t="s">
        <v>65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 s="8">
        <v>0.93240000000000001</v>
      </c>
      <c r="K369">
        <v>80000</v>
      </c>
      <c r="L369" s="2">
        <v>46107</v>
      </c>
    </row>
    <row r="370" spans="1:12">
      <c r="A370" t="s">
        <v>614</v>
      </c>
      <c r="B370" t="s">
        <v>188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 s="8">
        <v>0.72989999999999999</v>
      </c>
      <c r="K370">
        <v>80000</v>
      </c>
      <c r="L370" s="2">
        <v>45544</v>
      </c>
    </row>
    <row r="371" spans="1:12">
      <c r="A371" t="s">
        <v>615</v>
      </c>
      <c r="B371" t="s">
        <v>272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 s="8">
        <v>0.98099999999999998</v>
      </c>
      <c r="K371">
        <v>70000</v>
      </c>
      <c r="L371" s="2">
        <v>45583</v>
      </c>
    </row>
    <row r="372" spans="1:12">
      <c r="A372" t="s">
        <v>616</v>
      </c>
      <c r="B372" t="s">
        <v>194</v>
      </c>
      <c r="C372" t="s">
        <v>14</v>
      </c>
      <c r="D372" t="s">
        <v>28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 s="8">
        <v>0.66879999999999995</v>
      </c>
      <c r="K372">
        <v>70000</v>
      </c>
      <c r="L372" s="2">
        <v>45892</v>
      </c>
    </row>
    <row r="373" spans="1:12">
      <c r="A373" t="s">
        <v>617</v>
      </c>
      <c r="B373" t="s">
        <v>618</v>
      </c>
      <c r="C373" t="s">
        <v>19</v>
      </c>
      <c r="D373" t="s">
        <v>53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 s="8">
        <v>0.88249999999999995</v>
      </c>
      <c r="K373">
        <v>90000</v>
      </c>
      <c r="L373" s="2">
        <v>45894</v>
      </c>
    </row>
    <row r="374" spans="1:12">
      <c r="A374" t="s">
        <v>619</v>
      </c>
      <c r="B374" t="s">
        <v>620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 s="8">
        <v>0.69179999999999997</v>
      </c>
      <c r="K374">
        <v>110000</v>
      </c>
      <c r="L374" s="2">
        <v>45742</v>
      </c>
    </row>
    <row r="375" spans="1:12">
      <c r="A375" t="s">
        <v>621</v>
      </c>
      <c r="B375" t="s">
        <v>444</v>
      </c>
      <c r="C375" t="s">
        <v>14</v>
      </c>
      <c r="D375" t="s">
        <v>53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 s="8">
        <v>0.89070000000000005</v>
      </c>
      <c r="K375">
        <v>110000</v>
      </c>
      <c r="L375" s="2">
        <v>45716</v>
      </c>
    </row>
    <row r="376" spans="1:12">
      <c r="A376" t="s">
        <v>622</v>
      </c>
      <c r="B376" t="s">
        <v>623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 s="8">
        <v>0.64280000000000004</v>
      </c>
      <c r="K376">
        <v>85000</v>
      </c>
      <c r="L376" s="2">
        <v>45584</v>
      </c>
    </row>
    <row r="377" spans="1:12">
      <c r="A377" t="s">
        <v>624</v>
      </c>
      <c r="B377" t="s">
        <v>625</v>
      </c>
      <c r="C377" t="s">
        <v>14</v>
      </c>
      <c r="D377" t="s">
        <v>36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 s="8">
        <v>0.95150000000000001</v>
      </c>
      <c r="K377">
        <v>110000</v>
      </c>
      <c r="L377" s="2">
        <v>46000</v>
      </c>
    </row>
    <row r="378" spans="1:12">
      <c r="A378" t="s">
        <v>626</v>
      </c>
      <c r="B378" t="s">
        <v>627</v>
      </c>
      <c r="C378" t="s">
        <v>19</v>
      </c>
      <c r="D378" t="s">
        <v>28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 s="8">
        <v>0.90229999999999999</v>
      </c>
      <c r="K378">
        <v>90000</v>
      </c>
      <c r="L378" s="2">
        <v>45801</v>
      </c>
    </row>
    <row r="379" spans="1:12">
      <c r="A379" t="s">
        <v>628</v>
      </c>
      <c r="B379" t="s">
        <v>589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 s="8">
        <v>0.84560000000000002</v>
      </c>
      <c r="K379">
        <v>75000</v>
      </c>
      <c r="L379" s="2">
        <v>45619</v>
      </c>
    </row>
    <row r="380" spans="1:12">
      <c r="A380" t="s">
        <v>629</v>
      </c>
      <c r="B380" t="s">
        <v>630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 s="8">
        <v>0.96209999999999996</v>
      </c>
      <c r="K380">
        <v>75000</v>
      </c>
      <c r="L380" s="2">
        <v>45815</v>
      </c>
    </row>
    <row r="381" spans="1:12">
      <c r="A381" t="s">
        <v>631</v>
      </c>
      <c r="B381" t="s">
        <v>632</v>
      </c>
      <c r="C381" t="s">
        <v>14</v>
      </c>
      <c r="D381" t="s">
        <v>36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 s="8">
        <v>0.67779999999999996</v>
      </c>
      <c r="K381">
        <v>85000</v>
      </c>
      <c r="L381" s="2">
        <v>46191</v>
      </c>
    </row>
    <row r="382" spans="1:12">
      <c r="A382" t="s">
        <v>633</v>
      </c>
      <c r="B382" t="s">
        <v>135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 s="8">
        <v>0.9073</v>
      </c>
      <c r="K382">
        <v>75000</v>
      </c>
      <c r="L382" s="2">
        <v>45718</v>
      </c>
    </row>
    <row r="383" spans="1:12">
      <c r="A383" t="s">
        <v>634</v>
      </c>
      <c r="B383" t="s">
        <v>509</v>
      </c>
      <c r="C383" t="s">
        <v>19</v>
      </c>
      <c r="D383" t="s">
        <v>36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 s="8">
        <v>0.65949999999999998</v>
      </c>
      <c r="K383">
        <v>110000</v>
      </c>
      <c r="L383" s="2">
        <v>46162</v>
      </c>
    </row>
    <row r="384" spans="1:12">
      <c r="A384" t="s">
        <v>635</v>
      </c>
      <c r="B384" t="s">
        <v>636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 s="8">
        <v>0.80689999999999995</v>
      </c>
      <c r="K384">
        <v>70000</v>
      </c>
      <c r="L384" s="2">
        <v>45717</v>
      </c>
    </row>
    <row r="385" spans="1:12">
      <c r="A385" t="s">
        <v>637</v>
      </c>
      <c r="B385" t="s">
        <v>75</v>
      </c>
      <c r="C385" t="s">
        <v>14</v>
      </c>
      <c r="D385" t="s">
        <v>28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 s="8">
        <v>0.87890000000000001</v>
      </c>
      <c r="K385">
        <v>50000</v>
      </c>
      <c r="L385" s="2">
        <v>45666</v>
      </c>
    </row>
    <row r="386" spans="1:12">
      <c r="A386" t="s">
        <v>638</v>
      </c>
      <c r="B386" t="s">
        <v>157</v>
      </c>
      <c r="C386" t="s">
        <v>14</v>
      </c>
      <c r="D386" t="s">
        <v>28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 s="8">
        <v>0.73029999999999995</v>
      </c>
      <c r="K386">
        <v>85000</v>
      </c>
      <c r="L386" s="2">
        <v>45718</v>
      </c>
    </row>
    <row r="387" spans="1:12">
      <c r="A387" t="s">
        <v>639</v>
      </c>
      <c r="B387" t="s">
        <v>640</v>
      </c>
      <c r="C387" t="s">
        <v>14</v>
      </c>
      <c r="D387" t="s">
        <v>36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 s="8">
        <v>0.9486</v>
      </c>
      <c r="K387">
        <v>50000</v>
      </c>
      <c r="L387" s="2">
        <v>45762</v>
      </c>
    </row>
    <row r="388" spans="1:12">
      <c r="A388" t="s">
        <v>641</v>
      </c>
      <c r="B388" t="s">
        <v>248</v>
      </c>
      <c r="C388" t="s">
        <v>14</v>
      </c>
      <c r="D388" t="s">
        <v>36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 s="8">
        <v>0.60780000000000001</v>
      </c>
      <c r="K388">
        <v>70000</v>
      </c>
      <c r="L388" s="2">
        <v>45620</v>
      </c>
    </row>
    <row r="389" spans="1:12">
      <c r="A389" t="s">
        <v>642</v>
      </c>
      <c r="B389" t="s">
        <v>552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 s="8">
        <v>0.86929999999999996</v>
      </c>
      <c r="K389">
        <v>80000</v>
      </c>
      <c r="L389" s="2">
        <v>45947</v>
      </c>
    </row>
    <row r="390" spans="1:12">
      <c r="A390" t="s">
        <v>643</v>
      </c>
      <c r="B390" t="s">
        <v>262</v>
      </c>
      <c r="C390" t="s">
        <v>19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 s="8">
        <v>0.9224</v>
      </c>
      <c r="K390">
        <v>50000</v>
      </c>
      <c r="L390" s="2">
        <v>45769</v>
      </c>
    </row>
    <row r="391" spans="1:12">
      <c r="A391" t="s">
        <v>644</v>
      </c>
      <c r="B391" t="s">
        <v>370</v>
      </c>
      <c r="C391" t="s">
        <v>14</v>
      </c>
      <c r="D391" t="s">
        <v>53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 s="8">
        <v>0.78449999999999998</v>
      </c>
      <c r="K391">
        <v>70000</v>
      </c>
      <c r="L391" s="2">
        <v>46038</v>
      </c>
    </row>
    <row r="392" spans="1:12">
      <c r="A392" t="s">
        <v>645</v>
      </c>
      <c r="B392" t="s">
        <v>646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 s="8">
        <v>0.92059999999999997</v>
      </c>
      <c r="K392">
        <v>85000</v>
      </c>
      <c r="L392" s="2">
        <v>45879</v>
      </c>
    </row>
    <row r="393" spans="1:12">
      <c r="A393" t="s">
        <v>647</v>
      </c>
      <c r="B393" t="s">
        <v>202</v>
      </c>
      <c r="C393" t="s">
        <v>14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 s="8">
        <v>0.82630000000000003</v>
      </c>
      <c r="K393">
        <v>80000</v>
      </c>
      <c r="L393" s="2">
        <v>45845</v>
      </c>
    </row>
    <row r="394" spans="1:12">
      <c r="A394" t="s">
        <v>648</v>
      </c>
      <c r="B394" t="s">
        <v>649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 s="8">
        <v>0.94930000000000003</v>
      </c>
      <c r="K394">
        <v>120000</v>
      </c>
      <c r="L394" s="2">
        <v>45865</v>
      </c>
    </row>
    <row r="395" spans="1:12">
      <c r="A395" t="s">
        <v>650</v>
      </c>
      <c r="B395" t="s">
        <v>651</v>
      </c>
      <c r="C395" t="s">
        <v>19</v>
      </c>
      <c r="D395" t="s">
        <v>53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 s="8">
        <v>0.55000000000000004</v>
      </c>
      <c r="K395">
        <v>60000</v>
      </c>
      <c r="L395" s="2">
        <v>45645</v>
      </c>
    </row>
    <row r="396" spans="1:12">
      <c r="A396" t="s">
        <v>652</v>
      </c>
      <c r="B396" t="s">
        <v>653</v>
      </c>
      <c r="C396" t="s">
        <v>19</v>
      </c>
      <c r="D396" t="s">
        <v>36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 s="8">
        <v>0.89339999999999997</v>
      </c>
      <c r="K396">
        <v>100000</v>
      </c>
      <c r="L396" s="2">
        <v>46035</v>
      </c>
    </row>
    <row r="397" spans="1:12">
      <c r="A397" t="s">
        <v>654</v>
      </c>
      <c r="B397" t="s">
        <v>655</v>
      </c>
      <c r="C397" t="s">
        <v>19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 s="8">
        <v>0.95520000000000005</v>
      </c>
      <c r="K397">
        <v>90000</v>
      </c>
      <c r="L397" s="2">
        <v>45608</v>
      </c>
    </row>
    <row r="398" spans="1:12">
      <c r="A398" t="s">
        <v>656</v>
      </c>
      <c r="B398" t="s">
        <v>657</v>
      </c>
      <c r="C398" t="s">
        <v>14</v>
      </c>
      <c r="D398" t="s">
        <v>28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 s="8">
        <v>0.81210000000000004</v>
      </c>
      <c r="K398">
        <v>100000</v>
      </c>
      <c r="L398" s="2">
        <v>46041</v>
      </c>
    </row>
    <row r="399" spans="1:12">
      <c r="A399" t="s">
        <v>658</v>
      </c>
      <c r="B399" t="s">
        <v>659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 s="8">
        <v>0.86140000000000005</v>
      </c>
      <c r="K399">
        <v>100000</v>
      </c>
      <c r="L399" s="2">
        <v>46235</v>
      </c>
    </row>
    <row r="400" spans="1:12">
      <c r="A400" t="s">
        <v>660</v>
      </c>
      <c r="B400" t="s">
        <v>514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 s="8">
        <v>0.76500000000000001</v>
      </c>
      <c r="K400">
        <v>50000</v>
      </c>
      <c r="L400" s="2">
        <v>46070</v>
      </c>
    </row>
    <row r="401" spans="1:12">
      <c r="A401" t="s">
        <v>661</v>
      </c>
      <c r="B401" t="s">
        <v>662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 s="8">
        <v>0.94640000000000002</v>
      </c>
      <c r="K401">
        <v>110000</v>
      </c>
      <c r="L401" s="2">
        <v>45854</v>
      </c>
    </row>
    <row r="402" spans="1:12">
      <c r="A402" t="s">
        <v>663</v>
      </c>
      <c r="B402" t="s">
        <v>79</v>
      </c>
      <c r="C402" t="s">
        <v>19</v>
      </c>
      <c r="D402" t="s">
        <v>36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 s="8">
        <v>0.96989999999999998</v>
      </c>
      <c r="K402">
        <v>75000</v>
      </c>
      <c r="L402" s="2">
        <v>45756</v>
      </c>
    </row>
    <row r="403" spans="1:12">
      <c r="A403" t="s">
        <v>664</v>
      </c>
      <c r="B403" t="s">
        <v>362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 s="8">
        <v>0.84499999999999997</v>
      </c>
      <c r="K403">
        <v>100000</v>
      </c>
      <c r="L403" s="2">
        <v>46146</v>
      </c>
    </row>
    <row r="404" spans="1:12">
      <c r="A404" t="s">
        <v>665</v>
      </c>
      <c r="B404" t="s">
        <v>258</v>
      </c>
      <c r="C404" t="s">
        <v>14</v>
      </c>
      <c r="D404" t="s">
        <v>36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 s="8">
        <v>0.91410000000000002</v>
      </c>
      <c r="K404">
        <v>75000</v>
      </c>
      <c r="L404" s="2">
        <v>45716</v>
      </c>
    </row>
    <row r="405" spans="1:12">
      <c r="A405" t="s">
        <v>666</v>
      </c>
      <c r="B405" t="s">
        <v>667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 s="8">
        <v>0.66739999999999999</v>
      </c>
      <c r="K405">
        <v>80000</v>
      </c>
      <c r="L405" s="2">
        <v>45873</v>
      </c>
    </row>
    <row r="406" spans="1:12">
      <c r="A406" t="s">
        <v>668</v>
      </c>
      <c r="B406" t="s">
        <v>669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 s="8">
        <v>0.80230000000000001</v>
      </c>
      <c r="K406">
        <v>100000</v>
      </c>
      <c r="L406" s="2">
        <v>46075</v>
      </c>
    </row>
    <row r="407" spans="1:12">
      <c r="A407" t="s">
        <v>670</v>
      </c>
      <c r="B407" t="s">
        <v>671</v>
      </c>
      <c r="C407" t="s">
        <v>19</v>
      </c>
      <c r="D407" t="s">
        <v>53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 s="8">
        <v>0.92069999999999996</v>
      </c>
      <c r="K407">
        <v>130000</v>
      </c>
      <c r="L407" s="2">
        <v>46181</v>
      </c>
    </row>
    <row r="408" spans="1:12">
      <c r="A408" t="s">
        <v>672</v>
      </c>
      <c r="B408" t="s">
        <v>337</v>
      </c>
      <c r="C408" t="s">
        <v>14</v>
      </c>
      <c r="D408" t="s">
        <v>36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 s="8">
        <v>0.87849999999999995</v>
      </c>
      <c r="K408">
        <v>120000</v>
      </c>
      <c r="L408" s="2">
        <v>46180</v>
      </c>
    </row>
    <row r="409" spans="1:12">
      <c r="A409" t="s">
        <v>673</v>
      </c>
      <c r="B409" t="s">
        <v>291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 s="8">
        <v>0.66169999999999995</v>
      </c>
      <c r="K409">
        <v>100000</v>
      </c>
      <c r="L409" s="2">
        <v>45597</v>
      </c>
    </row>
    <row r="410" spans="1:12">
      <c r="A410" t="s">
        <v>674</v>
      </c>
      <c r="B410" t="s">
        <v>675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 s="8">
        <v>0.86729999999999996</v>
      </c>
      <c r="K410">
        <v>85000</v>
      </c>
      <c r="L410" s="2">
        <v>46164</v>
      </c>
    </row>
    <row r="411" spans="1:12">
      <c r="A411" t="s">
        <v>676</v>
      </c>
      <c r="B411" t="s">
        <v>417</v>
      </c>
      <c r="C411" t="s">
        <v>14</v>
      </c>
      <c r="D411" t="s">
        <v>15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 s="8">
        <v>0.80100000000000005</v>
      </c>
      <c r="K411">
        <v>85000</v>
      </c>
      <c r="L411" s="2">
        <v>45615</v>
      </c>
    </row>
    <row r="412" spans="1:12">
      <c r="A412" t="s">
        <v>677</v>
      </c>
      <c r="B412" t="s">
        <v>564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 s="8">
        <v>0.77969999999999995</v>
      </c>
      <c r="K412">
        <v>130000</v>
      </c>
      <c r="L412" s="2">
        <v>45945</v>
      </c>
    </row>
    <row r="413" spans="1:12">
      <c r="A413" t="s">
        <v>678</v>
      </c>
      <c r="B413" t="s">
        <v>679</v>
      </c>
      <c r="C413" t="s">
        <v>14</v>
      </c>
      <c r="D413" t="s">
        <v>53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 s="8">
        <v>0.6956</v>
      </c>
      <c r="K413">
        <v>70000</v>
      </c>
      <c r="L413" s="2">
        <v>46186</v>
      </c>
    </row>
    <row r="414" spans="1:12">
      <c r="A414" t="s">
        <v>680</v>
      </c>
      <c r="B414" t="s">
        <v>555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 s="8">
        <v>0.95930000000000004</v>
      </c>
      <c r="K414">
        <v>130000</v>
      </c>
      <c r="L414" s="2">
        <v>45994</v>
      </c>
    </row>
    <row r="415" spans="1:12">
      <c r="A415" t="s">
        <v>681</v>
      </c>
      <c r="B415" t="s">
        <v>117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 s="8">
        <v>0.72550000000000003</v>
      </c>
      <c r="K415">
        <v>100000</v>
      </c>
      <c r="L415" s="2">
        <v>46199</v>
      </c>
    </row>
    <row r="416" spans="1:12">
      <c r="A416" t="s">
        <v>682</v>
      </c>
      <c r="B416" t="s">
        <v>683</v>
      </c>
      <c r="C416" t="s">
        <v>14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 s="8">
        <v>0.77539999999999998</v>
      </c>
      <c r="K416">
        <v>90000</v>
      </c>
      <c r="L416" s="2">
        <v>45777</v>
      </c>
    </row>
    <row r="417" spans="1:12">
      <c r="A417" t="s">
        <v>684</v>
      </c>
      <c r="B417" t="s">
        <v>148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 s="8">
        <v>0.80400000000000005</v>
      </c>
      <c r="K417">
        <v>90000</v>
      </c>
      <c r="L417" s="2">
        <v>45756</v>
      </c>
    </row>
    <row r="418" spans="1:12">
      <c r="A418" t="s">
        <v>685</v>
      </c>
      <c r="B418" t="s">
        <v>346</v>
      </c>
      <c r="C418" t="s">
        <v>19</v>
      </c>
      <c r="D418" t="s">
        <v>36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 s="8">
        <v>0.88229999999999997</v>
      </c>
      <c r="K418">
        <v>110000</v>
      </c>
      <c r="L418" s="2">
        <v>45764</v>
      </c>
    </row>
    <row r="419" spans="1:12">
      <c r="A419" t="s">
        <v>686</v>
      </c>
      <c r="B419" t="s">
        <v>251</v>
      </c>
      <c r="C419" t="s">
        <v>14</v>
      </c>
      <c r="D419" t="s">
        <v>32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 s="8">
        <v>0.61419999999999997</v>
      </c>
      <c r="K419">
        <v>100000</v>
      </c>
      <c r="L419" s="2">
        <v>45784</v>
      </c>
    </row>
    <row r="420" spans="1:12">
      <c r="A420" t="s">
        <v>687</v>
      </c>
      <c r="B420" t="s">
        <v>372</v>
      </c>
      <c r="C420" t="s">
        <v>14</v>
      </c>
      <c r="D420" t="s">
        <v>28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 s="8">
        <v>0.75819999999999999</v>
      </c>
      <c r="K420">
        <v>60000</v>
      </c>
      <c r="L420" s="2">
        <v>46013</v>
      </c>
    </row>
    <row r="421" spans="1:12">
      <c r="A421" t="s">
        <v>688</v>
      </c>
      <c r="B421" t="s">
        <v>270</v>
      </c>
      <c r="C421" t="s">
        <v>19</v>
      </c>
      <c r="D421" t="s">
        <v>20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 s="8">
        <v>0.89410000000000001</v>
      </c>
      <c r="K421">
        <v>110000</v>
      </c>
      <c r="L421" s="2">
        <v>45852</v>
      </c>
    </row>
    <row r="422" spans="1:12">
      <c r="A422" t="s">
        <v>689</v>
      </c>
      <c r="B422" t="s">
        <v>690</v>
      </c>
      <c r="C422" t="s">
        <v>19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 s="8">
        <v>0.6915</v>
      </c>
      <c r="K422">
        <v>110000</v>
      </c>
      <c r="L422" s="2">
        <v>46052</v>
      </c>
    </row>
    <row r="423" spans="1:12">
      <c r="A423" t="s">
        <v>691</v>
      </c>
      <c r="B423" t="s">
        <v>477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 s="8">
        <v>0.8911</v>
      </c>
      <c r="K423">
        <v>130000</v>
      </c>
      <c r="L423" s="2">
        <v>45827</v>
      </c>
    </row>
    <row r="424" spans="1:12">
      <c r="A424" t="s">
        <v>692</v>
      </c>
      <c r="B424" t="s">
        <v>655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 s="8">
        <v>0.83109999999999995</v>
      </c>
      <c r="K424">
        <v>130000</v>
      </c>
      <c r="L424" s="2">
        <v>45751</v>
      </c>
    </row>
    <row r="425" spans="1:12">
      <c r="A425" t="s">
        <v>693</v>
      </c>
      <c r="B425" t="s">
        <v>455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 s="8">
        <v>0.75629999999999997</v>
      </c>
      <c r="K425">
        <v>130000</v>
      </c>
      <c r="L425" s="2">
        <v>45669</v>
      </c>
    </row>
    <row r="426" spans="1:12">
      <c r="A426" t="s">
        <v>694</v>
      </c>
      <c r="B426" t="s">
        <v>555</v>
      </c>
      <c r="C426" t="s">
        <v>14</v>
      </c>
      <c r="D426" t="s">
        <v>32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 s="8">
        <v>0.61680000000000001</v>
      </c>
      <c r="K426">
        <v>50000</v>
      </c>
      <c r="L426" s="2">
        <v>45921</v>
      </c>
    </row>
    <row r="427" spans="1:12">
      <c r="A427" t="s">
        <v>695</v>
      </c>
      <c r="B427" t="s">
        <v>264</v>
      </c>
      <c r="C427" t="s">
        <v>14</v>
      </c>
      <c r="D427" t="s">
        <v>53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 s="8">
        <v>0.90069999999999995</v>
      </c>
      <c r="K427">
        <v>90000</v>
      </c>
      <c r="L427" s="2">
        <v>46164</v>
      </c>
    </row>
    <row r="428" spans="1:12">
      <c r="A428" t="s">
        <v>696</v>
      </c>
      <c r="B428" t="s">
        <v>697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 s="8">
        <v>0.89200000000000002</v>
      </c>
      <c r="K428">
        <v>130000</v>
      </c>
      <c r="L428" s="2">
        <v>46137</v>
      </c>
    </row>
    <row r="429" spans="1:12">
      <c r="A429" t="s">
        <v>698</v>
      </c>
      <c r="B429" t="s">
        <v>699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 s="8">
        <v>0.89590000000000003</v>
      </c>
      <c r="K429">
        <v>130000</v>
      </c>
      <c r="L429" s="2">
        <v>45713</v>
      </c>
    </row>
    <row r="430" spans="1:12">
      <c r="A430" t="s">
        <v>700</v>
      </c>
      <c r="B430" t="s">
        <v>258</v>
      </c>
      <c r="C430" t="s">
        <v>14</v>
      </c>
      <c r="D430" t="s">
        <v>36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 s="8">
        <v>0.74160000000000004</v>
      </c>
      <c r="K430">
        <v>90000</v>
      </c>
      <c r="L430" s="2">
        <v>45870</v>
      </c>
    </row>
    <row r="431" spans="1:12">
      <c r="A431" t="s">
        <v>701</v>
      </c>
      <c r="B431" t="s">
        <v>380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 s="8">
        <v>0.626</v>
      </c>
      <c r="K431">
        <v>130000</v>
      </c>
      <c r="L431" s="2">
        <v>46029</v>
      </c>
    </row>
    <row r="432" spans="1:12">
      <c r="A432" t="s">
        <v>702</v>
      </c>
      <c r="B432" t="s">
        <v>467</v>
      </c>
      <c r="C432" t="s">
        <v>14</v>
      </c>
      <c r="D432" t="s">
        <v>15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 s="8">
        <v>0.67689999999999995</v>
      </c>
      <c r="K432">
        <v>120000</v>
      </c>
      <c r="L432" s="2">
        <v>45964</v>
      </c>
    </row>
    <row r="433" spans="1:12">
      <c r="A433" t="s">
        <v>703</v>
      </c>
      <c r="B433" t="s">
        <v>412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 s="8">
        <v>0.76980000000000004</v>
      </c>
      <c r="K433">
        <v>50000</v>
      </c>
      <c r="L433" s="2">
        <v>45583</v>
      </c>
    </row>
    <row r="434" spans="1:12">
      <c r="A434" t="s">
        <v>704</v>
      </c>
      <c r="B434" t="s">
        <v>412</v>
      </c>
      <c r="C434" t="s">
        <v>19</v>
      </c>
      <c r="D434" t="s">
        <v>32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 s="8">
        <v>0.55000000000000004</v>
      </c>
      <c r="K434">
        <v>120000</v>
      </c>
      <c r="L434" s="2">
        <v>45949</v>
      </c>
    </row>
    <row r="435" spans="1:12">
      <c r="A435" t="s">
        <v>705</v>
      </c>
      <c r="B435" t="s">
        <v>683</v>
      </c>
      <c r="C435" t="s">
        <v>14</v>
      </c>
      <c r="D435" t="s">
        <v>28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 s="8">
        <v>0.877</v>
      </c>
      <c r="K435">
        <v>100000</v>
      </c>
      <c r="L435" s="2">
        <v>45563</v>
      </c>
    </row>
    <row r="436" spans="1:12">
      <c r="A436" t="s">
        <v>706</v>
      </c>
      <c r="B436" t="s">
        <v>157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 s="8">
        <v>0.77610000000000001</v>
      </c>
      <c r="K436">
        <v>90000</v>
      </c>
      <c r="L436" s="2">
        <v>45617</v>
      </c>
    </row>
    <row r="437" spans="1:12">
      <c r="A437" t="s">
        <v>707</v>
      </c>
      <c r="B437" t="s">
        <v>92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 s="8">
        <v>0.7661</v>
      </c>
      <c r="K437">
        <v>60000</v>
      </c>
      <c r="L437" s="2">
        <v>45993</v>
      </c>
    </row>
    <row r="438" spans="1:12">
      <c r="A438" t="s">
        <v>708</v>
      </c>
      <c r="B438" t="s">
        <v>408</v>
      </c>
      <c r="C438" t="s">
        <v>19</v>
      </c>
      <c r="D438" t="s">
        <v>32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 s="8">
        <v>0.55000000000000004</v>
      </c>
      <c r="K438">
        <v>130000</v>
      </c>
      <c r="L438" s="2">
        <v>45607</v>
      </c>
    </row>
    <row r="439" spans="1:12">
      <c r="A439" t="s">
        <v>709</v>
      </c>
      <c r="B439" t="s">
        <v>710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 s="8">
        <v>0.71079999999999999</v>
      </c>
      <c r="K439">
        <v>75000</v>
      </c>
      <c r="L439" s="2">
        <v>45773</v>
      </c>
    </row>
    <row r="440" spans="1:12">
      <c r="A440" t="s">
        <v>711</v>
      </c>
      <c r="B440" t="s">
        <v>712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 s="8">
        <v>0.89910000000000001</v>
      </c>
      <c r="K440">
        <v>80000</v>
      </c>
      <c r="L440" s="2">
        <v>45947</v>
      </c>
    </row>
    <row r="441" spans="1:12">
      <c r="A441" t="s">
        <v>713</v>
      </c>
      <c r="B441" t="s">
        <v>378</v>
      </c>
      <c r="C441" t="s">
        <v>14</v>
      </c>
      <c r="D441" t="s">
        <v>53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 s="8">
        <v>0.98099999999999998</v>
      </c>
      <c r="K441">
        <v>75000</v>
      </c>
      <c r="L441" s="2">
        <v>45994</v>
      </c>
    </row>
    <row r="442" spans="1:12">
      <c r="A442" t="s">
        <v>714</v>
      </c>
      <c r="B442" t="s">
        <v>52</v>
      </c>
      <c r="C442" t="s">
        <v>19</v>
      </c>
      <c r="D442" t="s">
        <v>53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 s="8">
        <v>0.55000000000000004</v>
      </c>
      <c r="K442">
        <v>130000</v>
      </c>
      <c r="L442" s="2">
        <v>45848</v>
      </c>
    </row>
    <row r="443" spans="1:12">
      <c r="A443" t="s">
        <v>715</v>
      </c>
      <c r="B443" t="s">
        <v>632</v>
      </c>
      <c r="C443" t="s">
        <v>14</v>
      </c>
      <c r="D443" t="s">
        <v>28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 s="8">
        <v>0.84509999999999996</v>
      </c>
      <c r="K443">
        <v>85000</v>
      </c>
      <c r="L443" s="2">
        <v>45601</v>
      </c>
    </row>
    <row r="444" spans="1:12">
      <c r="A444" t="s">
        <v>716</v>
      </c>
      <c r="B444" t="s">
        <v>135</v>
      </c>
      <c r="C444" t="s">
        <v>14</v>
      </c>
      <c r="D444" t="s">
        <v>15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 s="8">
        <v>0.69399999999999995</v>
      </c>
      <c r="K444">
        <v>60000</v>
      </c>
      <c r="L444" s="2">
        <v>46095</v>
      </c>
    </row>
    <row r="445" spans="1:12">
      <c r="A445" t="s">
        <v>717</v>
      </c>
      <c r="B445" t="s">
        <v>718</v>
      </c>
      <c r="C445" t="s">
        <v>14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 s="8">
        <v>0.89570000000000005</v>
      </c>
      <c r="K445">
        <v>50000</v>
      </c>
      <c r="L445" s="2">
        <v>46200</v>
      </c>
    </row>
    <row r="446" spans="1:12">
      <c r="A446" t="s">
        <v>719</v>
      </c>
      <c r="B446" t="s">
        <v>720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 s="8">
        <v>0.87239999999999995</v>
      </c>
      <c r="K446">
        <v>130000</v>
      </c>
      <c r="L446" s="2">
        <v>46158</v>
      </c>
    </row>
    <row r="447" spans="1:12">
      <c r="A447" t="s">
        <v>721</v>
      </c>
      <c r="B447" t="s">
        <v>98</v>
      </c>
      <c r="C447" t="s">
        <v>19</v>
      </c>
      <c r="D447" t="s">
        <v>53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 s="8">
        <v>0.71199999999999997</v>
      </c>
      <c r="K447">
        <v>70000</v>
      </c>
      <c r="L447" s="2">
        <v>46059</v>
      </c>
    </row>
    <row r="448" spans="1:12">
      <c r="A448" t="s">
        <v>722</v>
      </c>
      <c r="B448" t="s">
        <v>410</v>
      </c>
      <c r="C448" t="s">
        <v>14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 s="8">
        <v>0.72119999999999995</v>
      </c>
      <c r="K448">
        <v>110000</v>
      </c>
      <c r="L448" s="2">
        <v>45817</v>
      </c>
    </row>
    <row r="449" spans="1:12">
      <c r="A449" t="s">
        <v>723</v>
      </c>
      <c r="B449" t="s">
        <v>724</v>
      </c>
      <c r="C449" t="s">
        <v>19</v>
      </c>
      <c r="D449" t="s">
        <v>53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 s="8">
        <v>0.82889999999999997</v>
      </c>
      <c r="K449">
        <v>50000</v>
      </c>
      <c r="L449" s="2">
        <v>46149</v>
      </c>
    </row>
    <row r="450" spans="1:12">
      <c r="A450" t="s">
        <v>725</v>
      </c>
      <c r="B450" t="s">
        <v>380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 s="8">
        <v>0.6764</v>
      </c>
      <c r="K450">
        <v>120000</v>
      </c>
      <c r="L450" s="2">
        <v>45877</v>
      </c>
    </row>
    <row r="451" spans="1:12">
      <c r="A451" t="s">
        <v>726</v>
      </c>
      <c r="B451" t="s">
        <v>581</v>
      </c>
      <c r="C451" t="s">
        <v>14</v>
      </c>
      <c r="D451" t="s">
        <v>36</v>
      </c>
      <c r="E451" t="s">
        <v>29</v>
      </c>
      <c r="F451">
        <v>20</v>
      </c>
      <c r="G451">
        <v>20</v>
      </c>
      <c r="H451">
        <v>20</v>
      </c>
      <c r="I451">
        <v>20</v>
      </c>
      <c r="J451" s="8">
        <v>0.55000000000000004</v>
      </c>
      <c r="K451">
        <v>100000</v>
      </c>
      <c r="L451" s="2">
        <v>45631</v>
      </c>
    </row>
    <row r="452" spans="1:12">
      <c r="A452" t="s">
        <v>727</v>
      </c>
      <c r="B452" t="s">
        <v>50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 s="8">
        <v>0.91100000000000003</v>
      </c>
      <c r="K452">
        <v>70000</v>
      </c>
      <c r="L452" s="2">
        <v>46131</v>
      </c>
    </row>
    <row r="453" spans="1:12">
      <c r="A453" t="s">
        <v>728</v>
      </c>
      <c r="B453" t="s">
        <v>729</v>
      </c>
      <c r="C453" t="s">
        <v>19</v>
      </c>
      <c r="D453" t="s">
        <v>32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 s="8">
        <v>0.9627</v>
      </c>
      <c r="K453">
        <v>120000</v>
      </c>
      <c r="L453" s="2">
        <v>45760</v>
      </c>
    </row>
    <row r="454" spans="1:12">
      <c r="A454" t="s">
        <v>730</v>
      </c>
      <c r="B454" t="s">
        <v>731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 s="8">
        <v>0.68140000000000001</v>
      </c>
      <c r="K454">
        <v>75000</v>
      </c>
      <c r="L454" s="2">
        <v>46193</v>
      </c>
    </row>
    <row r="455" spans="1:12">
      <c r="A455" t="s">
        <v>732</v>
      </c>
      <c r="B455" t="s">
        <v>640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 s="8">
        <v>0.86570000000000003</v>
      </c>
      <c r="K455">
        <v>130000</v>
      </c>
      <c r="L455" s="2">
        <v>45793</v>
      </c>
    </row>
    <row r="456" spans="1:12">
      <c r="A456" t="s">
        <v>733</v>
      </c>
      <c r="B456" t="s">
        <v>734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 s="8">
        <v>0.93779999999999997</v>
      </c>
      <c r="K456">
        <v>90000</v>
      </c>
      <c r="L456" s="2">
        <v>46144</v>
      </c>
    </row>
    <row r="457" spans="1:12">
      <c r="A457" t="s">
        <v>735</v>
      </c>
      <c r="B457" t="s">
        <v>104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 s="8">
        <v>0.68189999999999995</v>
      </c>
      <c r="K457">
        <v>80000</v>
      </c>
      <c r="L457" s="2">
        <v>45912</v>
      </c>
    </row>
    <row r="458" spans="1:12">
      <c r="A458" t="s">
        <v>736</v>
      </c>
      <c r="B458" t="s">
        <v>737</v>
      </c>
      <c r="C458" t="s">
        <v>14</v>
      </c>
      <c r="D458" t="s">
        <v>28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 s="8">
        <v>0.67410000000000003</v>
      </c>
      <c r="K458">
        <v>50000</v>
      </c>
      <c r="L458" s="2">
        <v>45863</v>
      </c>
    </row>
    <row r="459" spans="1:12">
      <c r="A459" t="s">
        <v>738</v>
      </c>
      <c r="B459" t="s">
        <v>218</v>
      </c>
      <c r="C459" t="s">
        <v>19</v>
      </c>
      <c r="D459" t="s">
        <v>36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 s="8">
        <v>0.86150000000000004</v>
      </c>
      <c r="K459">
        <v>70000</v>
      </c>
      <c r="L459" s="2">
        <v>45743</v>
      </c>
    </row>
    <row r="460" spans="1:12">
      <c r="A460" t="s">
        <v>739</v>
      </c>
      <c r="B460" t="s">
        <v>471</v>
      </c>
      <c r="C460" t="s">
        <v>19</v>
      </c>
      <c r="D460" t="s">
        <v>36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 s="8">
        <v>0.55000000000000004</v>
      </c>
      <c r="K460">
        <v>50000</v>
      </c>
      <c r="L460" s="2">
        <v>46120</v>
      </c>
    </row>
    <row r="461" spans="1:12">
      <c r="A461" t="s">
        <v>740</v>
      </c>
      <c r="B461" t="s">
        <v>285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 s="8">
        <v>0.99160000000000004</v>
      </c>
      <c r="K461">
        <v>120000</v>
      </c>
      <c r="L461" s="2">
        <v>45578</v>
      </c>
    </row>
    <row r="462" spans="1:12">
      <c r="A462" t="s">
        <v>741</v>
      </c>
      <c r="B462" t="s">
        <v>148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 s="8">
        <v>0.55000000000000004</v>
      </c>
      <c r="K462">
        <v>60000</v>
      </c>
      <c r="L462" s="2">
        <v>45864</v>
      </c>
    </row>
    <row r="463" spans="1:12">
      <c r="A463" t="s">
        <v>742</v>
      </c>
      <c r="B463" t="s">
        <v>600</v>
      </c>
      <c r="C463" t="s">
        <v>14</v>
      </c>
      <c r="D463" t="s">
        <v>36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 s="8">
        <v>0.83799999999999997</v>
      </c>
      <c r="K463">
        <v>60000</v>
      </c>
      <c r="L463" s="2">
        <v>45794</v>
      </c>
    </row>
    <row r="464" spans="1:12">
      <c r="A464" t="s">
        <v>743</v>
      </c>
      <c r="B464" t="s">
        <v>744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 s="8">
        <v>0.98150000000000004</v>
      </c>
      <c r="K464">
        <v>60000</v>
      </c>
      <c r="L464" s="2">
        <v>45916</v>
      </c>
    </row>
    <row r="465" spans="1:12">
      <c r="A465" t="s">
        <v>745</v>
      </c>
      <c r="B465" t="s">
        <v>137</v>
      </c>
      <c r="C465" t="s">
        <v>14</v>
      </c>
      <c r="D465" t="s">
        <v>32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 s="8">
        <v>0.89729999999999999</v>
      </c>
      <c r="K465">
        <v>130000</v>
      </c>
      <c r="L465" s="2">
        <v>45714</v>
      </c>
    </row>
    <row r="466" spans="1:12">
      <c r="A466" t="s">
        <v>746</v>
      </c>
      <c r="B466" t="s">
        <v>13</v>
      </c>
      <c r="C466" t="s">
        <v>14</v>
      </c>
      <c r="D466" t="s">
        <v>53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 s="8">
        <v>0.82530000000000003</v>
      </c>
      <c r="K466">
        <v>130000</v>
      </c>
      <c r="L466" s="2">
        <v>46001</v>
      </c>
    </row>
    <row r="467" spans="1:12">
      <c r="A467" t="s">
        <v>747</v>
      </c>
      <c r="B467" t="s">
        <v>748</v>
      </c>
      <c r="C467" t="s">
        <v>19</v>
      </c>
      <c r="D467" t="s">
        <v>53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 s="8">
        <v>0.78610000000000002</v>
      </c>
      <c r="K467">
        <v>100000</v>
      </c>
      <c r="L467" s="2">
        <v>45806</v>
      </c>
    </row>
    <row r="468" spans="1:12">
      <c r="A468" t="s">
        <v>749</v>
      </c>
      <c r="B468" t="s">
        <v>532</v>
      </c>
      <c r="C468" t="s">
        <v>14</v>
      </c>
      <c r="D468" t="s">
        <v>36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 s="8">
        <v>0.74929999999999997</v>
      </c>
      <c r="K468">
        <v>50000</v>
      </c>
      <c r="L468" s="2">
        <v>45667</v>
      </c>
    </row>
    <row r="469" spans="1:12">
      <c r="A469" t="s">
        <v>750</v>
      </c>
      <c r="B469" t="s">
        <v>751</v>
      </c>
      <c r="C469" t="s">
        <v>19</v>
      </c>
      <c r="D469" t="s">
        <v>28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 s="8">
        <v>0.94889999999999997</v>
      </c>
      <c r="K469">
        <v>85000</v>
      </c>
      <c r="L469" s="2">
        <v>45673</v>
      </c>
    </row>
    <row r="470" spans="1:12">
      <c r="A470" t="s">
        <v>752</v>
      </c>
      <c r="B470" t="s">
        <v>155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 s="8">
        <v>0.93579999999999997</v>
      </c>
      <c r="K470">
        <v>130000</v>
      </c>
      <c r="L470" s="2">
        <v>46023</v>
      </c>
    </row>
    <row r="471" spans="1:12">
      <c r="A471" t="s">
        <v>753</v>
      </c>
      <c r="B471" t="s">
        <v>744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 s="8">
        <v>0.97750000000000004</v>
      </c>
      <c r="K471">
        <v>60000</v>
      </c>
      <c r="L471" s="2">
        <v>45719</v>
      </c>
    </row>
    <row r="472" spans="1:12">
      <c r="A472" t="s">
        <v>754</v>
      </c>
      <c r="B472" t="s">
        <v>310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 s="8">
        <v>0.72319999999999995</v>
      </c>
      <c r="K472">
        <v>110000</v>
      </c>
      <c r="L472" s="2">
        <v>45751</v>
      </c>
    </row>
    <row r="473" spans="1:12">
      <c r="A473" t="s">
        <v>755</v>
      </c>
      <c r="B473" t="s">
        <v>125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 s="8">
        <v>0.86040000000000005</v>
      </c>
      <c r="K473">
        <v>50000</v>
      </c>
      <c r="L473" s="2">
        <v>45974</v>
      </c>
    </row>
    <row r="474" spans="1:12">
      <c r="A474" t="s">
        <v>756</v>
      </c>
      <c r="B474" t="s">
        <v>757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 s="8">
        <v>0.93049999999999999</v>
      </c>
      <c r="K474">
        <v>110000</v>
      </c>
      <c r="L474" s="2">
        <v>45766</v>
      </c>
    </row>
    <row r="475" spans="1:12">
      <c r="A475" t="s">
        <v>758</v>
      </c>
      <c r="B475" t="s">
        <v>759</v>
      </c>
      <c r="C475" t="s">
        <v>14</v>
      </c>
      <c r="D475" t="s">
        <v>36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 s="8">
        <v>0.85699999999999998</v>
      </c>
      <c r="K475">
        <v>85000</v>
      </c>
      <c r="L475" s="2">
        <v>45807</v>
      </c>
    </row>
    <row r="476" spans="1:12">
      <c r="A476" t="s">
        <v>760</v>
      </c>
      <c r="B476" t="s">
        <v>761</v>
      </c>
      <c r="C476" t="s">
        <v>19</v>
      </c>
      <c r="D476" t="s">
        <v>32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 s="8">
        <v>0.70750000000000002</v>
      </c>
      <c r="K476">
        <v>120000</v>
      </c>
      <c r="L476" s="2">
        <v>45707</v>
      </c>
    </row>
    <row r="477" spans="1:12">
      <c r="A477" t="s">
        <v>762</v>
      </c>
      <c r="B477" t="s">
        <v>618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 s="8">
        <v>0.9546</v>
      </c>
      <c r="K477">
        <v>80000</v>
      </c>
      <c r="L477" s="2">
        <v>45777</v>
      </c>
    </row>
    <row r="478" spans="1:12">
      <c r="A478" t="s">
        <v>763</v>
      </c>
      <c r="B478" t="s">
        <v>173</v>
      </c>
      <c r="C478" t="s">
        <v>19</v>
      </c>
      <c r="D478" t="s">
        <v>53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 s="8">
        <v>0.74709999999999999</v>
      </c>
      <c r="K478">
        <v>110000</v>
      </c>
      <c r="L478" s="2">
        <v>46020</v>
      </c>
    </row>
    <row r="479" spans="1:12">
      <c r="A479" t="s">
        <v>764</v>
      </c>
      <c r="B479" t="s">
        <v>607</v>
      </c>
      <c r="C479" t="s">
        <v>14</v>
      </c>
      <c r="D479" t="s">
        <v>36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 s="8">
        <v>0.75880000000000003</v>
      </c>
      <c r="K479">
        <v>120000</v>
      </c>
      <c r="L479" s="2">
        <v>45909</v>
      </c>
    </row>
    <row r="480" spans="1:12">
      <c r="A480" t="s">
        <v>765</v>
      </c>
      <c r="B480" t="s">
        <v>50</v>
      </c>
      <c r="C480" t="s">
        <v>19</v>
      </c>
      <c r="D480" t="s">
        <v>28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 s="8">
        <v>0.8881</v>
      </c>
      <c r="K480">
        <v>75000</v>
      </c>
      <c r="L480" s="2">
        <v>46234</v>
      </c>
    </row>
    <row r="481" spans="1:12">
      <c r="A481" t="s">
        <v>766</v>
      </c>
      <c r="B481" t="s">
        <v>220</v>
      </c>
      <c r="C481" t="s">
        <v>14</v>
      </c>
      <c r="D481" t="s">
        <v>28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 s="8">
        <v>0.87219999999999998</v>
      </c>
      <c r="K481">
        <v>100000</v>
      </c>
      <c r="L481" s="2">
        <v>46076</v>
      </c>
    </row>
    <row r="482" spans="1:12">
      <c r="A482" t="s">
        <v>767</v>
      </c>
      <c r="B482" t="s">
        <v>178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 s="8">
        <v>0.89580000000000004</v>
      </c>
      <c r="K482">
        <v>85000</v>
      </c>
      <c r="L482" s="2">
        <v>45547</v>
      </c>
    </row>
    <row r="483" spans="1:12">
      <c r="A483" t="s">
        <v>768</v>
      </c>
      <c r="B483" t="s">
        <v>611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 s="8">
        <v>0.83789999999999998</v>
      </c>
      <c r="K483">
        <v>80000</v>
      </c>
      <c r="L483" s="2">
        <v>45801</v>
      </c>
    </row>
    <row r="484" spans="1:12">
      <c r="A484" t="s">
        <v>769</v>
      </c>
      <c r="B484" t="s">
        <v>770</v>
      </c>
      <c r="C484" t="s">
        <v>14</v>
      </c>
      <c r="D484" t="s">
        <v>36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 s="8">
        <v>0.61839999999999995</v>
      </c>
      <c r="K484">
        <v>110000</v>
      </c>
      <c r="L484" s="2">
        <v>45738</v>
      </c>
    </row>
    <row r="485" spans="1:12">
      <c r="A485" t="s">
        <v>771</v>
      </c>
      <c r="B485" t="s">
        <v>243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 s="8">
        <v>0.68830000000000002</v>
      </c>
      <c r="K485">
        <v>70000</v>
      </c>
      <c r="L485" s="2">
        <v>45947</v>
      </c>
    </row>
    <row r="486" spans="1:12">
      <c r="A486" t="s">
        <v>772</v>
      </c>
      <c r="B486" t="s">
        <v>106</v>
      </c>
      <c r="C486" t="s">
        <v>14</v>
      </c>
      <c r="D486" t="s">
        <v>20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 s="8">
        <v>0.73089999999999999</v>
      </c>
      <c r="K486">
        <v>60000</v>
      </c>
      <c r="L486" s="2">
        <v>45721</v>
      </c>
    </row>
    <row r="487" spans="1:12">
      <c r="A487" t="s">
        <v>773</v>
      </c>
      <c r="B487" t="s">
        <v>372</v>
      </c>
      <c r="C487" t="s">
        <v>14</v>
      </c>
      <c r="D487" t="s">
        <v>53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 s="8">
        <v>0.97099999999999997</v>
      </c>
      <c r="K487">
        <v>85000</v>
      </c>
      <c r="L487" s="2">
        <v>46212</v>
      </c>
    </row>
    <row r="488" spans="1:12">
      <c r="A488" t="s">
        <v>774</v>
      </c>
      <c r="B488" t="s">
        <v>340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 s="8">
        <v>0.55000000000000004</v>
      </c>
      <c r="K488">
        <v>120000</v>
      </c>
      <c r="L488" s="2">
        <v>45745</v>
      </c>
    </row>
    <row r="489" spans="1:12">
      <c r="A489" t="s">
        <v>775</v>
      </c>
      <c r="B489" t="s">
        <v>71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 s="8">
        <v>0.87280000000000002</v>
      </c>
      <c r="K489">
        <v>60000</v>
      </c>
      <c r="L489" s="2">
        <v>45901</v>
      </c>
    </row>
    <row r="490" spans="1:12">
      <c r="A490" t="s">
        <v>776</v>
      </c>
      <c r="B490" t="s">
        <v>777</v>
      </c>
      <c r="C490" t="s">
        <v>19</v>
      </c>
      <c r="D490" t="s">
        <v>53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 s="8">
        <v>0.55000000000000004</v>
      </c>
      <c r="K490">
        <v>75000</v>
      </c>
      <c r="L490" s="2">
        <v>45622</v>
      </c>
    </row>
    <row r="491" spans="1:12">
      <c r="A491" t="s">
        <v>778</v>
      </c>
      <c r="B491" t="s">
        <v>43</v>
      </c>
      <c r="C491" t="s">
        <v>19</v>
      </c>
      <c r="D491" t="s">
        <v>53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 s="8">
        <v>0.75860000000000005</v>
      </c>
      <c r="K491">
        <v>100000</v>
      </c>
      <c r="L491" s="2">
        <v>46172</v>
      </c>
    </row>
    <row r="492" spans="1:12">
      <c r="A492" t="s">
        <v>779</v>
      </c>
      <c r="B492" t="s">
        <v>653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 s="8">
        <v>0.59540000000000004</v>
      </c>
      <c r="K492">
        <v>85000</v>
      </c>
      <c r="L492" s="2">
        <v>46174</v>
      </c>
    </row>
    <row r="493" spans="1:12">
      <c r="A493" t="s">
        <v>780</v>
      </c>
      <c r="B493" t="s">
        <v>781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 s="8">
        <v>0.89380000000000004</v>
      </c>
      <c r="K493">
        <v>90000</v>
      </c>
      <c r="L493" s="2">
        <v>46091</v>
      </c>
    </row>
    <row r="494" spans="1:12">
      <c r="A494" t="s">
        <v>782</v>
      </c>
      <c r="B494" t="s">
        <v>729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 s="8">
        <v>0.81130000000000002</v>
      </c>
      <c r="K494">
        <v>85000</v>
      </c>
      <c r="L494" s="2">
        <v>45782</v>
      </c>
    </row>
    <row r="495" spans="1:12">
      <c r="A495" t="s">
        <v>783</v>
      </c>
      <c r="B495" t="s">
        <v>224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 s="8">
        <v>0.92859999999999998</v>
      </c>
      <c r="K495">
        <v>110000</v>
      </c>
      <c r="L495" s="2">
        <v>45577</v>
      </c>
    </row>
    <row r="496" spans="1:12">
      <c r="A496" t="s">
        <v>784</v>
      </c>
      <c r="B496" t="s">
        <v>106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 s="8">
        <v>0.81899999999999995</v>
      </c>
      <c r="K496">
        <v>120000</v>
      </c>
      <c r="L496" s="2">
        <v>46033</v>
      </c>
    </row>
    <row r="497" spans="1:12">
      <c r="A497" t="s">
        <v>785</v>
      </c>
      <c r="B497" t="s">
        <v>251</v>
      </c>
      <c r="C497" t="s">
        <v>14</v>
      </c>
      <c r="D497" t="s">
        <v>53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 s="8">
        <v>0.80289999999999995</v>
      </c>
      <c r="K497">
        <v>80000</v>
      </c>
      <c r="L497" s="2">
        <v>45836</v>
      </c>
    </row>
    <row r="498" spans="1:12">
      <c r="A498" t="s">
        <v>786</v>
      </c>
      <c r="B498" t="s">
        <v>683</v>
      </c>
      <c r="C498" t="s">
        <v>14</v>
      </c>
      <c r="D498" t="s">
        <v>53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 s="8">
        <v>0.80859999999999999</v>
      </c>
      <c r="K498">
        <v>80000</v>
      </c>
      <c r="L498" s="2">
        <v>46229</v>
      </c>
    </row>
    <row r="499" spans="1:12">
      <c r="A499" t="s">
        <v>787</v>
      </c>
      <c r="B499" t="s">
        <v>100</v>
      </c>
      <c r="C499" t="s">
        <v>14</v>
      </c>
      <c r="D499" t="s">
        <v>53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 s="8">
        <v>0.95950000000000002</v>
      </c>
      <c r="K499">
        <v>75000</v>
      </c>
      <c r="L499" s="2">
        <v>46024</v>
      </c>
    </row>
    <row r="500" spans="1:12">
      <c r="A500" t="s">
        <v>788</v>
      </c>
      <c r="B500" t="s">
        <v>270</v>
      </c>
      <c r="C500" t="s">
        <v>19</v>
      </c>
      <c r="D500" t="s">
        <v>53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 s="8">
        <v>0.90559999999999996</v>
      </c>
      <c r="K500">
        <v>80000</v>
      </c>
      <c r="L500" s="2">
        <v>45913</v>
      </c>
    </row>
    <row r="501" spans="1:12">
      <c r="A501" t="s">
        <v>789</v>
      </c>
      <c r="B501" t="s">
        <v>372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 s="8">
        <v>0.86729999999999996</v>
      </c>
      <c r="K501">
        <v>120000</v>
      </c>
      <c r="L501" s="2">
        <v>46226</v>
      </c>
    </row>
    <row r="502" spans="1:12">
      <c r="A502" t="s">
        <v>790</v>
      </c>
      <c r="B502" t="s">
        <v>295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 s="8">
        <v>0.85519999999999996</v>
      </c>
      <c r="K502">
        <v>85000</v>
      </c>
      <c r="L502" s="2">
        <v>46096</v>
      </c>
    </row>
    <row r="503" spans="1:12">
      <c r="A503" t="s">
        <v>791</v>
      </c>
      <c r="B503" t="s">
        <v>237</v>
      </c>
      <c r="C503" t="s">
        <v>19</v>
      </c>
      <c r="D503" t="s">
        <v>53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 s="8">
        <v>0.75849999999999995</v>
      </c>
      <c r="K503">
        <v>100000</v>
      </c>
      <c r="L503" s="2">
        <v>45856</v>
      </c>
    </row>
    <row r="504" spans="1:12">
      <c r="A504" t="s">
        <v>792</v>
      </c>
      <c r="B504" t="s">
        <v>793</v>
      </c>
      <c r="C504" t="s">
        <v>19</v>
      </c>
      <c r="D504" t="s">
        <v>53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 s="8">
        <v>0.71250000000000002</v>
      </c>
      <c r="K504">
        <v>80000</v>
      </c>
      <c r="L504" s="2">
        <v>45549</v>
      </c>
    </row>
    <row r="505" spans="1:12">
      <c r="A505" t="s">
        <v>794</v>
      </c>
      <c r="B505" t="s">
        <v>63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 s="8">
        <v>0.55000000000000004</v>
      </c>
      <c r="K505">
        <v>100000</v>
      </c>
      <c r="L505" s="2">
        <v>45600</v>
      </c>
    </row>
    <row r="506" spans="1:12">
      <c r="A506" t="s">
        <v>795</v>
      </c>
      <c r="B506" t="s">
        <v>248</v>
      </c>
      <c r="C506" t="s">
        <v>14</v>
      </c>
      <c r="D506" t="s">
        <v>36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 s="8">
        <v>0.73099999999999998</v>
      </c>
      <c r="K506">
        <v>100000</v>
      </c>
      <c r="L506" s="2">
        <v>45846</v>
      </c>
    </row>
    <row r="507" spans="1:12">
      <c r="A507" t="s">
        <v>796</v>
      </c>
      <c r="B507" t="s">
        <v>770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 s="8">
        <v>0.55000000000000004</v>
      </c>
      <c r="K507">
        <v>85000</v>
      </c>
      <c r="L507" s="2">
        <v>45929</v>
      </c>
    </row>
    <row r="508" spans="1:12">
      <c r="A508" t="s">
        <v>797</v>
      </c>
      <c r="B508" t="s">
        <v>404</v>
      </c>
      <c r="C508" t="s">
        <v>19</v>
      </c>
      <c r="D508" t="s">
        <v>53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 s="8">
        <v>0.79430000000000001</v>
      </c>
      <c r="K508">
        <v>130000</v>
      </c>
      <c r="L508" s="2">
        <v>45557</v>
      </c>
    </row>
    <row r="509" spans="1:12">
      <c r="A509" t="s">
        <v>798</v>
      </c>
      <c r="B509" t="s">
        <v>620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 s="8">
        <v>0.87590000000000001</v>
      </c>
      <c r="K509">
        <v>120000</v>
      </c>
      <c r="L509" s="2">
        <v>45624</v>
      </c>
    </row>
    <row r="510" spans="1:12">
      <c r="A510" t="s">
        <v>799</v>
      </c>
      <c r="B510" t="s">
        <v>194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 s="8">
        <v>0.89390000000000003</v>
      </c>
      <c r="K510">
        <v>60000</v>
      </c>
      <c r="L510" s="2">
        <v>46029</v>
      </c>
    </row>
    <row r="511" spans="1:12">
      <c r="A511" t="s">
        <v>800</v>
      </c>
      <c r="B511" t="s">
        <v>532</v>
      </c>
      <c r="C511" t="s">
        <v>14</v>
      </c>
      <c r="D511" t="s">
        <v>32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 s="8">
        <v>0.90200000000000002</v>
      </c>
      <c r="K511">
        <v>70000</v>
      </c>
      <c r="L511" s="2">
        <v>46062</v>
      </c>
    </row>
    <row r="512" spans="1:12">
      <c r="A512" t="s">
        <v>801</v>
      </c>
      <c r="B512" t="s">
        <v>541</v>
      </c>
      <c r="C512" t="s">
        <v>19</v>
      </c>
      <c r="D512" t="s">
        <v>36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 s="8">
        <v>0.84670000000000001</v>
      </c>
      <c r="K512">
        <v>130000</v>
      </c>
      <c r="L512" s="2">
        <v>45556</v>
      </c>
    </row>
    <row r="513" spans="1:12">
      <c r="A513" t="s">
        <v>802</v>
      </c>
      <c r="B513" t="s">
        <v>803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 s="8">
        <v>0.95030000000000003</v>
      </c>
      <c r="K513">
        <v>80000</v>
      </c>
      <c r="L513" s="2">
        <v>45891</v>
      </c>
    </row>
    <row r="514" spans="1:12">
      <c r="A514" t="s">
        <v>804</v>
      </c>
      <c r="B514" t="s">
        <v>805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 s="8">
        <v>0.64149999999999996</v>
      </c>
      <c r="K514">
        <v>75000</v>
      </c>
      <c r="L514" s="2">
        <v>45592</v>
      </c>
    </row>
    <row r="515" spans="1:12">
      <c r="A515" t="s">
        <v>806</v>
      </c>
      <c r="B515" t="s">
        <v>96</v>
      </c>
      <c r="C515" t="s">
        <v>19</v>
      </c>
      <c r="D515" t="s">
        <v>36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 s="8">
        <v>0.79949999999999999</v>
      </c>
      <c r="K515">
        <v>110000</v>
      </c>
      <c r="L515" s="2">
        <v>46042</v>
      </c>
    </row>
    <row r="516" spans="1:12">
      <c r="A516" t="s">
        <v>807</v>
      </c>
      <c r="B516" t="s">
        <v>342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 s="8">
        <v>0.90680000000000005</v>
      </c>
      <c r="K516">
        <v>90000</v>
      </c>
      <c r="L516" s="2">
        <v>46119</v>
      </c>
    </row>
    <row r="517" spans="1:12">
      <c r="A517" t="s">
        <v>808</v>
      </c>
      <c r="B517" t="s">
        <v>737</v>
      </c>
      <c r="C517" t="s">
        <v>14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 s="8">
        <v>0.81320000000000003</v>
      </c>
      <c r="K517">
        <v>60000</v>
      </c>
      <c r="L517" s="2">
        <v>46144</v>
      </c>
    </row>
    <row r="518" spans="1:12">
      <c r="A518" t="s">
        <v>809</v>
      </c>
      <c r="B518" t="s">
        <v>204</v>
      </c>
      <c r="C518" t="s">
        <v>19</v>
      </c>
      <c r="D518" t="s">
        <v>36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 s="8">
        <v>0.86909999999999998</v>
      </c>
      <c r="K518">
        <v>60000</v>
      </c>
      <c r="L518" s="2">
        <v>45954</v>
      </c>
    </row>
    <row r="519" spans="1:12">
      <c r="A519" t="s">
        <v>810</v>
      </c>
      <c r="B519" t="s">
        <v>492</v>
      </c>
      <c r="C519" t="s">
        <v>14</v>
      </c>
      <c r="D519" t="s">
        <v>36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 s="8">
        <v>0.94379999999999997</v>
      </c>
      <c r="K519">
        <v>110000</v>
      </c>
      <c r="L519" s="2">
        <v>45976</v>
      </c>
    </row>
    <row r="520" spans="1:12">
      <c r="A520" t="s">
        <v>811</v>
      </c>
      <c r="B520" t="s">
        <v>467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 s="8">
        <v>0.71540000000000004</v>
      </c>
      <c r="K520">
        <v>110000</v>
      </c>
      <c r="L520" s="2">
        <v>46184</v>
      </c>
    </row>
    <row r="521" spans="1:12">
      <c r="A521" t="s">
        <v>812</v>
      </c>
      <c r="B521" t="s">
        <v>270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 s="8">
        <v>0.58179999999999998</v>
      </c>
      <c r="K521">
        <v>75000</v>
      </c>
      <c r="L521" s="2">
        <v>45964</v>
      </c>
    </row>
    <row r="522" spans="1:12">
      <c r="A522" t="s">
        <v>813</v>
      </c>
      <c r="B522" t="s">
        <v>291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 s="8">
        <v>0.92800000000000005</v>
      </c>
      <c r="K522">
        <v>120000</v>
      </c>
      <c r="L522" s="2">
        <v>45848</v>
      </c>
    </row>
    <row r="523" spans="1:12">
      <c r="A523" t="s">
        <v>814</v>
      </c>
      <c r="B523" t="s">
        <v>274</v>
      </c>
      <c r="C523" t="s">
        <v>14</v>
      </c>
      <c r="D523" t="s">
        <v>28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 s="8">
        <v>0.94699999999999995</v>
      </c>
      <c r="K523">
        <v>60000</v>
      </c>
      <c r="L523" s="2">
        <v>46064</v>
      </c>
    </row>
    <row r="524" spans="1:12">
      <c r="A524" t="s">
        <v>815</v>
      </c>
      <c r="B524" t="s">
        <v>581</v>
      </c>
      <c r="C524" t="s">
        <v>14</v>
      </c>
      <c r="D524" t="s">
        <v>20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 s="8">
        <v>0.82799999999999996</v>
      </c>
      <c r="K524">
        <v>120000</v>
      </c>
      <c r="L524" s="2">
        <v>45949</v>
      </c>
    </row>
    <row r="525" spans="1:12">
      <c r="A525" t="s">
        <v>816</v>
      </c>
      <c r="B525" t="s">
        <v>200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 s="8">
        <v>0.91100000000000003</v>
      </c>
      <c r="K525">
        <v>50000</v>
      </c>
      <c r="L525" s="2">
        <v>46125</v>
      </c>
    </row>
    <row r="526" spans="1:12">
      <c r="A526" t="s">
        <v>817</v>
      </c>
      <c r="B526" t="s">
        <v>562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 s="8">
        <v>0.75600000000000001</v>
      </c>
      <c r="K526">
        <v>90000</v>
      </c>
      <c r="L526" s="2">
        <v>45903</v>
      </c>
    </row>
    <row r="527" spans="1:12">
      <c r="A527" t="s">
        <v>818</v>
      </c>
      <c r="B527" t="s">
        <v>137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 s="8">
        <v>0.92679999999999996</v>
      </c>
      <c r="K527">
        <v>120000</v>
      </c>
      <c r="L527" s="2">
        <v>46144</v>
      </c>
    </row>
    <row r="528" spans="1:12">
      <c r="A528" t="s">
        <v>819</v>
      </c>
      <c r="B528" t="s">
        <v>820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 s="8">
        <v>0.89890000000000003</v>
      </c>
      <c r="K528">
        <v>90000</v>
      </c>
      <c r="L528" s="2">
        <v>45567</v>
      </c>
    </row>
    <row r="529" spans="1:12">
      <c r="A529" t="s">
        <v>821</v>
      </c>
      <c r="B529" t="s">
        <v>822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 s="8">
        <v>0.84360000000000002</v>
      </c>
      <c r="K529">
        <v>110000</v>
      </c>
      <c r="L529" s="2">
        <v>45561</v>
      </c>
    </row>
    <row r="530" spans="1:12">
      <c r="A530" t="s">
        <v>823</v>
      </c>
      <c r="B530" t="s">
        <v>344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 s="8">
        <v>0.68110000000000004</v>
      </c>
      <c r="K530">
        <v>75000</v>
      </c>
      <c r="L530" s="2">
        <v>45605</v>
      </c>
    </row>
    <row r="531" spans="1:12">
      <c r="A531" t="s">
        <v>824</v>
      </c>
      <c r="B531" t="s">
        <v>825</v>
      </c>
      <c r="C531" t="s">
        <v>19</v>
      </c>
      <c r="D531" t="s">
        <v>15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 s="8">
        <v>0.81059999999999999</v>
      </c>
      <c r="K531">
        <v>75000</v>
      </c>
      <c r="L531" s="2">
        <v>45925</v>
      </c>
    </row>
    <row r="532" spans="1:12">
      <c r="A532" t="s">
        <v>826</v>
      </c>
      <c r="B532" t="s">
        <v>729</v>
      </c>
      <c r="C532" t="s">
        <v>19</v>
      </c>
      <c r="D532" t="s">
        <v>15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 s="8">
        <v>0.61350000000000005</v>
      </c>
      <c r="K532">
        <v>70000</v>
      </c>
      <c r="L532" s="2">
        <v>46032</v>
      </c>
    </row>
    <row r="533" spans="1:12">
      <c r="A533" t="s">
        <v>827</v>
      </c>
      <c r="B533" t="s">
        <v>564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 s="8">
        <v>0.89029999999999998</v>
      </c>
      <c r="K533">
        <v>60000</v>
      </c>
      <c r="L533" s="2">
        <v>45687</v>
      </c>
    </row>
    <row r="534" spans="1:12">
      <c r="A534" t="s">
        <v>828</v>
      </c>
      <c r="B534" t="s">
        <v>329</v>
      </c>
      <c r="C534" t="s">
        <v>14</v>
      </c>
      <c r="D534" t="s">
        <v>53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 s="8">
        <v>0.9899</v>
      </c>
      <c r="K534">
        <v>75000</v>
      </c>
      <c r="L534" s="2">
        <v>45645</v>
      </c>
    </row>
    <row r="535" spans="1:12">
      <c r="A535" t="s">
        <v>829</v>
      </c>
      <c r="B535" t="s">
        <v>175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 s="8">
        <v>0.64270000000000005</v>
      </c>
      <c r="K535">
        <v>70000</v>
      </c>
      <c r="L535" s="2">
        <v>46138</v>
      </c>
    </row>
    <row r="536" spans="1:12">
      <c r="A536" t="s">
        <v>830</v>
      </c>
      <c r="B536" t="s">
        <v>262</v>
      </c>
      <c r="C536" t="s">
        <v>19</v>
      </c>
      <c r="D536" t="s">
        <v>36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 s="8">
        <v>0.55000000000000004</v>
      </c>
      <c r="K536">
        <v>110000</v>
      </c>
      <c r="L536" s="2">
        <v>46061</v>
      </c>
    </row>
    <row r="537" spans="1:12">
      <c r="A537" t="s">
        <v>831</v>
      </c>
      <c r="B537" t="s">
        <v>492</v>
      </c>
      <c r="C537" t="s">
        <v>14</v>
      </c>
      <c r="D537" t="s">
        <v>53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 s="8">
        <v>0.97529999999999994</v>
      </c>
      <c r="K537">
        <v>70000</v>
      </c>
      <c r="L537" s="2">
        <v>45989</v>
      </c>
    </row>
    <row r="538" spans="1:12">
      <c r="A538" t="s">
        <v>832</v>
      </c>
      <c r="B538" t="s">
        <v>833</v>
      </c>
      <c r="C538" t="s">
        <v>14</v>
      </c>
      <c r="D538" t="s">
        <v>28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 s="8">
        <v>0.55000000000000004</v>
      </c>
      <c r="K538">
        <v>60000</v>
      </c>
      <c r="L538" s="2">
        <v>45877</v>
      </c>
    </row>
    <row r="539" spans="1:12">
      <c r="A539" t="s">
        <v>834</v>
      </c>
      <c r="B539" t="s">
        <v>354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 s="8">
        <v>0.86860000000000004</v>
      </c>
      <c r="K539">
        <v>110000</v>
      </c>
      <c r="L539" s="2">
        <v>45830</v>
      </c>
    </row>
    <row r="540" spans="1:12">
      <c r="A540" t="s">
        <v>835</v>
      </c>
      <c r="B540" t="s">
        <v>380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 s="8">
        <v>0.97550000000000003</v>
      </c>
      <c r="K540">
        <v>85000</v>
      </c>
      <c r="L540" s="2">
        <v>45550</v>
      </c>
    </row>
    <row r="541" spans="1:12">
      <c r="A541" t="s">
        <v>836</v>
      </c>
      <c r="B541" t="s">
        <v>382</v>
      </c>
      <c r="C541" t="s">
        <v>14</v>
      </c>
      <c r="D541" t="s">
        <v>53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 s="8">
        <v>0.92479999999999996</v>
      </c>
      <c r="K541">
        <v>70000</v>
      </c>
      <c r="L541" s="2">
        <v>45667</v>
      </c>
    </row>
    <row r="542" spans="1:12">
      <c r="A542" t="s">
        <v>837</v>
      </c>
      <c r="B542" t="s">
        <v>218</v>
      </c>
      <c r="C542" t="s">
        <v>19</v>
      </c>
      <c r="D542" t="s">
        <v>53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 s="8">
        <v>0.88629999999999998</v>
      </c>
      <c r="K542">
        <v>100000</v>
      </c>
      <c r="L542" s="2">
        <v>46163</v>
      </c>
    </row>
    <row r="543" spans="1:12">
      <c r="A543" t="s">
        <v>838</v>
      </c>
      <c r="B543" t="s">
        <v>241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 s="8">
        <v>0.88</v>
      </c>
      <c r="K543">
        <v>70000</v>
      </c>
      <c r="L543" s="2">
        <v>45773</v>
      </c>
    </row>
    <row r="544" spans="1:12">
      <c r="A544" t="s">
        <v>839</v>
      </c>
      <c r="B544" t="s">
        <v>451</v>
      </c>
      <c r="C544" t="s">
        <v>14</v>
      </c>
      <c r="D544" t="s">
        <v>53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 s="8">
        <v>0.91969999999999996</v>
      </c>
      <c r="K544">
        <v>110000</v>
      </c>
      <c r="L544" s="2">
        <v>46029</v>
      </c>
    </row>
    <row r="545" spans="1:12">
      <c r="A545" t="s">
        <v>840</v>
      </c>
      <c r="B545" t="s">
        <v>133</v>
      </c>
      <c r="C545" t="s">
        <v>14</v>
      </c>
      <c r="D545" t="s">
        <v>53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 s="8">
        <v>0.96040000000000003</v>
      </c>
      <c r="K545">
        <v>50000</v>
      </c>
      <c r="L545" s="2">
        <v>46028</v>
      </c>
    </row>
    <row r="546" spans="1:12">
      <c r="A546" t="s">
        <v>841</v>
      </c>
      <c r="B546" t="s">
        <v>191</v>
      </c>
      <c r="C546" t="s">
        <v>19</v>
      </c>
      <c r="D546" t="s">
        <v>53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 s="8">
        <v>0.65920000000000001</v>
      </c>
      <c r="K546">
        <v>90000</v>
      </c>
      <c r="L546" s="2">
        <v>45752</v>
      </c>
    </row>
    <row r="547" spans="1:12">
      <c r="A547" t="s">
        <v>842</v>
      </c>
      <c r="B547" t="s">
        <v>202</v>
      </c>
      <c r="C547" t="s">
        <v>14</v>
      </c>
      <c r="D547" t="s">
        <v>32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 s="8">
        <v>0.87029999999999996</v>
      </c>
      <c r="K547">
        <v>90000</v>
      </c>
      <c r="L547" s="2">
        <v>45679</v>
      </c>
    </row>
    <row r="548" spans="1:12">
      <c r="A548" t="s">
        <v>843</v>
      </c>
      <c r="B548" t="s">
        <v>657</v>
      </c>
      <c r="C548" t="s">
        <v>14</v>
      </c>
      <c r="D548" t="s">
        <v>36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 s="8">
        <v>0.86019999999999996</v>
      </c>
      <c r="K548">
        <v>80000</v>
      </c>
      <c r="L548" s="2">
        <v>46020</v>
      </c>
    </row>
    <row r="549" spans="1:12">
      <c r="A549" t="s">
        <v>844</v>
      </c>
      <c r="B549" t="s">
        <v>111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 s="8">
        <v>0.89280000000000004</v>
      </c>
      <c r="K549">
        <v>100000</v>
      </c>
      <c r="L549" s="2">
        <v>45601</v>
      </c>
    </row>
    <row r="550" spans="1:12">
      <c r="A550" t="s">
        <v>845</v>
      </c>
      <c r="B550" t="s">
        <v>180</v>
      </c>
      <c r="C550" t="s">
        <v>19</v>
      </c>
      <c r="D550" t="s">
        <v>53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 s="8">
        <v>0.96479999999999999</v>
      </c>
      <c r="K550">
        <v>80000</v>
      </c>
      <c r="L550" s="2">
        <v>45882</v>
      </c>
    </row>
    <row r="551" spans="1:12">
      <c r="A551" t="s">
        <v>846</v>
      </c>
      <c r="B551" t="s">
        <v>344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 s="8">
        <v>0.71599999999999997</v>
      </c>
      <c r="K551">
        <v>100000</v>
      </c>
      <c r="L551" s="2">
        <v>46157</v>
      </c>
    </row>
    <row r="552" spans="1:12">
      <c r="A552" t="s">
        <v>847</v>
      </c>
      <c r="B552" t="s">
        <v>458</v>
      </c>
      <c r="C552" t="s">
        <v>19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 s="8">
        <v>0.94040000000000001</v>
      </c>
      <c r="K552">
        <v>70000</v>
      </c>
      <c r="L552" s="2">
        <v>46033</v>
      </c>
    </row>
    <row r="553" spans="1:12">
      <c r="A553" t="s">
        <v>848</v>
      </c>
      <c r="B553" t="s">
        <v>194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 s="8">
        <v>0.86550000000000005</v>
      </c>
      <c r="K553">
        <v>90000</v>
      </c>
      <c r="L553" s="2">
        <v>46070</v>
      </c>
    </row>
    <row r="554" spans="1:12">
      <c r="A554" t="s">
        <v>849</v>
      </c>
      <c r="B554" t="s">
        <v>539</v>
      </c>
      <c r="C554" t="s">
        <v>19</v>
      </c>
      <c r="D554" t="s">
        <v>53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 s="8">
        <v>0.75460000000000005</v>
      </c>
      <c r="K554">
        <v>110000</v>
      </c>
      <c r="L554" s="2">
        <v>45594</v>
      </c>
    </row>
    <row r="555" spans="1:12">
      <c r="A555" t="s">
        <v>850</v>
      </c>
      <c r="B555" t="s">
        <v>406</v>
      </c>
      <c r="C555" t="s">
        <v>14</v>
      </c>
      <c r="D555" t="s">
        <v>53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 s="8">
        <v>0.88370000000000004</v>
      </c>
      <c r="K555">
        <v>130000</v>
      </c>
      <c r="L555" s="2">
        <v>45675</v>
      </c>
    </row>
    <row r="556" spans="1:12">
      <c r="A556" t="s">
        <v>851</v>
      </c>
      <c r="B556" t="s">
        <v>376</v>
      </c>
      <c r="C556" t="s">
        <v>19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 s="8">
        <v>0.89329999999999998</v>
      </c>
      <c r="K556">
        <v>75000</v>
      </c>
      <c r="L556" s="2">
        <v>45728</v>
      </c>
    </row>
    <row r="557" spans="1:12">
      <c r="A557" t="s">
        <v>852</v>
      </c>
      <c r="B557" t="s">
        <v>853</v>
      </c>
      <c r="C557" t="s">
        <v>19</v>
      </c>
      <c r="D557" t="s">
        <v>15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 s="8">
        <v>0.80640000000000001</v>
      </c>
      <c r="K557">
        <v>85000</v>
      </c>
      <c r="L557" s="2">
        <v>45740</v>
      </c>
    </row>
    <row r="558" spans="1:12">
      <c r="A558" t="s">
        <v>854</v>
      </c>
      <c r="B558" t="s">
        <v>262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 s="8">
        <v>0.85580000000000001</v>
      </c>
      <c r="K558">
        <v>85000</v>
      </c>
      <c r="L558" s="2">
        <v>45671</v>
      </c>
    </row>
    <row r="559" spans="1:12">
      <c r="A559" t="s">
        <v>855</v>
      </c>
      <c r="B559" t="s">
        <v>392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 s="8">
        <v>0.93220000000000003</v>
      </c>
      <c r="K559">
        <v>120000</v>
      </c>
      <c r="L559" s="2">
        <v>46216</v>
      </c>
    </row>
    <row r="560" spans="1:12">
      <c r="A560" t="s">
        <v>856</v>
      </c>
      <c r="B560" t="s">
        <v>699</v>
      </c>
      <c r="C560" t="s">
        <v>19</v>
      </c>
      <c r="D560" t="s">
        <v>28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 s="8">
        <v>0.86670000000000003</v>
      </c>
      <c r="K560">
        <v>130000</v>
      </c>
      <c r="L560" s="2">
        <v>45651</v>
      </c>
    </row>
    <row r="561" spans="1:12">
      <c r="A561" t="s">
        <v>857</v>
      </c>
      <c r="B561" t="s">
        <v>858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 s="8">
        <v>0.8669</v>
      </c>
      <c r="K561">
        <v>100000</v>
      </c>
      <c r="L561" s="2">
        <v>46031</v>
      </c>
    </row>
    <row r="562" spans="1:12">
      <c r="A562" t="s">
        <v>859</v>
      </c>
      <c r="B562" t="s">
        <v>256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 s="8">
        <v>0.91290000000000004</v>
      </c>
      <c r="K562">
        <v>120000</v>
      </c>
      <c r="L562" s="2">
        <v>45946</v>
      </c>
    </row>
    <row r="563" spans="1:12">
      <c r="A563" t="s">
        <v>860</v>
      </c>
      <c r="B563" t="s">
        <v>640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 s="8">
        <v>0.7671</v>
      </c>
      <c r="K563">
        <v>50000</v>
      </c>
      <c r="L563" s="2">
        <v>45963</v>
      </c>
    </row>
    <row r="564" spans="1:12">
      <c r="A564" t="s">
        <v>861</v>
      </c>
      <c r="B564" t="s">
        <v>662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 s="8">
        <v>0.76170000000000004</v>
      </c>
      <c r="K564">
        <v>110000</v>
      </c>
      <c r="L564" s="2">
        <v>45686</v>
      </c>
    </row>
    <row r="565" spans="1:12">
      <c r="A565" t="s">
        <v>862</v>
      </c>
      <c r="B565" t="s">
        <v>737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 s="8">
        <v>0.90059999999999996</v>
      </c>
      <c r="K565">
        <v>110000</v>
      </c>
      <c r="L565" s="2">
        <v>45751</v>
      </c>
    </row>
    <row r="566" spans="1:12">
      <c r="A566" t="s">
        <v>863</v>
      </c>
      <c r="B566" t="s">
        <v>315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 s="8">
        <v>0.76729999999999998</v>
      </c>
      <c r="K566">
        <v>100000</v>
      </c>
      <c r="L566" s="2">
        <v>45960</v>
      </c>
    </row>
    <row r="567" spans="1:12">
      <c r="A567" t="s">
        <v>864</v>
      </c>
      <c r="B567" t="s">
        <v>865</v>
      </c>
      <c r="C567" t="s">
        <v>14</v>
      </c>
      <c r="D567" t="s">
        <v>15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 s="8">
        <v>0.89539999999999997</v>
      </c>
      <c r="K567">
        <v>90000</v>
      </c>
      <c r="L567" s="2">
        <v>45745</v>
      </c>
    </row>
    <row r="568" spans="1:12">
      <c r="A568" t="s">
        <v>866</v>
      </c>
      <c r="B568" t="s">
        <v>329</v>
      </c>
      <c r="C568" t="s">
        <v>14</v>
      </c>
      <c r="D568" t="s">
        <v>53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 s="8">
        <v>0.91439999999999999</v>
      </c>
      <c r="K568">
        <v>120000</v>
      </c>
      <c r="L568" s="2">
        <v>46021</v>
      </c>
    </row>
    <row r="569" spans="1:12">
      <c r="A569" t="s">
        <v>867</v>
      </c>
      <c r="B569" t="s">
        <v>528</v>
      </c>
      <c r="C569" t="s">
        <v>14</v>
      </c>
      <c r="D569" t="s">
        <v>36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 s="8">
        <v>0.6361</v>
      </c>
      <c r="K569">
        <v>100000</v>
      </c>
      <c r="L569" s="2">
        <v>45563</v>
      </c>
    </row>
    <row r="570" spans="1:12">
      <c r="A570" t="s">
        <v>868</v>
      </c>
      <c r="B570" t="s">
        <v>102</v>
      </c>
      <c r="C570" t="s">
        <v>19</v>
      </c>
      <c r="D570" t="s">
        <v>15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 s="8">
        <v>0.79779999999999995</v>
      </c>
      <c r="K570">
        <v>120000</v>
      </c>
      <c r="L570" s="2">
        <v>45586</v>
      </c>
    </row>
    <row r="571" spans="1:12">
      <c r="A571" t="s">
        <v>869</v>
      </c>
      <c r="B571" t="s">
        <v>825</v>
      </c>
      <c r="C571" t="s">
        <v>19</v>
      </c>
      <c r="D571" t="s">
        <v>20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 s="8">
        <v>0.91149999999999998</v>
      </c>
      <c r="K571">
        <v>60000</v>
      </c>
      <c r="L571" s="2">
        <v>46045</v>
      </c>
    </row>
    <row r="572" spans="1:12">
      <c r="A572" t="s">
        <v>870</v>
      </c>
      <c r="B572" t="s">
        <v>611</v>
      </c>
      <c r="C572" t="s">
        <v>19</v>
      </c>
      <c r="D572" t="s">
        <v>36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 s="8">
        <v>0.67059999999999997</v>
      </c>
      <c r="K572">
        <v>100000</v>
      </c>
      <c r="L572" s="2">
        <v>45967</v>
      </c>
    </row>
    <row r="573" spans="1:12">
      <c r="A573" t="s">
        <v>871</v>
      </c>
      <c r="B573" t="s">
        <v>872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 s="8">
        <v>0.97309999999999997</v>
      </c>
      <c r="K573">
        <v>80000</v>
      </c>
      <c r="L573" s="2">
        <v>45566</v>
      </c>
    </row>
    <row r="574" spans="1:12">
      <c r="A574" t="s">
        <v>873</v>
      </c>
      <c r="B574" t="s">
        <v>109</v>
      </c>
      <c r="C574" t="s">
        <v>14</v>
      </c>
      <c r="D574" t="s">
        <v>36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 s="8">
        <v>0.84619999999999995</v>
      </c>
      <c r="K574">
        <v>120000</v>
      </c>
      <c r="L574" s="2">
        <v>46165</v>
      </c>
    </row>
    <row r="575" spans="1:12">
      <c r="A575" t="s">
        <v>874</v>
      </c>
      <c r="B575" t="s">
        <v>875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 s="8">
        <v>0.78520000000000001</v>
      </c>
      <c r="K575">
        <v>120000</v>
      </c>
      <c r="L575" s="2">
        <v>45539</v>
      </c>
    </row>
    <row r="576" spans="1:12">
      <c r="A576" t="s">
        <v>876</v>
      </c>
      <c r="B576" t="s">
        <v>482</v>
      </c>
      <c r="C576" t="s">
        <v>14</v>
      </c>
      <c r="D576" t="s">
        <v>53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 s="8">
        <v>0.72130000000000005</v>
      </c>
      <c r="K576">
        <v>120000</v>
      </c>
      <c r="L576" s="2">
        <v>46204</v>
      </c>
    </row>
    <row r="577" spans="1:12">
      <c r="A577" t="s">
        <v>877</v>
      </c>
      <c r="B577" t="s">
        <v>878</v>
      </c>
      <c r="C577" t="s">
        <v>14</v>
      </c>
      <c r="D577" t="s">
        <v>53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 s="8">
        <v>0.72009999999999996</v>
      </c>
      <c r="K577">
        <v>70000</v>
      </c>
      <c r="L577" s="2">
        <v>46046</v>
      </c>
    </row>
    <row r="578" spans="1:12">
      <c r="A578" t="s">
        <v>879</v>
      </c>
      <c r="B578" t="s">
        <v>880</v>
      </c>
      <c r="C578" t="s">
        <v>19</v>
      </c>
      <c r="D578" t="s">
        <v>53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 s="8">
        <v>0.61860000000000004</v>
      </c>
      <c r="K578">
        <v>85000</v>
      </c>
      <c r="L578" s="2">
        <v>46227</v>
      </c>
    </row>
    <row r="579" spans="1:12">
      <c r="A579" t="s">
        <v>881</v>
      </c>
      <c r="B579" t="s">
        <v>490</v>
      </c>
      <c r="C579" t="s">
        <v>19</v>
      </c>
      <c r="D579" t="s">
        <v>36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 s="8">
        <v>0.88939999999999997</v>
      </c>
      <c r="K579">
        <v>50000</v>
      </c>
      <c r="L579" s="2">
        <v>46200</v>
      </c>
    </row>
    <row r="580" spans="1:12">
      <c r="A580" t="s">
        <v>882</v>
      </c>
      <c r="B580" t="s">
        <v>200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 s="8">
        <v>0.99139999999999995</v>
      </c>
      <c r="K580">
        <v>130000</v>
      </c>
      <c r="L580" s="2">
        <v>45755</v>
      </c>
    </row>
    <row r="581" spans="1:12">
      <c r="A581" t="s">
        <v>883</v>
      </c>
      <c r="B581" t="s">
        <v>532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 s="8">
        <v>0.75329999999999997</v>
      </c>
      <c r="K581">
        <v>70000</v>
      </c>
      <c r="L581" s="2">
        <v>46065</v>
      </c>
    </row>
    <row r="582" spans="1:12">
      <c r="A582" t="s">
        <v>884</v>
      </c>
      <c r="B582" t="s">
        <v>431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 s="8">
        <v>0.68700000000000006</v>
      </c>
      <c r="K582">
        <v>90000</v>
      </c>
      <c r="L582" s="2">
        <v>45683</v>
      </c>
    </row>
    <row r="583" spans="1:12">
      <c r="A583" t="s">
        <v>885</v>
      </c>
      <c r="B583" t="s">
        <v>50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 s="8">
        <v>0.61609999999999998</v>
      </c>
      <c r="K583">
        <v>85000</v>
      </c>
      <c r="L583" s="2">
        <v>45866</v>
      </c>
    </row>
    <row r="584" spans="1:12">
      <c r="A584" t="s">
        <v>886</v>
      </c>
      <c r="B584" t="s">
        <v>357</v>
      </c>
      <c r="C584" t="s">
        <v>14</v>
      </c>
      <c r="D584" t="s">
        <v>36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 s="8">
        <v>0.71809999999999996</v>
      </c>
      <c r="K584">
        <v>120000</v>
      </c>
      <c r="L584" s="2">
        <v>45704</v>
      </c>
    </row>
    <row r="585" spans="1:12">
      <c r="A585" t="s">
        <v>887</v>
      </c>
      <c r="B585" t="s">
        <v>106</v>
      </c>
      <c r="C585" t="s">
        <v>14</v>
      </c>
      <c r="D585" t="s">
        <v>36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 s="8">
        <v>0.78890000000000005</v>
      </c>
      <c r="K585">
        <v>120000</v>
      </c>
      <c r="L585" s="2">
        <v>45876</v>
      </c>
    </row>
    <row r="586" spans="1:12">
      <c r="A586" t="s">
        <v>888</v>
      </c>
      <c r="B586" t="s">
        <v>528</v>
      </c>
      <c r="C586" t="s">
        <v>14</v>
      </c>
      <c r="D586" t="s">
        <v>53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 s="8">
        <v>0.79039999999999999</v>
      </c>
      <c r="K586">
        <v>110000</v>
      </c>
      <c r="L586" s="2">
        <v>46146</v>
      </c>
    </row>
    <row r="587" spans="1:12">
      <c r="A587" t="s">
        <v>889</v>
      </c>
      <c r="B587" t="s">
        <v>541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 s="8">
        <v>0.66379999999999995</v>
      </c>
      <c r="K587">
        <v>100000</v>
      </c>
      <c r="L587" s="2">
        <v>45841</v>
      </c>
    </row>
    <row r="588" spans="1:12">
      <c r="A588" t="s">
        <v>890</v>
      </c>
      <c r="B588" t="s">
        <v>79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 s="8">
        <v>0.94240000000000002</v>
      </c>
      <c r="K588">
        <v>60000</v>
      </c>
      <c r="L588" s="2">
        <v>45600</v>
      </c>
    </row>
    <row r="589" spans="1:12">
      <c r="A589" t="s">
        <v>891</v>
      </c>
      <c r="B589" t="s">
        <v>451</v>
      </c>
      <c r="C589" t="s">
        <v>14</v>
      </c>
      <c r="D589" t="s">
        <v>53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 s="8">
        <v>0.86570000000000003</v>
      </c>
      <c r="K589">
        <v>130000</v>
      </c>
      <c r="L589" s="2">
        <v>45763</v>
      </c>
    </row>
    <row r="590" spans="1:12">
      <c r="A590" t="s">
        <v>892</v>
      </c>
      <c r="B590" t="s">
        <v>77</v>
      </c>
      <c r="C590" t="s">
        <v>19</v>
      </c>
      <c r="D590" t="s">
        <v>36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 s="8">
        <v>0.62649999999999995</v>
      </c>
      <c r="K590">
        <v>50000</v>
      </c>
      <c r="L590" s="2">
        <v>46086</v>
      </c>
    </row>
    <row r="591" spans="1:12">
      <c r="A591" t="s">
        <v>893</v>
      </c>
      <c r="B591" t="s">
        <v>675</v>
      </c>
      <c r="C591" t="s">
        <v>19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 s="8">
        <v>0.91310000000000002</v>
      </c>
      <c r="K591">
        <v>85000</v>
      </c>
      <c r="L591" s="2">
        <v>45901</v>
      </c>
    </row>
    <row r="592" spans="1:12">
      <c r="A592" t="s">
        <v>894</v>
      </c>
      <c r="B592" t="s">
        <v>213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 s="8">
        <v>0.75449999999999995</v>
      </c>
      <c r="K592">
        <v>80000</v>
      </c>
      <c r="L592" s="2">
        <v>45928</v>
      </c>
    </row>
    <row r="593" spans="1:12">
      <c r="A593" t="s">
        <v>895</v>
      </c>
      <c r="B593" t="s">
        <v>636</v>
      </c>
      <c r="C593" t="s">
        <v>19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 s="8">
        <v>0.8861</v>
      </c>
      <c r="K593">
        <v>80000</v>
      </c>
      <c r="L593" s="2">
        <v>45837</v>
      </c>
    </row>
    <row r="594" spans="1:12">
      <c r="A594" t="s">
        <v>896</v>
      </c>
      <c r="B594" t="s">
        <v>878</v>
      </c>
      <c r="C594" t="s">
        <v>14</v>
      </c>
      <c r="D594" t="s">
        <v>15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 s="8">
        <v>0.6996</v>
      </c>
      <c r="K594">
        <v>130000</v>
      </c>
      <c r="L594" s="2">
        <v>45740</v>
      </c>
    </row>
    <row r="595" spans="1:12">
      <c r="A595" t="s">
        <v>897</v>
      </c>
      <c r="B595" t="s">
        <v>898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 s="8">
        <v>0.80689999999999995</v>
      </c>
      <c r="K595">
        <v>70000</v>
      </c>
      <c r="L595" s="2">
        <v>45954</v>
      </c>
    </row>
    <row r="596" spans="1:12">
      <c r="A596" t="s">
        <v>899</v>
      </c>
      <c r="B596" t="s">
        <v>274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 s="8">
        <v>0.94950000000000001</v>
      </c>
      <c r="K596">
        <v>90000</v>
      </c>
      <c r="L596" s="2">
        <v>45979</v>
      </c>
    </row>
    <row r="597" spans="1:12">
      <c r="A597" t="s">
        <v>900</v>
      </c>
      <c r="B597" t="s">
        <v>412</v>
      </c>
      <c r="C597" t="s">
        <v>19</v>
      </c>
      <c r="D597" t="s">
        <v>53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 s="8">
        <v>0.86019999999999996</v>
      </c>
      <c r="K597">
        <v>70000</v>
      </c>
      <c r="L597" s="2">
        <v>46164</v>
      </c>
    </row>
    <row r="598" spans="1:12">
      <c r="A598" t="s">
        <v>901</v>
      </c>
      <c r="B598" t="s">
        <v>710</v>
      </c>
      <c r="C598" t="s">
        <v>19</v>
      </c>
      <c r="D598" t="s">
        <v>53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 s="8">
        <v>0.59350000000000003</v>
      </c>
      <c r="K598">
        <v>130000</v>
      </c>
      <c r="L598" s="2">
        <v>45968</v>
      </c>
    </row>
    <row r="599" spans="1:12">
      <c r="A599" t="s">
        <v>902</v>
      </c>
      <c r="B599" t="s">
        <v>805</v>
      </c>
      <c r="C599" t="s">
        <v>19</v>
      </c>
      <c r="D599" t="s">
        <v>36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 s="8">
        <v>0.87170000000000003</v>
      </c>
      <c r="K599">
        <v>110000</v>
      </c>
      <c r="L599" s="2">
        <v>46232</v>
      </c>
    </row>
    <row r="600" spans="1:12">
      <c r="A600" t="s">
        <v>903</v>
      </c>
      <c r="B600" t="s">
        <v>61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 s="8">
        <v>0.76070000000000004</v>
      </c>
      <c r="K600">
        <v>80000</v>
      </c>
      <c r="L600" s="2">
        <v>46114</v>
      </c>
    </row>
    <row r="601" spans="1:12">
      <c r="A601" t="s">
        <v>904</v>
      </c>
      <c r="B601" t="s">
        <v>392</v>
      </c>
      <c r="C601" t="s">
        <v>19</v>
      </c>
      <c r="D601" t="s">
        <v>36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 s="8">
        <v>0.94220000000000004</v>
      </c>
      <c r="K601">
        <v>50000</v>
      </c>
      <c r="L601" s="2">
        <v>45591</v>
      </c>
    </row>
    <row r="602" spans="1:12">
      <c r="A602" t="s">
        <v>905</v>
      </c>
      <c r="B602" t="s">
        <v>301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 s="8">
        <v>0.89649999999999996</v>
      </c>
      <c r="K602">
        <v>60000</v>
      </c>
      <c r="L602" s="2">
        <v>45810</v>
      </c>
    </row>
    <row r="603" spans="1:12">
      <c r="A603" t="s">
        <v>906</v>
      </c>
      <c r="B603" t="s">
        <v>589</v>
      </c>
      <c r="C603" t="s">
        <v>19</v>
      </c>
      <c r="D603" t="s">
        <v>28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 s="8">
        <v>0.9133</v>
      </c>
      <c r="K603">
        <v>70000</v>
      </c>
      <c r="L603" s="2">
        <v>45805</v>
      </c>
    </row>
    <row r="604" spans="1:12">
      <c r="A604" t="s">
        <v>907</v>
      </c>
      <c r="B604" t="s">
        <v>908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 s="8">
        <v>0.73009999999999997</v>
      </c>
      <c r="K604">
        <v>80000</v>
      </c>
      <c r="L604" s="2">
        <v>45538</v>
      </c>
    </row>
    <row r="605" spans="1:12">
      <c r="A605" t="s">
        <v>909</v>
      </c>
      <c r="B605" t="s">
        <v>115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 s="8">
        <v>0.91159999999999997</v>
      </c>
      <c r="K605">
        <v>120000</v>
      </c>
      <c r="L605" s="2">
        <v>45662</v>
      </c>
    </row>
    <row r="606" spans="1:12">
      <c r="A606" t="s">
        <v>910</v>
      </c>
      <c r="B606" t="s">
        <v>239</v>
      </c>
      <c r="C606" t="s">
        <v>19</v>
      </c>
      <c r="D606" t="s">
        <v>15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 s="8">
        <v>0.55000000000000004</v>
      </c>
      <c r="K606">
        <v>60000</v>
      </c>
      <c r="L606" s="2">
        <v>46069</v>
      </c>
    </row>
    <row r="607" spans="1:12">
      <c r="A607" t="s">
        <v>911</v>
      </c>
      <c r="B607" t="s">
        <v>912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 s="8">
        <v>0.9637</v>
      </c>
      <c r="K607">
        <v>90000</v>
      </c>
      <c r="L607" s="2">
        <v>45782</v>
      </c>
    </row>
    <row r="608" spans="1:12">
      <c r="A608" t="s">
        <v>913</v>
      </c>
      <c r="B608" t="s">
        <v>833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 s="8">
        <v>0.66120000000000001</v>
      </c>
      <c r="K608">
        <v>75000</v>
      </c>
      <c r="L608" s="2">
        <v>45639</v>
      </c>
    </row>
    <row r="609" spans="1:12">
      <c r="A609" t="s">
        <v>914</v>
      </c>
      <c r="B609" t="s">
        <v>915</v>
      </c>
      <c r="C609" t="s">
        <v>19</v>
      </c>
      <c r="D609" t="s">
        <v>53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 s="8">
        <v>0.84309999999999996</v>
      </c>
      <c r="K609">
        <v>50000</v>
      </c>
      <c r="L609" s="2">
        <v>45737</v>
      </c>
    </row>
    <row r="610" spans="1:12">
      <c r="A610" t="s">
        <v>916</v>
      </c>
      <c r="B610" t="s">
        <v>653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 s="8">
        <v>0.75800000000000001</v>
      </c>
      <c r="K610">
        <v>90000</v>
      </c>
      <c r="L610" s="2">
        <v>45728</v>
      </c>
    </row>
    <row r="611" spans="1:12">
      <c r="A611" t="s">
        <v>917</v>
      </c>
      <c r="B611" t="s">
        <v>323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 s="8">
        <v>0.86609999999999998</v>
      </c>
      <c r="K611">
        <v>100000</v>
      </c>
      <c r="L611" s="2">
        <v>45658</v>
      </c>
    </row>
    <row r="612" spans="1:12">
      <c r="A612" t="s">
        <v>918</v>
      </c>
      <c r="B612" t="s">
        <v>380</v>
      </c>
      <c r="C612" t="s">
        <v>19</v>
      </c>
      <c r="D612" t="s">
        <v>36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 s="8">
        <v>0.55000000000000004</v>
      </c>
      <c r="K612">
        <v>130000</v>
      </c>
      <c r="L612" s="2">
        <v>45606</v>
      </c>
    </row>
    <row r="613" spans="1:12">
      <c r="A613" t="s">
        <v>919</v>
      </c>
      <c r="B613" t="s">
        <v>69</v>
      </c>
      <c r="C613" t="s">
        <v>14</v>
      </c>
      <c r="D613" t="s">
        <v>53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 s="8">
        <v>0.74650000000000005</v>
      </c>
      <c r="K613">
        <v>85000</v>
      </c>
      <c r="L613" s="2">
        <v>46070</v>
      </c>
    </row>
    <row r="614" spans="1:12">
      <c r="A614" t="s">
        <v>920</v>
      </c>
      <c r="B614" t="s">
        <v>697</v>
      </c>
      <c r="C614" t="s">
        <v>19</v>
      </c>
      <c r="D614" t="s">
        <v>53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 s="8">
        <v>0.55000000000000004</v>
      </c>
      <c r="K614">
        <v>75000</v>
      </c>
      <c r="L614" s="2">
        <v>46113</v>
      </c>
    </row>
    <row r="615" spans="1:12">
      <c r="A615" t="s">
        <v>921</v>
      </c>
      <c r="B615" t="s">
        <v>161</v>
      </c>
      <c r="C615" t="s">
        <v>14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 s="8">
        <v>0.96399999999999997</v>
      </c>
      <c r="K615">
        <v>120000</v>
      </c>
      <c r="L615" s="2">
        <v>45883</v>
      </c>
    </row>
    <row r="616" spans="1:12">
      <c r="A616" t="s">
        <v>922</v>
      </c>
      <c r="B616" t="s">
        <v>923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 s="8">
        <v>0.73899999999999999</v>
      </c>
      <c r="K616">
        <v>70000</v>
      </c>
      <c r="L616" s="2">
        <v>45966</v>
      </c>
    </row>
    <row r="617" spans="1:12">
      <c r="A617" t="s">
        <v>924</v>
      </c>
      <c r="B617" t="s">
        <v>777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 s="8">
        <v>0.80759999999999998</v>
      </c>
      <c r="K617">
        <v>100000</v>
      </c>
      <c r="L617" s="2">
        <v>46179</v>
      </c>
    </row>
    <row r="618" spans="1:12">
      <c r="A618" t="s">
        <v>925</v>
      </c>
      <c r="B618" t="s">
        <v>926</v>
      </c>
      <c r="C618" t="s">
        <v>14</v>
      </c>
      <c r="D618" t="s">
        <v>32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 s="8">
        <v>0.85309999999999997</v>
      </c>
      <c r="K618">
        <v>130000</v>
      </c>
      <c r="L618" s="2">
        <v>46125</v>
      </c>
    </row>
    <row r="619" spans="1:12">
      <c r="A619" t="s">
        <v>927</v>
      </c>
      <c r="B619" t="s">
        <v>928</v>
      </c>
      <c r="C619" t="s">
        <v>14</v>
      </c>
      <c r="D619" t="s">
        <v>53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 s="8">
        <v>0.77849999999999997</v>
      </c>
      <c r="K619">
        <v>50000</v>
      </c>
      <c r="L619" s="2">
        <v>45558</v>
      </c>
    </row>
    <row r="620" spans="1:12">
      <c r="A620" t="s">
        <v>929</v>
      </c>
      <c r="B620" t="s">
        <v>930</v>
      </c>
      <c r="C620" t="s">
        <v>14</v>
      </c>
      <c r="D620" t="s">
        <v>36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 s="8">
        <v>0.64100000000000001</v>
      </c>
      <c r="K620">
        <v>130000</v>
      </c>
      <c r="L620" s="2">
        <v>46203</v>
      </c>
    </row>
    <row r="621" spans="1:12">
      <c r="A621" t="s">
        <v>931</v>
      </c>
      <c r="B621" t="s">
        <v>186</v>
      </c>
      <c r="C621" t="s">
        <v>14</v>
      </c>
      <c r="D621" t="s">
        <v>15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 s="8">
        <v>0.92290000000000005</v>
      </c>
      <c r="K621">
        <v>70000</v>
      </c>
      <c r="L621" s="2">
        <v>45582</v>
      </c>
    </row>
    <row r="622" spans="1:12">
      <c r="A622" t="s">
        <v>932</v>
      </c>
      <c r="B622" t="s">
        <v>431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 s="8">
        <v>0.88260000000000005</v>
      </c>
      <c r="K622">
        <v>85000</v>
      </c>
      <c r="L622" s="2">
        <v>45554</v>
      </c>
    </row>
    <row r="623" spans="1:12">
      <c r="A623" t="s">
        <v>933</v>
      </c>
      <c r="B623" t="s">
        <v>210</v>
      </c>
      <c r="C623" t="s">
        <v>14</v>
      </c>
      <c r="D623" t="s">
        <v>20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 s="8">
        <v>0.9829</v>
      </c>
      <c r="K623">
        <v>70000</v>
      </c>
      <c r="L623" s="2">
        <v>45818</v>
      </c>
    </row>
    <row r="624" spans="1:12">
      <c r="A624" t="s">
        <v>934</v>
      </c>
      <c r="B624" t="s">
        <v>370</v>
      </c>
      <c r="C624" t="s">
        <v>14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 s="8">
        <v>0.95050000000000001</v>
      </c>
      <c r="K624">
        <v>60000</v>
      </c>
      <c r="L624" s="2">
        <v>46058</v>
      </c>
    </row>
    <row r="625" spans="1:12">
      <c r="A625" t="s">
        <v>935</v>
      </c>
      <c r="B625" t="s">
        <v>164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 s="8">
        <v>0.87350000000000005</v>
      </c>
      <c r="K625">
        <v>100000</v>
      </c>
      <c r="L625" s="2">
        <v>45592</v>
      </c>
    </row>
    <row r="626" spans="1:12">
      <c r="A626" t="s">
        <v>936</v>
      </c>
      <c r="B626" t="s">
        <v>59</v>
      </c>
      <c r="C626" t="s">
        <v>19</v>
      </c>
      <c r="D626" t="s">
        <v>28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 s="8">
        <v>0.75249999999999995</v>
      </c>
      <c r="K626">
        <v>85000</v>
      </c>
      <c r="L626" s="2">
        <v>45741</v>
      </c>
    </row>
    <row r="627" spans="1:12">
      <c r="A627" t="s">
        <v>937</v>
      </c>
      <c r="B627" t="s">
        <v>737</v>
      </c>
      <c r="C627" t="s">
        <v>14</v>
      </c>
      <c r="D627" t="s">
        <v>28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 s="8">
        <v>0.98350000000000004</v>
      </c>
      <c r="K627">
        <v>85000</v>
      </c>
      <c r="L627" s="2">
        <v>45719</v>
      </c>
    </row>
    <row r="628" spans="1:12">
      <c r="A628" t="s">
        <v>938</v>
      </c>
      <c r="B628" t="s">
        <v>939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 s="8">
        <v>0.90610000000000002</v>
      </c>
      <c r="K628">
        <v>85000</v>
      </c>
      <c r="L628" s="2">
        <v>45814</v>
      </c>
    </row>
    <row r="629" spans="1:12">
      <c r="A629" t="s">
        <v>940</v>
      </c>
      <c r="B629" t="s">
        <v>460</v>
      </c>
      <c r="C629" t="s">
        <v>14</v>
      </c>
      <c r="D629" t="s">
        <v>36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 s="8">
        <v>0.93130000000000002</v>
      </c>
      <c r="K629">
        <v>110000</v>
      </c>
      <c r="L629" s="2">
        <v>46226</v>
      </c>
    </row>
    <row r="630" spans="1:12">
      <c r="A630" t="s">
        <v>941</v>
      </c>
      <c r="B630" t="s">
        <v>618</v>
      </c>
      <c r="C630" t="s">
        <v>19</v>
      </c>
      <c r="D630" t="s">
        <v>36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 s="8">
        <v>0.73860000000000003</v>
      </c>
      <c r="K630">
        <v>130000</v>
      </c>
      <c r="L630" s="2">
        <v>45767</v>
      </c>
    </row>
    <row r="631" spans="1:12">
      <c r="A631" t="s">
        <v>942</v>
      </c>
      <c r="B631" t="s">
        <v>833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 s="8">
        <v>0.80720000000000003</v>
      </c>
      <c r="K631">
        <v>85000</v>
      </c>
      <c r="L631" s="2">
        <v>45682</v>
      </c>
    </row>
    <row r="632" spans="1:12">
      <c r="A632" t="s">
        <v>943</v>
      </c>
      <c r="B632" t="s">
        <v>518</v>
      </c>
      <c r="C632" t="s">
        <v>19</v>
      </c>
      <c r="D632" t="s">
        <v>53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 s="8">
        <v>0.70789999999999997</v>
      </c>
      <c r="K632">
        <v>60000</v>
      </c>
      <c r="L632" s="2">
        <v>45621</v>
      </c>
    </row>
    <row r="633" spans="1:12">
      <c r="A633" t="s">
        <v>944</v>
      </c>
      <c r="B633" t="s">
        <v>291</v>
      </c>
      <c r="C633" t="s">
        <v>14</v>
      </c>
      <c r="D633" t="s">
        <v>36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 s="8">
        <v>0.83879999999999999</v>
      </c>
      <c r="K633">
        <v>75000</v>
      </c>
      <c r="L633" s="2">
        <v>45674</v>
      </c>
    </row>
    <row r="634" spans="1:12">
      <c r="A634" t="s">
        <v>945</v>
      </c>
      <c r="B634" t="s">
        <v>474</v>
      </c>
      <c r="C634" t="s">
        <v>14</v>
      </c>
      <c r="D634" t="s">
        <v>36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 s="8">
        <v>0.59550000000000003</v>
      </c>
      <c r="K634">
        <v>85000</v>
      </c>
      <c r="L634" s="2">
        <v>45629</v>
      </c>
    </row>
    <row r="635" spans="1:12">
      <c r="A635" t="s">
        <v>946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 s="8">
        <v>0.87860000000000005</v>
      </c>
      <c r="K635">
        <v>60000</v>
      </c>
      <c r="L635" s="2">
        <v>45937</v>
      </c>
    </row>
    <row r="636" spans="1:12">
      <c r="A636" t="s">
        <v>947</v>
      </c>
      <c r="B636" t="s">
        <v>251</v>
      </c>
      <c r="C636" t="s">
        <v>14</v>
      </c>
      <c r="D636" t="s">
        <v>28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 s="8">
        <v>0.71719999999999995</v>
      </c>
      <c r="K636">
        <v>70000</v>
      </c>
      <c r="L636" s="2">
        <v>45830</v>
      </c>
    </row>
    <row r="637" spans="1:12">
      <c r="A637" t="s">
        <v>948</v>
      </c>
      <c r="B637" t="s">
        <v>949</v>
      </c>
      <c r="C637" t="s">
        <v>19</v>
      </c>
      <c r="D637" t="s">
        <v>32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 s="8">
        <v>0.87719999999999998</v>
      </c>
      <c r="K637">
        <v>70000</v>
      </c>
      <c r="L637" s="2">
        <v>45884</v>
      </c>
    </row>
    <row r="638" spans="1:12">
      <c r="A638" t="s">
        <v>950</v>
      </c>
      <c r="B638" t="s">
        <v>581</v>
      </c>
      <c r="C638" t="s">
        <v>14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 s="8">
        <v>0.86419999999999997</v>
      </c>
      <c r="K638">
        <v>130000</v>
      </c>
      <c r="L638" s="2">
        <v>46118</v>
      </c>
    </row>
    <row r="639" spans="1:12">
      <c r="A639" t="s">
        <v>951</v>
      </c>
      <c r="B639" t="s">
        <v>562</v>
      </c>
      <c r="C639" t="s">
        <v>14</v>
      </c>
      <c r="D639" t="s">
        <v>36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 s="8">
        <v>0.76659999999999995</v>
      </c>
      <c r="K639">
        <v>80000</v>
      </c>
      <c r="L639" s="2">
        <v>45942</v>
      </c>
    </row>
    <row r="640" spans="1:12">
      <c r="A640" t="s">
        <v>952</v>
      </c>
      <c r="B640" t="s">
        <v>671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 s="8">
        <v>0.85640000000000005</v>
      </c>
      <c r="K640">
        <v>120000</v>
      </c>
      <c r="L640" s="2">
        <v>45644</v>
      </c>
    </row>
    <row r="641" spans="1:12">
      <c r="A641" t="s">
        <v>953</v>
      </c>
      <c r="B641" t="s">
        <v>256</v>
      </c>
      <c r="C641" t="s">
        <v>19</v>
      </c>
      <c r="D641" t="s">
        <v>32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 s="8">
        <v>0.68010000000000004</v>
      </c>
      <c r="K641">
        <v>90000</v>
      </c>
      <c r="L641" s="2">
        <v>45799</v>
      </c>
    </row>
    <row r="642" spans="1:12">
      <c r="A642" t="s">
        <v>954</v>
      </c>
      <c r="B642" t="s">
        <v>148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 s="8">
        <v>0.55000000000000004</v>
      </c>
      <c r="K642">
        <v>85000</v>
      </c>
      <c r="L642" s="2">
        <v>45754</v>
      </c>
    </row>
    <row r="643" spans="1:12">
      <c r="A643" t="s">
        <v>955</v>
      </c>
      <c r="B643" t="s">
        <v>433</v>
      </c>
      <c r="C643" t="s">
        <v>19</v>
      </c>
      <c r="D643" t="s">
        <v>53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 s="8">
        <v>0.91769999999999996</v>
      </c>
      <c r="K643">
        <v>130000</v>
      </c>
      <c r="L643" s="2">
        <v>46114</v>
      </c>
    </row>
    <row r="644" spans="1:12">
      <c r="A644" t="s">
        <v>956</v>
      </c>
      <c r="B644" t="s">
        <v>180</v>
      </c>
      <c r="C644" t="s">
        <v>19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 s="8">
        <v>0.85019999999999996</v>
      </c>
      <c r="K644">
        <v>100000</v>
      </c>
      <c r="L644" s="2">
        <v>45750</v>
      </c>
    </row>
    <row r="645" spans="1:12">
      <c r="A645" t="s">
        <v>957</v>
      </c>
      <c r="B645" t="s">
        <v>285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 s="8">
        <v>0.92879999999999996</v>
      </c>
      <c r="K645">
        <v>70000</v>
      </c>
      <c r="L645" s="2">
        <v>45633</v>
      </c>
    </row>
    <row r="646" spans="1:12">
      <c r="A646" t="s">
        <v>958</v>
      </c>
      <c r="B646" t="s">
        <v>127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 s="8">
        <v>0.97140000000000004</v>
      </c>
      <c r="K646">
        <v>75000</v>
      </c>
      <c r="L646" s="2">
        <v>46051</v>
      </c>
    </row>
    <row r="647" spans="1:12">
      <c r="A647" t="s">
        <v>959</v>
      </c>
      <c r="B647" t="s">
        <v>241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 s="8">
        <v>0.94579999999999997</v>
      </c>
      <c r="K647">
        <v>100000</v>
      </c>
      <c r="L647" s="2">
        <v>45835</v>
      </c>
    </row>
    <row r="648" spans="1:12">
      <c r="A648" t="s">
        <v>960</v>
      </c>
      <c r="B648" t="s">
        <v>872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 s="8">
        <v>0.80489999999999995</v>
      </c>
      <c r="K648">
        <v>50000</v>
      </c>
      <c r="L648" s="2">
        <v>45603</v>
      </c>
    </row>
    <row r="649" spans="1:12">
      <c r="A649" t="s">
        <v>961</v>
      </c>
      <c r="B649" t="s">
        <v>485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 s="8">
        <v>0.9093</v>
      </c>
      <c r="K649">
        <v>60000</v>
      </c>
      <c r="L649" s="2">
        <v>46018</v>
      </c>
    </row>
    <row r="650" spans="1:12">
      <c r="A650" t="s">
        <v>962</v>
      </c>
      <c r="B650" t="s">
        <v>761</v>
      </c>
      <c r="C650" t="s">
        <v>19</v>
      </c>
      <c r="D650" t="s">
        <v>15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 s="8">
        <v>0.70750000000000002</v>
      </c>
      <c r="K650">
        <v>50000</v>
      </c>
      <c r="L650" s="2">
        <v>45683</v>
      </c>
    </row>
    <row r="651" spans="1:12">
      <c r="A651" t="s">
        <v>963</v>
      </c>
      <c r="B651" t="s">
        <v>77</v>
      </c>
      <c r="C651" t="s">
        <v>19</v>
      </c>
      <c r="D651" t="s">
        <v>28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 s="8">
        <v>0.89190000000000003</v>
      </c>
      <c r="K651">
        <v>100000</v>
      </c>
      <c r="L651" s="2">
        <v>46143</v>
      </c>
    </row>
    <row r="652" spans="1:12">
      <c r="A652" t="s">
        <v>964</v>
      </c>
      <c r="B652" t="s">
        <v>833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 s="8">
        <v>0.94720000000000004</v>
      </c>
      <c r="K652">
        <v>80000</v>
      </c>
      <c r="L652" s="2">
        <v>46118</v>
      </c>
    </row>
    <row r="653" spans="1:12">
      <c r="A653" t="s">
        <v>965</v>
      </c>
      <c r="B653" t="s">
        <v>98</v>
      </c>
      <c r="C653" t="s">
        <v>19</v>
      </c>
      <c r="D653" t="s">
        <v>36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 s="8">
        <v>0.78739999999999999</v>
      </c>
      <c r="K653">
        <v>50000</v>
      </c>
      <c r="L653" s="2">
        <v>45794</v>
      </c>
    </row>
    <row r="654" spans="1:12">
      <c r="A654" t="s">
        <v>966</v>
      </c>
      <c r="B654" t="s">
        <v>564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 s="8">
        <v>0.85770000000000002</v>
      </c>
      <c r="K654">
        <v>110000</v>
      </c>
      <c r="L654" s="2">
        <v>45924</v>
      </c>
    </row>
    <row r="655" spans="1:12">
      <c r="A655" t="s">
        <v>967</v>
      </c>
      <c r="B655" t="s">
        <v>880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 s="8">
        <v>0.95340000000000003</v>
      </c>
      <c r="K655">
        <v>100000</v>
      </c>
      <c r="L655" s="2">
        <v>45933</v>
      </c>
    </row>
    <row r="656" spans="1:12">
      <c r="A656" t="s">
        <v>968</v>
      </c>
      <c r="B656" t="s">
        <v>226</v>
      </c>
      <c r="C656" t="s">
        <v>19</v>
      </c>
      <c r="D656" t="s">
        <v>36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 s="8">
        <v>0.93410000000000004</v>
      </c>
      <c r="K656">
        <v>100000</v>
      </c>
      <c r="L656" s="2">
        <v>45993</v>
      </c>
    </row>
    <row r="657" spans="1:12">
      <c r="A657" t="s">
        <v>969</v>
      </c>
      <c r="B657" t="s">
        <v>50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 s="8">
        <v>0.88429999999999997</v>
      </c>
      <c r="K657">
        <v>60000</v>
      </c>
      <c r="L657" s="2">
        <v>45584</v>
      </c>
    </row>
    <row r="658" spans="1:12">
      <c r="A658" t="s">
        <v>970</v>
      </c>
      <c r="B658" t="s">
        <v>61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 s="8">
        <v>0.86040000000000005</v>
      </c>
      <c r="K658">
        <v>120000</v>
      </c>
      <c r="L658" s="2">
        <v>45763</v>
      </c>
    </row>
    <row r="659" spans="1:12">
      <c r="A659" t="s">
        <v>971</v>
      </c>
      <c r="B659" t="s">
        <v>310</v>
      </c>
      <c r="C659" t="s">
        <v>19</v>
      </c>
      <c r="D659" t="s">
        <v>15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 s="8">
        <v>0.89090000000000003</v>
      </c>
      <c r="K659">
        <v>60000</v>
      </c>
      <c r="L659" s="2">
        <v>45655</v>
      </c>
    </row>
    <row r="660" spans="1:12">
      <c r="A660" t="s">
        <v>972</v>
      </c>
      <c r="B660" t="s">
        <v>494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 s="8">
        <v>0.69230000000000003</v>
      </c>
      <c r="K660">
        <v>90000</v>
      </c>
      <c r="L660" s="2">
        <v>46024</v>
      </c>
    </row>
    <row r="661" spans="1:12">
      <c r="A661" t="s">
        <v>973</v>
      </c>
      <c r="B661" t="s">
        <v>555</v>
      </c>
      <c r="C661" t="s">
        <v>14</v>
      </c>
      <c r="D661" t="s">
        <v>20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 s="8">
        <v>0.60650000000000004</v>
      </c>
      <c r="K661">
        <v>90000</v>
      </c>
      <c r="L661" s="2">
        <v>45584</v>
      </c>
    </row>
    <row r="662" spans="1:12">
      <c r="A662" t="s">
        <v>974</v>
      </c>
      <c r="B662" t="s">
        <v>975</v>
      </c>
      <c r="C662" t="s">
        <v>14</v>
      </c>
      <c r="D662" t="s">
        <v>15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 s="8">
        <v>0.95640000000000003</v>
      </c>
      <c r="K662">
        <v>70000</v>
      </c>
      <c r="L662" s="2">
        <v>45897</v>
      </c>
    </row>
    <row r="663" spans="1:12">
      <c r="A663" t="s">
        <v>976</v>
      </c>
      <c r="B663" t="s">
        <v>166</v>
      </c>
      <c r="C663" t="s">
        <v>19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 s="8">
        <v>0.90159999999999996</v>
      </c>
      <c r="K663">
        <v>80000</v>
      </c>
      <c r="L663" s="2">
        <v>46045</v>
      </c>
    </row>
    <row r="664" spans="1:12">
      <c r="A664" t="s">
        <v>977</v>
      </c>
      <c r="B664" t="s">
        <v>482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 s="8">
        <v>0.91339999999999999</v>
      </c>
      <c r="K664">
        <v>50000</v>
      </c>
      <c r="L664" s="2">
        <v>46199</v>
      </c>
    </row>
    <row r="665" spans="1:12">
      <c r="A665" t="s">
        <v>978</v>
      </c>
      <c r="B665" t="s">
        <v>202</v>
      </c>
      <c r="C665" t="s">
        <v>14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 s="8">
        <v>0.94720000000000004</v>
      </c>
      <c r="K665">
        <v>85000</v>
      </c>
      <c r="L665" s="2">
        <v>45737</v>
      </c>
    </row>
    <row r="666" spans="1:12">
      <c r="A666" t="s">
        <v>979</v>
      </c>
      <c r="B666" t="s">
        <v>315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 s="8">
        <v>0.97170000000000001</v>
      </c>
      <c r="K666">
        <v>100000</v>
      </c>
      <c r="L666" s="2">
        <v>45541</v>
      </c>
    </row>
    <row r="667" spans="1:12">
      <c r="A667" t="s">
        <v>980</v>
      </c>
      <c r="B667" t="s">
        <v>301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 s="8">
        <v>0.93730000000000002</v>
      </c>
      <c r="K667">
        <v>75000</v>
      </c>
      <c r="L667" s="2">
        <v>46042</v>
      </c>
    </row>
    <row r="668" spans="1:12">
      <c r="A668" t="s">
        <v>981</v>
      </c>
      <c r="B668" t="s">
        <v>420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 s="8">
        <v>0.80459999999999998</v>
      </c>
      <c r="K668">
        <v>85000</v>
      </c>
      <c r="L668" s="2">
        <v>45537</v>
      </c>
    </row>
    <row r="669" spans="1:12">
      <c r="A669" t="s">
        <v>982</v>
      </c>
      <c r="B669" t="s">
        <v>123</v>
      </c>
      <c r="C669" t="s">
        <v>19</v>
      </c>
      <c r="D669" t="s">
        <v>20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 s="8">
        <v>0.86370000000000002</v>
      </c>
      <c r="K669">
        <v>130000</v>
      </c>
      <c r="L669" s="2">
        <v>45582</v>
      </c>
    </row>
    <row r="670" spans="1:12">
      <c r="A670" t="s">
        <v>983</v>
      </c>
      <c r="B670" t="s">
        <v>984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 s="8">
        <v>0.71220000000000006</v>
      </c>
      <c r="K670">
        <v>70000</v>
      </c>
      <c r="L670" s="2">
        <v>46229</v>
      </c>
    </row>
    <row r="671" spans="1:12">
      <c r="A671" t="s">
        <v>985</v>
      </c>
      <c r="B671" t="s">
        <v>496</v>
      </c>
      <c r="C671" t="s">
        <v>14</v>
      </c>
      <c r="D671" t="s">
        <v>20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 s="8">
        <v>0.88290000000000002</v>
      </c>
      <c r="K671">
        <v>75000</v>
      </c>
      <c r="L671" s="2">
        <v>46139</v>
      </c>
    </row>
    <row r="672" spans="1:12">
      <c r="A672" t="s">
        <v>986</v>
      </c>
      <c r="B672" t="s">
        <v>213</v>
      </c>
      <c r="C672" t="s">
        <v>19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 s="8">
        <v>0.84699999999999998</v>
      </c>
      <c r="K672">
        <v>60000</v>
      </c>
      <c r="L672" s="2">
        <v>46031</v>
      </c>
    </row>
    <row r="673" spans="1:12">
      <c r="A673" t="s">
        <v>987</v>
      </c>
      <c r="B673" t="s">
        <v>734</v>
      </c>
      <c r="C673" t="s">
        <v>19</v>
      </c>
      <c r="D673" t="s">
        <v>28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 s="8">
        <v>0.55000000000000004</v>
      </c>
      <c r="K673">
        <v>85000</v>
      </c>
      <c r="L673" s="2">
        <v>46120</v>
      </c>
    </row>
    <row r="674" spans="1:12">
      <c r="A674" t="s">
        <v>988</v>
      </c>
      <c r="B674" t="s">
        <v>237</v>
      </c>
      <c r="C674" t="s">
        <v>19</v>
      </c>
      <c r="D674" t="s">
        <v>36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 s="8">
        <v>0.65739999999999998</v>
      </c>
      <c r="K674">
        <v>70000</v>
      </c>
      <c r="L674" s="2">
        <v>45588</v>
      </c>
    </row>
    <row r="675" spans="1:12">
      <c r="A675" t="s">
        <v>989</v>
      </c>
      <c r="B675" t="s">
        <v>926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 s="8">
        <v>0.59</v>
      </c>
      <c r="K675">
        <v>120000</v>
      </c>
      <c r="L675" s="2">
        <v>45598</v>
      </c>
    </row>
    <row r="676" spans="1:12">
      <c r="A676" t="s">
        <v>990</v>
      </c>
      <c r="B676" t="s">
        <v>589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 s="8">
        <v>0.73750000000000004</v>
      </c>
      <c r="K676">
        <v>75000</v>
      </c>
      <c r="L676" s="2">
        <v>45746</v>
      </c>
    </row>
    <row r="677" spans="1:12">
      <c r="A677" t="s">
        <v>991</v>
      </c>
      <c r="B677" t="s">
        <v>229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 s="8">
        <v>0.88280000000000003</v>
      </c>
      <c r="K677">
        <v>100000</v>
      </c>
      <c r="L677" s="2">
        <v>45552</v>
      </c>
    </row>
    <row r="678" spans="1:12">
      <c r="A678" t="s">
        <v>992</v>
      </c>
      <c r="B678" t="s">
        <v>226</v>
      </c>
      <c r="C678" t="s">
        <v>19</v>
      </c>
      <c r="D678" t="s">
        <v>36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 s="8">
        <v>0.93310000000000004</v>
      </c>
      <c r="K678">
        <v>70000</v>
      </c>
      <c r="L678" s="2">
        <v>46157</v>
      </c>
    </row>
    <row r="679" spans="1:12">
      <c r="A679" t="s">
        <v>993</v>
      </c>
      <c r="B679" t="s">
        <v>444</v>
      </c>
      <c r="C679" t="s">
        <v>14</v>
      </c>
      <c r="D679" t="s">
        <v>53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 s="8">
        <v>0.85160000000000002</v>
      </c>
      <c r="K679">
        <v>75000</v>
      </c>
      <c r="L679" s="2">
        <v>45575</v>
      </c>
    </row>
    <row r="680" spans="1:12">
      <c r="A680" t="s">
        <v>994</v>
      </c>
      <c r="B680" t="s">
        <v>690</v>
      </c>
      <c r="C680" t="s">
        <v>19</v>
      </c>
      <c r="D680" t="s">
        <v>28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 s="8">
        <v>0.75070000000000003</v>
      </c>
      <c r="K680">
        <v>60000</v>
      </c>
      <c r="L680" s="2">
        <v>45916</v>
      </c>
    </row>
    <row r="681" spans="1:12">
      <c r="A681" t="s">
        <v>995</v>
      </c>
      <c r="B681" t="s">
        <v>307</v>
      </c>
      <c r="C681" t="s">
        <v>19</v>
      </c>
      <c r="D681" t="s">
        <v>53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 s="8">
        <v>0.84740000000000004</v>
      </c>
      <c r="K681">
        <v>90000</v>
      </c>
      <c r="L681" s="2">
        <v>46133</v>
      </c>
    </row>
    <row r="682" spans="1:12">
      <c r="A682" t="s">
        <v>996</v>
      </c>
      <c r="B682" t="s">
        <v>690</v>
      </c>
      <c r="C682" t="s">
        <v>19</v>
      </c>
      <c r="D682" t="s">
        <v>36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 s="8">
        <v>0.73050000000000004</v>
      </c>
      <c r="K682">
        <v>50000</v>
      </c>
      <c r="L682" s="2">
        <v>46050</v>
      </c>
    </row>
    <row r="683" spans="1:12">
      <c r="A683" t="s">
        <v>997</v>
      </c>
      <c r="B683" t="s">
        <v>474</v>
      </c>
      <c r="C683" t="s">
        <v>14</v>
      </c>
      <c r="D683" t="s">
        <v>53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 s="8">
        <v>0.82169999999999999</v>
      </c>
      <c r="K683">
        <v>50000</v>
      </c>
      <c r="L683" s="2">
        <v>45700</v>
      </c>
    </row>
    <row r="684" spans="1:12">
      <c r="A684" t="s">
        <v>998</v>
      </c>
      <c r="B684" t="s">
        <v>67</v>
      </c>
      <c r="C684" t="s">
        <v>19</v>
      </c>
      <c r="D684" t="s">
        <v>53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 s="8">
        <v>0.83730000000000004</v>
      </c>
      <c r="K684">
        <v>85000</v>
      </c>
      <c r="L684" s="2">
        <v>45865</v>
      </c>
    </row>
    <row r="685" spans="1:12">
      <c r="A685" t="s">
        <v>999</v>
      </c>
      <c r="B685" t="s">
        <v>420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 s="8">
        <v>0.92469999999999997</v>
      </c>
      <c r="K685">
        <v>90000</v>
      </c>
      <c r="L685" s="2">
        <v>45919</v>
      </c>
    </row>
    <row r="686" spans="1:12">
      <c r="A686" t="s">
        <v>1000</v>
      </c>
      <c r="B686" t="s">
        <v>157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 s="8">
        <v>0.55000000000000004</v>
      </c>
      <c r="K686">
        <v>75000</v>
      </c>
      <c r="L686" s="2">
        <v>46073</v>
      </c>
    </row>
    <row r="687" spans="1:12">
      <c r="A687" t="s">
        <v>1001</v>
      </c>
      <c r="B687" t="s">
        <v>315</v>
      </c>
      <c r="C687" t="s">
        <v>19</v>
      </c>
      <c r="D687" t="s">
        <v>15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 s="8">
        <v>0.93669999999999998</v>
      </c>
      <c r="K687">
        <v>80000</v>
      </c>
      <c r="L687" s="2">
        <v>45834</v>
      </c>
    </row>
    <row r="688" spans="1:12">
      <c r="A688" t="s">
        <v>1002</v>
      </c>
      <c r="B688" t="s">
        <v>467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 s="8">
        <v>0.81459999999999999</v>
      </c>
      <c r="K688">
        <v>80000</v>
      </c>
      <c r="L688" s="2">
        <v>45735</v>
      </c>
    </row>
    <row r="689" spans="1:12">
      <c r="A689" t="s">
        <v>1003</v>
      </c>
      <c r="B689" t="s">
        <v>173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 s="8">
        <v>0.90949999999999998</v>
      </c>
      <c r="K689">
        <v>110000</v>
      </c>
      <c r="L689" s="2">
        <v>46092</v>
      </c>
    </row>
    <row r="690" spans="1:12">
      <c r="A690" t="s">
        <v>1004</v>
      </c>
      <c r="B690" t="s">
        <v>231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 s="8">
        <v>0.81869999999999998</v>
      </c>
      <c r="K690">
        <v>80000</v>
      </c>
      <c r="L690" s="2">
        <v>46156</v>
      </c>
    </row>
    <row r="691" spans="1:12">
      <c r="A691" t="s">
        <v>1005</v>
      </c>
      <c r="B691" t="s">
        <v>344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 s="8">
        <v>0.95199999999999996</v>
      </c>
      <c r="K691">
        <v>120000</v>
      </c>
      <c r="L691" s="2">
        <v>45878</v>
      </c>
    </row>
    <row r="692" spans="1:12">
      <c r="A692" t="s">
        <v>1006</v>
      </c>
      <c r="B692" t="s">
        <v>490</v>
      </c>
      <c r="C692" t="s">
        <v>19</v>
      </c>
      <c r="D692" t="s">
        <v>36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 s="8">
        <v>0.57320000000000004</v>
      </c>
      <c r="K692">
        <v>70000</v>
      </c>
      <c r="L692" s="2">
        <v>45555</v>
      </c>
    </row>
    <row r="693" spans="1:12">
      <c r="A693" t="s">
        <v>1007</v>
      </c>
      <c r="B693" t="s">
        <v>908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 s="8">
        <v>0.87280000000000002</v>
      </c>
      <c r="K693">
        <v>70000</v>
      </c>
      <c r="L693" s="2">
        <v>45886</v>
      </c>
    </row>
    <row r="694" spans="1:12">
      <c r="A694" t="s">
        <v>1008</v>
      </c>
      <c r="B694" t="s">
        <v>1009</v>
      </c>
      <c r="C694" t="s">
        <v>19</v>
      </c>
      <c r="D694" t="s">
        <v>28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 s="8">
        <v>0.78190000000000004</v>
      </c>
      <c r="K694">
        <v>80000</v>
      </c>
      <c r="L694" s="2">
        <v>46158</v>
      </c>
    </row>
    <row r="695" spans="1:12">
      <c r="A695" t="s">
        <v>1010</v>
      </c>
      <c r="B695" t="s">
        <v>636</v>
      </c>
      <c r="C695" t="s">
        <v>19</v>
      </c>
      <c r="D695" t="s">
        <v>20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 s="8">
        <v>0.91690000000000005</v>
      </c>
      <c r="K695">
        <v>50000</v>
      </c>
      <c r="L695" s="2">
        <v>46228</v>
      </c>
    </row>
    <row r="696" spans="1:12">
      <c r="A696" t="s">
        <v>1011</v>
      </c>
      <c r="B696" t="s">
        <v>669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 s="8">
        <v>0.99099999999999999</v>
      </c>
      <c r="K696">
        <v>100000</v>
      </c>
      <c r="L696" s="2">
        <v>45816</v>
      </c>
    </row>
    <row r="697" spans="1:12">
      <c r="A697" t="s">
        <v>1012</v>
      </c>
      <c r="B697" t="s">
        <v>532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 s="8">
        <v>0.84560000000000002</v>
      </c>
      <c r="K697">
        <v>80000</v>
      </c>
      <c r="L697" s="2">
        <v>45641</v>
      </c>
    </row>
    <row r="698" spans="1:12">
      <c r="A698" t="s">
        <v>1013</v>
      </c>
      <c r="B698" t="s">
        <v>173</v>
      </c>
      <c r="C698" t="s">
        <v>19</v>
      </c>
      <c r="D698" t="s">
        <v>36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 s="8">
        <v>0.82499999999999996</v>
      </c>
      <c r="K698">
        <v>80000</v>
      </c>
      <c r="L698" s="2">
        <v>45936</v>
      </c>
    </row>
    <row r="699" spans="1:12">
      <c r="A699" t="s">
        <v>1014</v>
      </c>
      <c r="B699" t="s">
        <v>853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 s="8">
        <v>0.93830000000000002</v>
      </c>
      <c r="K699">
        <v>85000</v>
      </c>
      <c r="L699" s="2">
        <v>46117</v>
      </c>
    </row>
    <row r="700" spans="1:12">
      <c r="A700" t="s">
        <v>1015</v>
      </c>
      <c r="B700" t="s">
        <v>594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 s="8">
        <v>0.83220000000000005</v>
      </c>
      <c r="K700">
        <v>50000</v>
      </c>
      <c r="L700" s="2">
        <v>46197</v>
      </c>
    </row>
    <row r="701" spans="1:12">
      <c r="A701" t="s">
        <v>1016</v>
      </c>
      <c r="B701" t="s">
        <v>139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 s="8">
        <v>0.76729999999999998</v>
      </c>
      <c r="K701">
        <v>80000</v>
      </c>
      <c r="L701" s="2">
        <v>45572</v>
      </c>
    </row>
    <row r="702" spans="1:12">
      <c r="A702" t="s">
        <v>1017</v>
      </c>
      <c r="B702" t="s">
        <v>362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 s="8">
        <v>0.79579999999999995</v>
      </c>
      <c r="K702">
        <v>130000</v>
      </c>
      <c r="L702" s="2">
        <v>45739</v>
      </c>
    </row>
    <row r="703" spans="1:12">
      <c r="A703" t="s">
        <v>1018</v>
      </c>
      <c r="B703" t="s">
        <v>748</v>
      </c>
      <c r="C703" t="s">
        <v>19</v>
      </c>
      <c r="D703" t="s">
        <v>28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 s="8">
        <v>0.96560000000000001</v>
      </c>
      <c r="K703">
        <v>90000</v>
      </c>
      <c r="L703" s="2">
        <v>45870</v>
      </c>
    </row>
    <row r="704" spans="1:12">
      <c r="A704" t="s">
        <v>1019</v>
      </c>
      <c r="B704" t="s">
        <v>975</v>
      </c>
      <c r="C704" t="s">
        <v>14</v>
      </c>
      <c r="D704" t="s">
        <v>36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 s="8">
        <v>0.90649999999999997</v>
      </c>
      <c r="K704">
        <v>90000</v>
      </c>
      <c r="L704" s="2">
        <v>45604</v>
      </c>
    </row>
    <row r="705" spans="1:12">
      <c r="A705" t="s">
        <v>1020</v>
      </c>
      <c r="B705" t="s">
        <v>354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 s="8">
        <v>0.74729999999999996</v>
      </c>
      <c r="K705">
        <v>85000</v>
      </c>
      <c r="L705" s="2">
        <v>46156</v>
      </c>
    </row>
    <row r="706" spans="1:12">
      <c r="A706" t="s">
        <v>1021</v>
      </c>
      <c r="B706" t="s">
        <v>246</v>
      </c>
      <c r="C706" t="s">
        <v>14</v>
      </c>
      <c r="D706" t="s">
        <v>53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 s="8">
        <v>0.95489999999999997</v>
      </c>
      <c r="K706">
        <v>85000</v>
      </c>
      <c r="L706" s="2">
        <v>45614</v>
      </c>
    </row>
    <row r="707" spans="1:12">
      <c r="A707" t="s">
        <v>1022</v>
      </c>
      <c r="B707" t="s">
        <v>908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 s="8">
        <v>0.95860000000000001</v>
      </c>
      <c r="K707">
        <v>130000</v>
      </c>
      <c r="L707" s="2">
        <v>46001</v>
      </c>
    </row>
    <row r="708" spans="1:12">
      <c r="A708" t="s">
        <v>1023</v>
      </c>
      <c r="B708" t="s">
        <v>625</v>
      </c>
      <c r="C708" t="s">
        <v>14</v>
      </c>
      <c r="D708" t="s">
        <v>20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 s="8">
        <v>0.65720000000000001</v>
      </c>
      <c r="K708">
        <v>130000</v>
      </c>
      <c r="L708" s="2">
        <v>46179</v>
      </c>
    </row>
    <row r="709" spans="1:12">
      <c r="A709" t="s">
        <v>1024</v>
      </c>
      <c r="B709" t="s">
        <v>184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 s="8">
        <v>0.83020000000000005</v>
      </c>
      <c r="K709">
        <v>80000</v>
      </c>
      <c r="L709" s="2">
        <v>46015</v>
      </c>
    </row>
    <row r="710" spans="1:12">
      <c r="A710" t="s">
        <v>1025</v>
      </c>
      <c r="B710" t="s">
        <v>258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 s="8">
        <v>0.8266</v>
      </c>
      <c r="K710">
        <v>130000</v>
      </c>
      <c r="L710" s="2">
        <v>46070</v>
      </c>
    </row>
    <row r="711" spans="1:12">
      <c r="A711" t="s">
        <v>1026</v>
      </c>
      <c r="B711" t="s">
        <v>555</v>
      </c>
      <c r="C711" t="s">
        <v>14</v>
      </c>
      <c r="D711" t="s">
        <v>20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 s="8">
        <v>0.8448</v>
      </c>
      <c r="K711">
        <v>50000</v>
      </c>
      <c r="L711" s="2">
        <v>45720</v>
      </c>
    </row>
    <row r="712" spans="1:12">
      <c r="A712" t="s">
        <v>1027</v>
      </c>
      <c r="B712" t="s">
        <v>224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 s="8">
        <v>0.87219999999999998</v>
      </c>
      <c r="K712">
        <v>75000</v>
      </c>
      <c r="L712" s="2">
        <v>46115</v>
      </c>
    </row>
    <row r="713" spans="1:12">
      <c r="A713" t="s">
        <v>1028</v>
      </c>
      <c r="B713" t="s">
        <v>113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 s="8">
        <v>0.96599999999999997</v>
      </c>
      <c r="K713">
        <v>75000</v>
      </c>
      <c r="L713" s="2">
        <v>45829</v>
      </c>
    </row>
    <row r="714" spans="1:12">
      <c r="A714" t="s">
        <v>1029</v>
      </c>
      <c r="B714" t="s">
        <v>79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 s="8">
        <v>0.76700000000000002</v>
      </c>
      <c r="K714">
        <v>100000</v>
      </c>
      <c r="L714" s="2">
        <v>45578</v>
      </c>
    </row>
    <row r="715" spans="1:12">
      <c r="A715" t="s">
        <v>1030</v>
      </c>
      <c r="B715" t="s">
        <v>436</v>
      </c>
      <c r="C715" t="s">
        <v>19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 s="8">
        <v>0.99</v>
      </c>
      <c r="K715">
        <v>90000</v>
      </c>
      <c r="L715" s="2">
        <v>45792</v>
      </c>
    </row>
    <row r="716" spans="1:12">
      <c r="A716" t="s">
        <v>1031</v>
      </c>
      <c r="B716" t="s">
        <v>1009</v>
      </c>
      <c r="C716" t="s">
        <v>19</v>
      </c>
      <c r="D716" t="s">
        <v>15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 s="8">
        <v>0.89849999999999997</v>
      </c>
      <c r="K716">
        <v>85000</v>
      </c>
      <c r="L716" s="2">
        <v>45780</v>
      </c>
    </row>
    <row r="717" spans="1:12">
      <c r="A717" t="s">
        <v>1032</v>
      </c>
      <c r="B717" t="s">
        <v>912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 s="8">
        <v>0.71240000000000003</v>
      </c>
      <c r="K717">
        <v>70000</v>
      </c>
      <c r="L717" s="2">
        <v>45901</v>
      </c>
    </row>
    <row r="718" spans="1:12">
      <c r="A718" t="s">
        <v>1033</v>
      </c>
      <c r="B718" t="s">
        <v>1034</v>
      </c>
      <c r="C718" t="s">
        <v>19</v>
      </c>
      <c r="D718" t="s">
        <v>53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 s="8">
        <v>0.88649999999999995</v>
      </c>
      <c r="K718">
        <v>85000</v>
      </c>
      <c r="L718" s="2">
        <v>45721</v>
      </c>
    </row>
    <row r="719" spans="1:12">
      <c r="A719" t="s">
        <v>1035</v>
      </c>
      <c r="B719" t="s">
        <v>1036</v>
      </c>
      <c r="C719" t="s">
        <v>14</v>
      </c>
      <c r="D719" t="s">
        <v>36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 s="8">
        <v>0.92649999999999999</v>
      </c>
      <c r="K719">
        <v>70000</v>
      </c>
      <c r="L719" s="2">
        <v>45859</v>
      </c>
    </row>
    <row r="720" spans="1:12">
      <c r="A720" t="s">
        <v>1037</v>
      </c>
      <c r="B720" t="s">
        <v>1038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 s="8">
        <v>0.93859999999999999</v>
      </c>
      <c r="K720">
        <v>85000</v>
      </c>
      <c r="L720" s="2">
        <v>45835</v>
      </c>
    </row>
    <row r="721" spans="1:12">
      <c r="A721" t="s">
        <v>1039</v>
      </c>
      <c r="B721" t="s">
        <v>557</v>
      </c>
      <c r="C721" t="s">
        <v>19</v>
      </c>
      <c r="D721" t="s">
        <v>53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 s="8">
        <v>0.80149999999999999</v>
      </c>
      <c r="K721">
        <v>75000</v>
      </c>
      <c r="L721" s="2">
        <v>45764</v>
      </c>
    </row>
    <row r="722" spans="1:12">
      <c r="A722" t="s">
        <v>1040</v>
      </c>
      <c r="B722" t="s">
        <v>210</v>
      </c>
      <c r="C722" t="s">
        <v>14</v>
      </c>
      <c r="D722" t="s">
        <v>36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 s="8">
        <v>0.55000000000000004</v>
      </c>
      <c r="K722">
        <v>120000</v>
      </c>
      <c r="L722" s="2">
        <v>46023</v>
      </c>
    </row>
    <row r="723" spans="1:12">
      <c r="A723" t="s">
        <v>1041</v>
      </c>
      <c r="B723" t="s">
        <v>805</v>
      </c>
      <c r="C723" t="s">
        <v>19</v>
      </c>
      <c r="D723" t="s">
        <v>36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 s="8">
        <v>0.9073</v>
      </c>
      <c r="K723">
        <v>110000</v>
      </c>
      <c r="L723" s="2">
        <v>45749</v>
      </c>
    </row>
    <row r="724" spans="1:12">
      <c r="A724" t="s">
        <v>1042</v>
      </c>
      <c r="B724" t="s">
        <v>455</v>
      </c>
      <c r="C724" t="s">
        <v>19</v>
      </c>
      <c r="D724" t="s">
        <v>53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 s="8">
        <v>0.55000000000000004</v>
      </c>
      <c r="K724">
        <v>60000</v>
      </c>
      <c r="L724" s="2">
        <v>46072</v>
      </c>
    </row>
    <row r="725" spans="1:12">
      <c r="A725" t="s">
        <v>1043</v>
      </c>
      <c r="B725" t="s">
        <v>496</v>
      </c>
      <c r="C725" t="s">
        <v>14</v>
      </c>
      <c r="D725" t="s">
        <v>53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 s="8">
        <v>0.91900000000000004</v>
      </c>
      <c r="K725">
        <v>130000</v>
      </c>
      <c r="L725" s="2">
        <v>45711</v>
      </c>
    </row>
    <row r="726" spans="1:12">
      <c r="A726" t="s">
        <v>1044</v>
      </c>
      <c r="B726" t="s">
        <v>984</v>
      </c>
      <c r="C726" t="s">
        <v>19</v>
      </c>
      <c r="D726" t="s">
        <v>15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 s="8">
        <v>0.86519999999999997</v>
      </c>
      <c r="K726">
        <v>100000</v>
      </c>
      <c r="L726" s="2">
        <v>46141</v>
      </c>
    </row>
    <row r="727" spans="1:12">
      <c r="A727" t="s">
        <v>1045</v>
      </c>
      <c r="B727" t="s">
        <v>1046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 s="8">
        <v>0.83299999999999996</v>
      </c>
      <c r="K727">
        <v>75000</v>
      </c>
      <c r="L727" s="2">
        <v>45791</v>
      </c>
    </row>
    <row r="728" spans="1:12">
      <c r="A728" t="s">
        <v>1047</v>
      </c>
      <c r="B728" t="s">
        <v>159</v>
      </c>
      <c r="C728" t="s">
        <v>19</v>
      </c>
      <c r="D728" t="s">
        <v>20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 s="8">
        <v>0.74470000000000003</v>
      </c>
      <c r="K728">
        <v>85000</v>
      </c>
      <c r="L728" s="2">
        <v>45564</v>
      </c>
    </row>
    <row r="729" spans="1:12">
      <c r="A729" t="s">
        <v>1048</v>
      </c>
      <c r="B729" t="s">
        <v>202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 s="8">
        <v>0.90090000000000003</v>
      </c>
      <c r="K729">
        <v>70000</v>
      </c>
      <c r="L729" s="2">
        <v>45640</v>
      </c>
    </row>
    <row r="730" spans="1:12">
      <c r="A730" t="s">
        <v>1049</v>
      </c>
      <c r="B730" t="s">
        <v>1050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 s="8">
        <v>0.94320000000000004</v>
      </c>
      <c r="K730">
        <v>50000</v>
      </c>
      <c r="L730" s="2">
        <v>46100</v>
      </c>
    </row>
    <row r="731" spans="1:12">
      <c r="A731" t="s">
        <v>1051</v>
      </c>
      <c r="B731" t="s">
        <v>323</v>
      </c>
      <c r="C731" t="s">
        <v>19</v>
      </c>
      <c r="D731" t="s">
        <v>53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 s="8">
        <v>0.71120000000000005</v>
      </c>
      <c r="K731">
        <v>80000</v>
      </c>
      <c r="L731" s="2">
        <v>46146</v>
      </c>
    </row>
    <row r="732" spans="1:12">
      <c r="A732" t="s">
        <v>1052</v>
      </c>
      <c r="B732" t="s">
        <v>651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 s="8">
        <v>0.88790000000000002</v>
      </c>
      <c r="K732">
        <v>110000</v>
      </c>
      <c r="L732" s="2">
        <v>45684</v>
      </c>
    </row>
    <row r="733" spans="1:12">
      <c r="A733" t="s">
        <v>1053</v>
      </c>
      <c r="B733" t="s">
        <v>246</v>
      </c>
      <c r="C733" t="s">
        <v>14</v>
      </c>
      <c r="D733" t="s">
        <v>36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 s="8">
        <v>0.74019999999999997</v>
      </c>
      <c r="K733">
        <v>75000</v>
      </c>
      <c r="L733" s="2">
        <v>45957</v>
      </c>
    </row>
    <row r="734" spans="1:12">
      <c r="A734" t="s">
        <v>1054</v>
      </c>
      <c r="B734" t="s">
        <v>150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 s="8">
        <v>0.81210000000000004</v>
      </c>
      <c r="K734">
        <v>80000</v>
      </c>
      <c r="L734" s="2">
        <v>45938</v>
      </c>
    </row>
    <row r="735" spans="1:12">
      <c r="A735" t="s">
        <v>1055</v>
      </c>
      <c r="B735" t="s">
        <v>262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 s="8">
        <v>0.70140000000000002</v>
      </c>
      <c r="K735">
        <v>130000</v>
      </c>
      <c r="L735" s="2">
        <v>45629</v>
      </c>
    </row>
    <row r="736" spans="1:12">
      <c r="A736" t="s">
        <v>1056</v>
      </c>
      <c r="B736" t="s">
        <v>194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 s="8">
        <v>0.99739999999999995</v>
      </c>
      <c r="K736">
        <v>130000</v>
      </c>
      <c r="L736" s="2">
        <v>45852</v>
      </c>
    </row>
    <row r="737" spans="1:12">
      <c r="A737" t="s">
        <v>1057</v>
      </c>
      <c r="B737" t="s">
        <v>805</v>
      </c>
      <c r="C737" t="s">
        <v>19</v>
      </c>
      <c r="D737" t="s">
        <v>36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 s="8">
        <v>0.90329999999999999</v>
      </c>
      <c r="K737">
        <v>85000</v>
      </c>
      <c r="L737" s="2">
        <v>46021</v>
      </c>
    </row>
    <row r="738" spans="1:12">
      <c r="A738" t="s">
        <v>1058</v>
      </c>
      <c r="B738" t="s">
        <v>734</v>
      </c>
      <c r="C738" t="s">
        <v>19</v>
      </c>
      <c r="D738" t="s">
        <v>53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 s="8">
        <v>0.90510000000000002</v>
      </c>
      <c r="K738">
        <v>50000</v>
      </c>
      <c r="L738" s="2">
        <v>46212</v>
      </c>
    </row>
    <row r="739" spans="1:12">
      <c r="A739" t="s">
        <v>1059</v>
      </c>
      <c r="B739" t="s">
        <v>492</v>
      </c>
      <c r="C739" t="s">
        <v>14</v>
      </c>
      <c r="D739" t="s">
        <v>32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 s="8">
        <v>0.96609999999999996</v>
      </c>
      <c r="K739">
        <v>100000</v>
      </c>
      <c r="L739" s="2">
        <v>46129</v>
      </c>
    </row>
    <row r="740" spans="1:12">
      <c r="A740" t="s">
        <v>1060</v>
      </c>
      <c r="B740" t="s">
        <v>744</v>
      </c>
      <c r="C740" t="s">
        <v>19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 s="8">
        <v>0.95450000000000002</v>
      </c>
      <c r="K740">
        <v>100000</v>
      </c>
      <c r="L740" s="2">
        <v>45604</v>
      </c>
    </row>
    <row r="741" spans="1:12">
      <c r="A741" t="s">
        <v>1061</v>
      </c>
      <c r="B741" t="s">
        <v>237</v>
      </c>
      <c r="C741" t="s">
        <v>19</v>
      </c>
      <c r="D741" t="s">
        <v>36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 s="8">
        <v>0.97</v>
      </c>
      <c r="K741">
        <v>130000</v>
      </c>
      <c r="L741" s="2">
        <v>45702</v>
      </c>
    </row>
    <row r="742" spans="1:12">
      <c r="A742" t="s">
        <v>1062</v>
      </c>
      <c r="B742" t="s">
        <v>141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 s="8">
        <v>0.90059999999999996</v>
      </c>
      <c r="K742">
        <v>130000</v>
      </c>
      <c r="L742" s="2">
        <v>45841</v>
      </c>
    </row>
    <row r="743" spans="1:12">
      <c r="A743" t="s">
        <v>1063</v>
      </c>
      <c r="B743" t="s">
        <v>148</v>
      </c>
      <c r="C743" t="s">
        <v>19</v>
      </c>
      <c r="D743" t="s">
        <v>36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 s="8">
        <v>0.82840000000000003</v>
      </c>
      <c r="K743">
        <v>90000</v>
      </c>
      <c r="L743" s="2">
        <v>45641</v>
      </c>
    </row>
    <row r="744" spans="1:12">
      <c r="A744" t="s">
        <v>1064</v>
      </c>
      <c r="B744" t="s">
        <v>204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 s="8">
        <v>0.90700000000000003</v>
      </c>
      <c r="K744">
        <v>60000</v>
      </c>
      <c r="L744" s="2">
        <v>45935</v>
      </c>
    </row>
    <row r="745" spans="1:12">
      <c r="A745" t="s">
        <v>1065</v>
      </c>
      <c r="B745" t="s">
        <v>73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 s="8">
        <v>0.87639999999999996</v>
      </c>
      <c r="K745">
        <v>70000</v>
      </c>
      <c r="L745" s="2">
        <v>45542</v>
      </c>
    </row>
    <row r="746" spans="1:12">
      <c r="A746" t="s">
        <v>1066</v>
      </c>
      <c r="B746" t="s">
        <v>256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 s="8">
        <v>0.78259999999999996</v>
      </c>
      <c r="K746">
        <v>100000</v>
      </c>
      <c r="L746" s="2">
        <v>45615</v>
      </c>
    </row>
    <row r="747" spans="1:12">
      <c r="A747" t="s">
        <v>1067</v>
      </c>
      <c r="B747" t="s">
        <v>139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 s="8">
        <v>0.62980000000000003</v>
      </c>
      <c r="K747">
        <v>90000</v>
      </c>
      <c r="L747" s="2">
        <v>45569</v>
      </c>
    </row>
    <row r="748" spans="1:12">
      <c r="A748" t="s">
        <v>1068</v>
      </c>
      <c r="B748" t="s">
        <v>477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 s="8">
        <v>0.95550000000000002</v>
      </c>
      <c r="K748">
        <v>80000</v>
      </c>
      <c r="L748" s="2">
        <v>45742</v>
      </c>
    </row>
    <row r="749" spans="1:12">
      <c r="A749" t="s">
        <v>1069</v>
      </c>
      <c r="B749" t="s">
        <v>607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 s="8">
        <v>0.79549999999999998</v>
      </c>
      <c r="K749">
        <v>80000</v>
      </c>
      <c r="L749" s="2">
        <v>46069</v>
      </c>
    </row>
    <row r="750" spans="1:12">
      <c r="A750" t="s">
        <v>1070</v>
      </c>
      <c r="B750" t="s">
        <v>494</v>
      </c>
      <c r="C750" t="s">
        <v>14</v>
      </c>
      <c r="D750" t="s">
        <v>36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 s="8">
        <v>0.93710000000000004</v>
      </c>
      <c r="K750">
        <v>100000</v>
      </c>
      <c r="L750" s="2">
        <v>45660</v>
      </c>
    </row>
    <row r="751" spans="1:12">
      <c r="A751" t="s">
        <v>1071</v>
      </c>
      <c r="B751" t="s">
        <v>117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 s="8">
        <v>0.90339999999999998</v>
      </c>
      <c r="K751">
        <v>80000</v>
      </c>
      <c r="L751" s="2">
        <v>46227</v>
      </c>
    </row>
    <row r="752" spans="1:12">
      <c r="A752" t="s">
        <v>1072</v>
      </c>
      <c r="B752" t="s">
        <v>724</v>
      </c>
      <c r="C752" t="s">
        <v>19</v>
      </c>
      <c r="D752" t="s">
        <v>36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 s="8">
        <v>0.76139999999999997</v>
      </c>
      <c r="K752">
        <v>60000</v>
      </c>
      <c r="L752" s="2">
        <v>45724</v>
      </c>
    </row>
    <row r="753" spans="1:12">
      <c r="A753" t="s">
        <v>1073</v>
      </c>
      <c r="B753" t="s">
        <v>1074</v>
      </c>
      <c r="C753" t="s">
        <v>14</v>
      </c>
      <c r="D753" t="s">
        <v>36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 s="8">
        <v>0.95430000000000004</v>
      </c>
      <c r="K753">
        <v>130000</v>
      </c>
      <c r="L753" s="2">
        <v>45567</v>
      </c>
    </row>
    <row r="754" spans="1:12">
      <c r="A754" t="s">
        <v>1075</v>
      </c>
      <c r="B754" t="s">
        <v>161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 s="8">
        <v>0.55000000000000004</v>
      </c>
      <c r="K754">
        <v>75000</v>
      </c>
      <c r="L754" s="2">
        <v>45770</v>
      </c>
    </row>
    <row r="755" spans="1:12">
      <c r="A755" t="s">
        <v>1076</v>
      </c>
      <c r="B755" t="s">
        <v>541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 s="8">
        <v>0.89139999999999997</v>
      </c>
      <c r="K755">
        <v>75000</v>
      </c>
      <c r="L755" s="2">
        <v>46059</v>
      </c>
    </row>
    <row r="756" spans="1:12">
      <c r="A756" t="s">
        <v>1077</v>
      </c>
      <c r="B756" t="s">
        <v>268</v>
      </c>
      <c r="C756" t="s">
        <v>19</v>
      </c>
      <c r="D756" t="s">
        <v>53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 s="8">
        <v>0.88549999999999995</v>
      </c>
      <c r="K756">
        <v>50000</v>
      </c>
      <c r="L756" s="2">
        <v>45610</v>
      </c>
    </row>
    <row r="757" spans="1:12">
      <c r="A757" t="s">
        <v>1078</v>
      </c>
      <c r="B757" t="s">
        <v>600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 s="8">
        <v>0.8679</v>
      </c>
      <c r="K757">
        <v>85000</v>
      </c>
      <c r="L757" s="2">
        <v>45586</v>
      </c>
    </row>
    <row r="758" spans="1:12">
      <c r="A758" t="s">
        <v>1079</v>
      </c>
      <c r="B758" t="s">
        <v>301</v>
      </c>
      <c r="C758" t="s">
        <v>19</v>
      </c>
      <c r="D758" t="s">
        <v>36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 s="8">
        <v>0.72019999999999995</v>
      </c>
      <c r="K758">
        <v>130000</v>
      </c>
      <c r="L758" s="2">
        <v>46130</v>
      </c>
    </row>
    <row r="759" spans="1:12">
      <c r="A759" t="s">
        <v>1080</v>
      </c>
      <c r="B759" t="s">
        <v>1081</v>
      </c>
      <c r="C759" t="s">
        <v>14</v>
      </c>
      <c r="D759" t="s">
        <v>53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 s="8">
        <v>0.83409999999999995</v>
      </c>
      <c r="K759">
        <v>60000</v>
      </c>
      <c r="L759" s="2">
        <v>45950</v>
      </c>
    </row>
    <row r="760" spans="1:12">
      <c r="A760" t="s">
        <v>1082</v>
      </c>
      <c r="B760" t="s">
        <v>939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 s="8">
        <v>0.6169</v>
      </c>
      <c r="K760">
        <v>70000</v>
      </c>
      <c r="L760" s="2">
        <v>45776</v>
      </c>
    </row>
    <row r="761" spans="1:12">
      <c r="A761" t="s">
        <v>1083</v>
      </c>
      <c r="B761" t="s">
        <v>59</v>
      </c>
      <c r="C761" t="s">
        <v>19</v>
      </c>
      <c r="D761" t="s">
        <v>20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 s="8">
        <v>0.94889999999999997</v>
      </c>
      <c r="K761">
        <v>60000</v>
      </c>
      <c r="L761" s="2">
        <v>46065</v>
      </c>
    </row>
    <row r="762" spans="1:12">
      <c r="A762" t="s">
        <v>1084</v>
      </c>
      <c r="B762" t="s">
        <v>1036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 s="8">
        <v>0.99560000000000004</v>
      </c>
      <c r="K762">
        <v>60000</v>
      </c>
      <c r="L762" s="2">
        <v>46127</v>
      </c>
    </row>
    <row r="763" spans="1:12">
      <c r="A763" t="s">
        <v>1085</v>
      </c>
      <c r="B763" t="s">
        <v>550</v>
      </c>
      <c r="C763" t="s">
        <v>19</v>
      </c>
      <c r="D763" t="s">
        <v>36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 s="8">
        <v>0.80189999999999995</v>
      </c>
      <c r="K763">
        <v>90000</v>
      </c>
      <c r="L763" s="2">
        <v>45787</v>
      </c>
    </row>
    <row r="764" spans="1:12">
      <c r="A764" t="s">
        <v>1086</v>
      </c>
      <c r="B764" t="s">
        <v>344</v>
      </c>
      <c r="C764" t="s">
        <v>19</v>
      </c>
      <c r="D764" t="s">
        <v>28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 s="8">
        <v>0.83889999999999998</v>
      </c>
      <c r="K764">
        <v>75000</v>
      </c>
      <c r="L764" s="2">
        <v>45928</v>
      </c>
    </row>
    <row r="765" spans="1:12">
      <c r="A765" t="s">
        <v>1087</v>
      </c>
      <c r="B765" t="s">
        <v>123</v>
      </c>
      <c r="C765" t="s">
        <v>19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 s="8">
        <v>0.92620000000000002</v>
      </c>
      <c r="K765">
        <v>110000</v>
      </c>
      <c r="L765" s="2">
        <v>45543</v>
      </c>
    </row>
    <row r="766" spans="1:12">
      <c r="A766" t="s">
        <v>1088</v>
      </c>
      <c r="B766" t="s">
        <v>632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 s="8">
        <v>0.90510000000000002</v>
      </c>
      <c r="K766">
        <v>80000</v>
      </c>
      <c r="L766" s="2">
        <v>45750</v>
      </c>
    </row>
    <row r="767" spans="1:12">
      <c r="A767" t="s">
        <v>1089</v>
      </c>
      <c r="B767" t="s">
        <v>761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 s="8">
        <v>0.55000000000000004</v>
      </c>
      <c r="K767">
        <v>100000</v>
      </c>
      <c r="L767" s="2">
        <v>45952</v>
      </c>
    </row>
    <row r="768" spans="1:12">
      <c r="A768" t="s">
        <v>1090</v>
      </c>
      <c r="B768" t="s">
        <v>949</v>
      </c>
      <c r="C768" t="s">
        <v>19</v>
      </c>
      <c r="D768" t="s">
        <v>36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 s="8">
        <v>0.80379999999999996</v>
      </c>
      <c r="K768">
        <v>50000</v>
      </c>
      <c r="L768" s="2">
        <v>45673</v>
      </c>
    </row>
    <row r="769" spans="1:12">
      <c r="A769" t="s">
        <v>1091</v>
      </c>
      <c r="B769" t="s">
        <v>1050</v>
      </c>
      <c r="C769" t="s">
        <v>14</v>
      </c>
      <c r="D769" t="s">
        <v>36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 s="8">
        <v>0.85829999999999995</v>
      </c>
      <c r="K769">
        <v>75000</v>
      </c>
      <c r="L769" s="2">
        <v>46229</v>
      </c>
    </row>
    <row r="770" spans="1:12">
      <c r="A770" t="s">
        <v>1092</v>
      </c>
      <c r="B770" t="s">
        <v>83</v>
      </c>
      <c r="C770" t="s">
        <v>14</v>
      </c>
      <c r="D770" t="s">
        <v>36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 s="8">
        <v>0.71250000000000002</v>
      </c>
      <c r="K770">
        <v>80000</v>
      </c>
      <c r="L770" s="2">
        <v>46215</v>
      </c>
    </row>
    <row r="771" spans="1:12">
      <c r="A771" t="s">
        <v>1093</v>
      </c>
      <c r="B771" t="s">
        <v>1094</v>
      </c>
      <c r="C771" t="s">
        <v>14</v>
      </c>
      <c r="D771" t="s">
        <v>53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 s="8">
        <v>0.84809999999999997</v>
      </c>
      <c r="K771">
        <v>50000</v>
      </c>
      <c r="L771" s="2">
        <v>45716</v>
      </c>
    </row>
    <row r="772" spans="1:12">
      <c r="A772" t="s">
        <v>1095</v>
      </c>
      <c r="B772" t="s">
        <v>146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 s="8">
        <v>0.74060000000000004</v>
      </c>
      <c r="K772">
        <v>80000</v>
      </c>
      <c r="L772" s="2">
        <v>45813</v>
      </c>
    </row>
    <row r="773" spans="1:12">
      <c r="A773" t="s">
        <v>1096</v>
      </c>
      <c r="B773" t="s">
        <v>301</v>
      </c>
      <c r="C773" t="s">
        <v>19</v>
      </c>
      <c r="D773" t="s">
        <v>53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 s="8">
        <v>0.82869999999999999</v>
      </c>
      <c r="K773">
        <v>85000</v>
      </c>
      <c r="L773" s="2">
        <v>45668</v>
      </c>
    </row>
    <row r="774" spans="1:12">
      <c r="A774" t="s">
        <v>1097</v>
      </c>
      <c r="B774" t="s">
        <v>1098</v>
      </c>
      <c r="C774" t="s">
        <v>14</v>
      </c>
      <c r="D774" t="s">
        <v>53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 s="8">
        <v>0.67949999999999999</v>
      </c>
      <c r="K774">
        <v>80000</v>
      </c>
      <c r="L774" s="2">
        <v>45888</v>
      </c>
    </row>
    <row r="775" spans="1:12">
      <c r="A775" t="s">
        <v>1099</v>
      </c>
      <c r="B775" t="s">
        <v>820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 s="8">
        <v>0.5958</v>
      </c>
      <c r="K775">
        <v>85000</v>
      </c>
      <c r="L775" s="2">
        <v>45622</v>
      </c>
    </row>
    <row r="776" spans="1:12">
      <c r="A776" t="s">
        <v>1100</v>
      </c>
      <c r="B776" t="s">
        <v>213</v>
      </c>
      <c r="C776" t="s">
        <v>19</v>
      </c>
      <c r="D776" t="s">
        <v>15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 s="8">
        <v>0.87680000000000002</v>
      </c>
      <c r="K776">
        <v>110000</v>
      </c>
      <c r="L776" s="2">
        <v>45809</v>
      </c>
    </row>
    <row r="777" spans="1:12">
      <c r="A777" t="s">
        <v>1101</v>
      </c>
      <c r="B777" t="s">
        <v>853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 s="8">
        <v>0.84550000000000003</v>
      </c>
      <c r="K777">
        <v>110000</v>
      </c>
      <c r="L777" s="2">
        <v>45924</v>
      </c>
    </row>
    <row r="778" spans="1:12">
      <c r="A778" t="s">
        <v>1102</v>
      </c>
      <c r="B778" t="s">
        <v>288</v>
      </c>
      <c r="C778" t="s">
        <v>14</v>
      </c>
      <c r="D778" t="s">
        <v>36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 s="8">
        <v>0.81420000000000003</v>
      </c>
      <c r="K778">
        <v>50000</v>
      </c>
      <c r="L778" s="2">
        <v>45964</v>
      </c>
    </row>
    <row r="779" spans="1:12">
      <c r="A779" t="s">
        <v>1103</v>
      </c>
      <c r="B779" t="s">
        <v>340</v>
      </c>
      <c r="C779" t="s">
        <v>14</v>
      </c>
      <c r="D779" t="s">
        <v>53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 s="8">
        <v>0.76249999999999996</v>
      </c>
      <c r="K779">
        <v>100000</v>
      </c>
      <c r="L779" s="2">
        <v>45953</v>
      </c>
    </row>
    <row r="780" spans="1:12">
      <c r="A780" t="s">
        <v>1104</v>
      </c>
      <c r="B780" t="s">
        <v>131</v>
      </c>
      <c r="C780" t="s">
        <v>14</v>
      </c>
      <c r="D780" t="s">
        <v>28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 s="8">
        <v>0.82840000000000003</v>
      </c>
      <c r="K780">
        <v>120000</v>
      </c>
      <c r="L780" s="2">
        <v>45690</v>
      </c>
    </row>
    <row r="781" spans="1:12">
      <c r="A781" t="s">
        <v>1105</v>
      </c>
      <c r="B781" t="s">
        <v>1106</v>
      </c>
      <c r="C781" t="s">
        <v>19</v>
      </c>
      <c r="D781" t="s">
        <v>36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 s="8">
        <v>0.80620000000000003</v>
      </c>
      <c r="K781">
        <v>120000</v>
      </c>
      <c r="L781" s="2">
        <v>46090</v>
      </c>
    </row>
    <row r="782" spans="1:12">
      <c r="A782" t="s">
        <v>1107</v>
      </c>
      <c r="B782" t="s">
        <v>98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 s="8">
        <v>0.90510000000000002</v>
      </c>
      <c r="K782">
        <v>75000</v>
      </c>
      <c r="L782" s="2">
        <v>46020</v>
      </c>
    </row>
    <row r="783" spans="1:12">
      <c r="A783" t="s">
        <v>1108</v>
      </c>
      <c r="B783" t="s">
        <v>667</v>
      </c>
      <c r="C783" t="s">
        <v>19</v>
      </c>
      <c r="D783" t="s">
        <v>28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 s="8">
        <v>0.69879999999999998</v>
      </c>
      <c r="K783">
        <v>110000</v>
      </c>
      <c r="L783" s="2">
        <v>46063</v>
      </c>
    </row>
    <row r="784" spans="1:12">
      <c r="A784" t="s">
        <v>1109</v>
      </c>
      <c r="B784" t="s">
        <v>83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 s="8">
        <v>0.82950000000000002</v>
      </c>
      <c r="K784">
        <v>110000</v>
      </c>
      <c r="L784" s="2">
        <v>45863</v>
      </c>
    </row>
    <row r="785" spans="1:12">
      <c r="A785" t="s">
        <v>1110</v>
      </c>
      <c r="B785" t="s">
        <v>737</v>
      </c>
      <c r="C785" t="s">
        <v>14</v>
      </c>
      <c r="D785" t="s">
        <v>36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 s="8">
        <v>0.80069999999999997</v>
      </c>
      <c r="K785">
        <v>80000</v>
      </c>
      <c r="L785" s="2">
        <v>46160</v>
      </c>
    </row>
    <row r="786" spans="1:12">
      <c r="A786" t="s">
        <v>1111</v>
      </c>
      <c r="B786" t="s">
        <v>297</v>
      </c>
      <c r="C786" t="s">
        <v>14</v>
      </c>
      <c r="D786" t="s">
        <v>53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 s="8">
        <v>0.93810000000000004</v>
      </c>
      <c r="K786">
        <v>120000</v>
      </c>
      <c r="L786" s="2">
        <v>45808</v>
      </c>
    </row>
    <row r="787" spans="1:12">
      <c r="A787" t="s">
        <v>1112</v>
      </c>
      <c r="B787" t="s">
        <v>509</v>
      </c>
      <c r="C787" t="s">
        <v>19</v>
      </c>
      <c r="D787" t="s">
        <v>36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 s="8">
        <v>0.91359999999999997</v>
      </c>
      <c r="K787">
        <v>90000</v>
      </c>
      <c r="L787" s="2">
        <v>46100</v>
      </c>
    </row>
    <row r="788" spans="1:12">
      <c r="A788" t="s">
        <v>1113</v>
      </c>
      <c r="B788" t="s">
        <v>930</v>
      </c>
      <c r="C788" t="s">
        <v>14</v>
      </c>
      <c r="D788" t="s">
        <v>20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 s="8">
        <v>0.88260000000000005</v>
      </c>
      <c r="K788">
        <v>110000</v>
      </c>
      <c r="L788" s="2">
        <v>45678</v>
      </c>
    </row>
    <row r="789" spans="1:12">
      <c r="A789" t="s">
        <v>1114</v>
      </c>
      <c r="B789" t="s">
        <v>344</v>
      </c>
      <c r="C789" t="s">
        <v>19</v>
      </c>
      <c r="D789" t="s">
        <v>20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 s="8">
        <v>0.81179999999999997</v>
      </c>
      <c r="K789">
        <v>110000</v>
      </c>
      <c r="L789" s="2">
        <v>45709</v>
      </c>
    </row>
    <row r="790" spans="1:12">
      <c r="A790" t="s">
        <v>1115</v>
      </c>
      <c r="B790" t="s">
        <v>204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 s="8">
        <v>0.55000000000000004</v>
      </c>
      <c r="K790">
        <v>110000</v>
      </c>
      <c r="L790" s="2">
        <v>45904</v>
      </c>
    </row>
    <row r="791" spans="1:12">
      <c r="A791" t="s">
        <v>1116</v>
      </c>
      <c r="B791" t="s">
        <v>94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 s="8">
        <v>0.85599999999999998</v>
      </c>
      <c r="K791">
        <v>130000</v>
      </c>
      <c r="L791" s="2">
        <v>45925</v>
      </c>
    </row>
    <row r="792" spans="1:12">
      <c r="A792" t="s">
        <v>1117</v>
      </c>
      <c r="B792" t="s">
        <v>295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 s="8">
        <v>0.96150000000000002</v>
      </c>
      <c r="K792">
        <v>120000</v>
      </c>
      <c r="L792" s="2">
        <v>46058</v>
      </c>
    </row>
    <row r="793" spans="1:12">
      <c r="A793" t="s">
        <v>1118</v>
      </c>
      <c r="B793" t="s">
        <v>1119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 s="8">
        <v>0.71220000000000006</v>
      </c>
      <c r="K793">
        <v>80000</v>
      </c>
      <c r="L793" s="2">
        <v>45744</v>
      </c>
    </row>
    <row r="794" spans="1:12">
      <c r="A794" t="s">
        <v>1120</v>
      </c>
      <c r="B794" t="s">
        <v>146</v>
      </c>
      <c r="C794" t="s">
        <v>19</v>
      </c>
      <c r="D794" t="s">
        <v>36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 s="8">
        <v>0.9073</v>
      </c>
      <c r="K794">
        <v>90000</v>
      </c>
      <c r="L794" s="2">
        <v>46146</v>
      </c>
    </row>
    <row r="795" spans="1:12">
      <c r="A795" t="s">
        <v>1121</v>
      </c>
      <c r="B795" t="s">
        <v>55</v>
      </c>
      <c r="C795" t="s">
        <v>19</v>
      </c>
      <c r="D795" t="s">
        <v>28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 s="8">
        <v>0.74050000000000005</v>
      </c>
      <c r="K795">
        <v>100000</v>
      </c>
      <c r="L795" s="2">
        <v>45766</v>
      </c>
    </row>
    <row r="796" spans="1:12">
      <c r="A796" t="s">
        <v>1122</v>
      </c>
      <c r="B796" t="s">
        <v>444</v>
      </c>
      <c r="C796" t="s">
        <v>14</v>
      </c>
      <c r="D796" t="s">
        <v>20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 s="8">
        <v>0.67169999999999996</v>
      </c>
      <c r="K796">
        <v>120000</v>
      </c>
      <c r="L796" s="2">
        <v>45909</v>
      </c>
    </row>
    <row r="797" spans="1:12">
      <c r="A797" t="s">
        <v>1123</v>
      </c>
      <c r="B797" t="s">
        <v>431</v>
      </c>
      <c r="C797" t="s">
        <v>14</v>
      </c>
      <c r="D797" t="s">
        <v>53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 s="8">
        <v>0.92059999999999997</v>
      </c>
      <c r="K797">
        <v>80000</v>
      </c>
      <c r="L797" s="2">
        <v>46188</v>
      </c>
    </row>
    <row r="798" spans="1:12">
      <c r="A798" t="s">
        <v>1124</v>
      </c>
      <c r="B798" t="s">
        <v>404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 s="8">
        <v>0.96179999999999999</v>
      </c>
      <c r="K798">
        <v>75000</v>
      </c>
      <c r="L798" s="2">
        <v>45913</v>
      </c>
    </row>
    <row r="799" spans="1:12">
      <c r="A799" t="s">
        <v>1125</v>
      </c>
      <c r="B799" t="s">
        <v>27</v>
      </c>
      <c r="C799" t="s">
        <v>14</v>
      </c>
      <c r="D799" t="s">
        <v>28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 s="8">
        <v>0.80249999999999999</v>
      </c>
      <c r="K799">
        <v>110000</v>
      </c>
      <c r="L799" s="2">
        <v>46013</v>
      </c>
    </row>
    <row r="800" spans="1:12">
      <c r="A800" t="s">
        <v>1126</v>
      </c>
      <c r="B800" t="s">
        <v>865</v>
      </c>
      <c r="C800" t="s">
        <v>14</v>
      </c>
      <c r="D800" t="s">
        <v>36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 s="8">
        <v>0.74519999999999997</v>
      </c>
      <c r="K800">
        <v>130000</v>
      </c>
      <c r="L800" s="2">
        <v>46172</v>
      </c>
    </row>
    <row r="801" spans="1:12">
      <c r="A801" t="s">
        <v>1127</v>
      </c>
      <c r="B801" t="s">
        <v>47</v>
      </c>
      <c r="C801" t="s">
        <v>14</v>
      </c>
      <c r="D801" t="s">
        <v>53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 s="8">
        <v>0.90649999999999997</v>
      </c>
      <c r="K801">
        <v>130000</v>
      </c>
      <c r="L801" s="2">
        <v>46218</v>
      </c>
    </row>
    <row r="802" spans="1:12">
      <c r="A802" t="s">
        <v>1128</v>
      </c>
      <c r="B802" t="s">
        <v>564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 s="8">
        <v>0.9163</v>
      </c>
      <c r="K802">
        <v>60000</v>
      </c>
      <c r="L802" s="2">
        <v>45885</v>
      </c>
    </row>
    <row r="803" spans="1:12">
      <c r="A803" t="s">
        <v>1129</v>
      </c>
      <c r="B803" t="s">
        <v>251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 s="8">
        <v>0.92020000000000002</v>
      </c>
      <c r="K803">
        <v>130000</v>
      </c>
      <c r="L803" s="2">
        <v>45827</v>
      </c>
    </row>
    <row r="804" spans="1:12">
      <c r="A804" t="s">
        <v>1130</v>
      </c>
      <c r="B804" t="s">
        <v>1131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 s="8">
        <v>0.87329999999999997</v>
      </c>
      <c r="K804">
        <v>110000</v>
      </c>
      <c r="L804" s="2">
        <v>45673</v>
      </c>
    </row>
    <row r="805" spans="1:12">
      <c r="A805" t="s">
        <v>1132</v>
      </c>
      <c r="B805" t="s">
        <v>803</v>
      </c>
      <c r="C805" t="s">
        <v>19</v>
      </c>
      <c r="D805" t="s">
        <v>53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 s="8">
        <v>0.94850000000000001</v>
      </c>
      <c r="K805">
        <v>60000</v>
      </c>
      <c r="L805" s="2">
        <v>45912</v>
      </c>
    </row>
    <row r="806" spans="1:12">
      <c r="A806" t="s">
        <v>1133</v>
      </c>
      <c r="B806" t="s">
        <v>243</v>
      </c>
      <c r="C806" t="s">
        <v>19</v>
      </c>
      <c r="D806" t="s">
        <v>15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 s="8">
        <v>0.89100000000000001</v>
      </c>
      <c r="K806">
        <v>50000</v>
      </c>
      <c r="L806" s="2">
        <v>46178</v>
      </c>
    </row>
    <row r="807" spans="1:12">
      <c r="A807" t="s">
        <v>1134</v>
      </c>
      <c r="B807" t="s">
        <v>433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 s="8">
        <v>0.84650000000000003</v>
      </c>
      <c r="K807">
        <v>70000</v>
      </c>
      <c r="L807" s="2">
        <v>45876</v>
      </c>
    </row>
    <row r="808" spans="1:12">
      <c r="A808" t="s">
        <v>1135</v>
      </c>
      <c r="B808" t="s">
        <v>675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 s="8">
        <v>0.94710000000000005</v>
      </c>
      <c r="K808">
        <v>130000</v>
      </c>
      <c r="L808" s="2">
        <v>45779</v>
      </c>
    </row>
    <row r="809" spans="1:12">
      <c r="A809" t="s">
        <v>1136</v>
      </c>
      <c r="B809" t="s">
        <v>65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 s="8">
        <v>0.92200000000000004</v>
      </c>
      <c r="K809">
        <v>110000</v>
      </c>
      <c r="L809" s="2">
        <v>45611</v>
      </c>
    </row>
    <row r="810" spans="1:12">
      <c r="A810" t="s">
        <v>1137</v>
      </c>
      <c r="B810" t="s">
        <v>474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 s="8">
        <v>0.95009999999999994</v>
      </c>
      <c r="K810">
        <v>90000</v>
      </c>
      <c r="L810" s="2">
        <v>45808</v>
      </c>
    </row>
    <row r="811" spans="1:12">
      <c r="A811" t="s">
        <v>1138</v>
      </c>
      <c r="B811" t="s">
        <v>31</v>
      </c>
      <c r="C811" t="s">
        <v>19</v>
      </c>
      <c r="D811" t="s">
        <v>28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 s="8">
        <v>0.74590000000000001</v>
      </c>
      <c r="K811">
        <v>90000</v>
      </c>
      <c r="L811" s="2">
        <v>45701</v>
      </c>
    </row>
    <row r="812" spans="1:12">
      <c r="A812" t="s">
        <v>1139</v>
      </c>
      <c r="B812" t="s">
        <v>388</v>
      </c>
      <c r="C812" t="s">
        <v>14</v>
      </c>
      <c r="D812" t="s">
        <v>53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 s="8">
        <v>0.85399999999999998</v>
      </c>
      <c r="K812">
        <v>80000</v>
      </c>
      <c r="L812" s="2">
        <v>46219</v>
      </c>
    </row>
    <row r="813" spans="1:12">
      <c r="A813" t="s">
        <v>1140</v>
      </c>
      <c r="B813" t="s">
        <v>272</v>
      </c>
      <c r="C813" t="s">
        <v>19</v>
      </c>
      <c r="D813" t="s">
        <v>20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 s="8">
        <v>0.7349</v>
      </c>
      <c r="K813">
        <v>120000</v>
      </c>
      <c r="L813" s="2">
        <v>45905</v>
      </c>
    </row>
    <row r="814" spans="1:12">
      <c r="A814" t="s">
        <v>1141</v>
      </c>
      <c r="B814" t="s">
        <v>1106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 s="8">
        <v>0.91690000000000005</v>
      </c>
      <c r="K814">
        <v>60000</v>
      </c>
      <c r="L814" s="2">
        <v>45631</v>
      </c>
    </row>
    <row r="815" spans="1:12">
      <c r="A815" t="s">
        <v>1142</v>
      </c>
      <c r="B815" t="s">
        <v>90</v>
      </c>
      <c r="C815" t="s">
        <v>14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 s="8">
        <v>0.88139999999999996</v>
      </c>
      <c r="K815">
        <v>75000</v>
      </c>
      <c r="L815" s="2">
        <v>45583</v>
      </c>
    </row>
    <row r="816" spans="1:12">
      <c r="A816" t="s">
        <v>1143</v>
      </c>
      <c r="B816" t="s">
        <v>79</v>
      </c>
      <c r="C816" t="s">
        <v>19</v>
      </c>
      <c r="D816" t="s">
        <v>53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 s="8">
        <v>0.92849999999999999</v>
      </c>
      <c r="K816">
        <v>70000</v>
      </c>
      <c r="L816" s="2">
        <v>46131</v>
      </c>
    </row>
    <row r="817" spans="1:12">
      <c r="A817" t="s">
        <v>1144</v>
      </c>
      <c r="B817" t="s">
        <v>415</v>
      </c>
      <c r="C817" t="s">
        <v>19</v>
      </c>
      <c r="D817" t="s">
        <v>36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 s="8">
        <v>0.80820000000000003</v>
      </c>
      <c r="K817">
        <v>120000</v>
      </c>
      <c r="L817" s="2">
        <v>46188</v>
      </c>
    </row>
    <row r="818" spans="1:12">
      <c r="A818" t="s">
        <v>1145</v>
      </c>
      <c r="B818" t="s">
        <v>575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 s="8">
        <v>0.82210000000000005</v>
      </c>
      <c r="K818">
        <v>85000</v>
      </c>
      <c r="L818" s="2">
        <v>46070</v>
      </c>
    </row>
    <row r="819" spans="1:12">
      <c r="A819" t="s">
        <v>1146</v>
      </c>
      <c r="B819" t="s">
        <v>1147</v>
      </c>
      <c r="C819" t="s">
        <v>14</v>
      </c>
      <c r="D819" t="s">
        <v>36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 s="8">
        <v>0.86709999999999998</v>
      </c>
      <c r="K819">
        <v>100000</v>
      </c>
      <c r="L819" s="2">
        <v>45622</v>
      </c>
    </row>
    <row r="820" spans="1:12">
      <c r="A820" t="s">
        <v>1148</v>
      </c>
      <c r="B820" t="s">
        <v>720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 s="8">
        <v>0.95279999999999998</v>
      </c>
      <c r="K820">
        <v>130000</v>
      </c>
      <c r="L820" s="2">
        <v>45604</v>
      </c>
    </row>
    <row r="821" spans="1:12">
      <c r="A821" t="s">
        <v>1149</v>
      </c>
      <c r="B821" t="s">
        <v>50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 s="8">
        <v>0.95979999999999999</v>
      </c>
      <c r="K821">
        <v>70000</v>
      </c>
      <c r="L821" s="2">
        <v>45674</v>
      </c>
    </row>
    <row r="822" spans="1:12">
      <c r="A822" t="s">
        <v>1150</v>
      </c>
      <c r="B822" t="s">
        <v>1098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 s="8">
        <v>0.84289999999999998</v>
      </c>
      <c r="K822">
        <v>130000</v>
      </c>
      <c r="L822" s="2">
        <v>46061</v>
      </c>
    </row>
    <row r="823" spans="1:12">
      <c r="A823" t="s">
        <v>1151</v>
      </c>
      <c r="B823" t="s">
        <v>651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 s="8">
        <v>0.96679999999999999</v>
      </c>
      <c r="K823">
        <v>60000</v>
      </c>
      <c r="L823" s="2">
        <v>46071</v>
      </c>
    </row>
    <row r="824" spans="1:12">
      <c r="A824" t="s">
        <v>1152</v>
      </c>
      <c r="B824" t="s">
        <v>288</v>
      </c>
      <c r="C824" t="s">
        <v>14</v>
      </c>
      <c r="D824" t="s">
        <v>53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 s="8">
        <v>0.95730000000000004</v>
      </c>
      <c r="K824">
        <v>110000</v>
      </c>
      <c r="L824" s="2">
        <v>46122</v>
      </c>
    </row>
    <row r="825" spans="1:12">
      <c r="A825" t="s">
        <v>1153</v>
      </c>
      <c r="B825" t="s">
        <v>77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 s="8">
        <v>0.94520000000000004</v>
      </c>
      <c r="K825">
        <v>100000</v>
      </c>
      <c r="L825" s="2">
        <v>45603</v>
      </c>
    </row>
    <row r="826" spans="1:12">
      <c r="A826" t="s">
        <v>1154</v>
      </c>
      <c r="B826" t="s">
        <v>213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 s="8">
        <v>0.88039999999999996</v>
      </c>
      <c r="K826">
        <v>120000</v>
      </c>
      <c r="L826" s="2">
        <v>45643</v>
      </c>
    </row>
    <row r="827" spans="1:12">
      <c r="A827" t="s">
        <v>1155</v>
      </c>
      <c r="B827" t="s">
        <v>135</v>
      </c>
      <c r="C827" t="s">
        <v>14</v>
      </c>
      <c r="D827" t="s">
        <v>53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 s="8">
        <v>0.93130000000000002</v>
      </c>
      <c r="K827">
        <v>60000</v>
      </c>
      <c r="L827" s="2">
        <v>46166</v>
      </c>
    </row>
    <row r="828" spans="1:12">
      <c r="A828" t="s">
        <v>1156</v>
      </c>
      <c r="B828" t="s">
        <v>412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 s="8">
        <v>0.73350000000000004</v>
      </c>
      <c r="K828">
        <v>130000</v>
      </c>
      <c r="L828" s="2">
        <v>46186</v>
      </c>
    </row>
    <row r="829" spans="1:12">
      <c r="A829" t="s">
        <v>1157</v>
      </c>
      <c r="B829" t="s">
        <v>404</v>
      </c>
      <c r="C829" t="s">
        <v>19</v>
      </c>
      <c r="D829" t="s">
        <v>28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 s="8">
        <v>0.97170000000000001</v>
      </c>
      <c r="K829">
        <v>110000</v>
      </c>
      <c r="L829" s="2">
        <v>46043</v>
      </c>
    </row>
    <row r="830" spans="1:12">
      <c r="A830" t="s">
        <v>1158</v>
      </c>
      <c r="B830" t="s">
        <v>697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 s="8">
        <v>0.81640000000000001</v>
      </c>
      <c r="K830">
        <v>60000</v>
      </c>
      <c r="L830" s="2">
        <v>45610</v>
      </c>
    </row>
    <row r="831" spans="1:12">
      <c r="A831" t="s">
        <v>1159</v>
      </c>
      <c r="B831" t="s">
        <v>186</v>
      </c>
      <c r="C831" t="s">
        <v>14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 s="8">
        <v>0.98939999999999995</v>
      </c>
      <c r="K831">
        <v>90000</v>
      </c>
      <c r="L831" s="2">
        <v>45584</v>
      </c>
    </row>
    <row r="832" spans="1:12">
      <c r="A832" t="s">
        <v>1160</v>
      </c>
      <c r="B832" t="s">
        <v>131</v>
      </c>
      <c r="C832" t="s">
        <v>14</v>
      </c>
      <c r="D832" t="s">
        <v>36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 s="8">
        <v>0.87290000000000001</v>
      </c>
      <c r="K832">
        <v>110000</v>
      </c>
      <c r="L832" s="2">
        <v>45574</v>
      </c>
    </row>
    <row r="833" spans="1:12">
      <c r="A833" t="s">
        <v>1161</v>
      </c>
      <c r="B833" t="s">
        <v>410</v>
      </c>
      <c r="C833" t="s">
        <v>14</v>
      </c>
      <c r="D833" t="s">
        <v>36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 s="8">
        <v>0.77400000000000002</v>
      </c>
      <c r="K833">
        <v>85000</v>
      </c>
      <c r="L833" s="2">
        <v>46020</v>
      </c>
    </row>
    <row r="834" spans="1:12">
      <c r="A834" t="s">
        <v>1162</v>
      </c>
      <c r="B834" t="s">
        <v>357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 s="8">
        <v>0.88780000000000003</v>
      </c>
      <c r="K834">
        <v>80000</v>
      </c>
      <c r="L834" s="2">
        <v>46128</v>
      </c>
    </row>
    <row r="835" spans="1:12">
      <c r="A835" t="s">
        <v>1163</v>
      </c>
      <c r="B835" t="s">
        <v>73</v>
      </c>
      <c r="C835" t="s">
        <v>14</v>
      </c>
      <c r="D835" t="s">
        <v>36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 s="8">
        <v>0.86470000000000002</v>
      </c>
      <c r="K835">
        <v>75000</v>
      </c>
      <c r="L835" s="2">
        <v>45978</v>
      </c>
    </row>
    <row r="836" spans="1:12">
      <c r="A836" t="s">
        <v>1164</v>
      </c>
      <c r="B836" t="s">
        <v>141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 s="8">
        <v>0.84540000000000004</v>
      </c>
      <c r="K836">
        <v>85000</v>
      </c>
      <c r="L836" s="2">
        <v>45719</v>
      </c>
    </row>
    <row r="837" spans="1:12">
      <c r="A837" t="s">
        <v>1165</v>
      </c>
      <c r="B837" t="s">
        <v>415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 s="8">
        <v>0.98080000000000001</v>
      </c>
      <c r="K837">
        <v>130000</v>
      </c>
      <c r="L837" s="2">
        <v>46066</v>
      </c>
    </row>
    <row r="838" spans="1:12">
      <c r="A838" t="s">
        <v>1166</v>
      </c>
      <c r="B838" t="s">
        <v>102</v>
      </c>
      <c r="C838" t="s">
        <v>19</v>
      </c>
      <c r="D838" t="s">
        <v>20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 s="8">
        <v>0.69789999999999996</v>
      </c>
      <c r="K838">
        <v>90000</v>
      </c>
      <c r="L838" s="2">
        <v>45577</v>
      </c>
    </row>
    <row r="839" spans="1:12">
      <c r="A839" t="s">
        <v>1167</v>
      </c>
      <c r="B839" t="s">
        <v>1036</v>
      </c>
      <c r="C839" t="s">
        <v>14</v>
      </c>
      <c r="D839" t="s">
        <v>28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 s="8">
        <v>0.60809999999999997</v>
      </c>
      <c r="K839">
        <v>100000</v>
      </c>
      <c r="L839" s="2">
        <v>46115</v>
      </c>
    </row>
    <row r="840" spans="1:12">
      <c r="A840" t="s">
        <v>1168</v>
      </c>
      <c r="B840" t="s">
        <v>431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 s="8">
        <v>0.7288</v>
      </c>
      <c r="K840">
        <v>110000</v>
      </c>
      <c r="L840" s="2">
        <v>46160</v>
      </c>
    </row>
    <row r="841" spans="1:12">
      <c r="A841" t="s">
        <v>1169</v>
      </c>
      <c r="B841" t="s">
        <v>518</v>
      </c>
      <c r="C841" t="s">
        <v>19</v>
      </c>
      <c r="D841" t="s">
        <v>28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 s="8">
        <v>0.92059999999999997</v>
      </c>
      <c r="K841">
        <v>110000</v>
      </c>
      <c r="L841" s="2">
        <v>46038</v>
      </c>
    </row>
    <row r="842" spans="1:12">
      <c r="A842" t="s">
        <v>1170</v>
      </c>
      <c r="B842" t="s">
        <v>1038</v>
      </c>
      <c r="C842" t="s">
        <v>14</v>
      </c>
      <c r="D842" t="s">
        <v>36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 s="8">
        <v>0.69040000000000001</v>
      </c>
      <c r="K842">
        <v>80000</v>
      </c>
      <c r="L842" s="2">
        <v>46151</v>
      </c>
    </row>
    <row r="843" spans="1:12">
      <c r="A843" t="s">
        <v>1171</v>
      </c>
      <c r="B843" t="s">
        <v>104</v>
      </c>
      <c r="C843" t="s">
        <v>19</v>
      </c>
      <c r="D843" t="s">
        <v>36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 s="8">
        <v>0.93700000000000006</v>
      </c>
      <c r="K843">
        <v>110000</v>
      </c>
      <c r="L843" s="2">
        <v>45946</v>
      </c>
    </row>
    <row r="844" spans="1:12">
      <c r="A844" t="s">
        <v>1172</v>
      </c>
      <c r="B844" t="s">
        <v>111</v>
      </c>
      <c r="C844" t="s">
        <v>19</v>
      </c>
      <c r="D844" t="s">
        <v>15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 s="8">
        <v>0.77559999999999996</v>
      </c>
      <c r="K844">
        <v>75000</v>
      </c>
      <c r="L844" s="2">
        <v>45863</v>
      </c>
    </row>
    <row r="845" spans="1:12">
      <c r="A845" t="s">
        <v>1173</v>
      </c>
      <c r="B845" t="s">
        <v>372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 s="8">
        <v>0.63160000000000005</v>
      </c>
      <c r="K845">
        <v>90000</v>
      </c>
      <c r="L845" s="2">
        <v>45761</v>
      </c>
    </row>
    <row r="846" spans="1:12">
      <c r="A846" t="s">
        <v>1174</v>
      </c>
      <c r="B846" t="s">
        <v>274</v>
      </c>
      <c r="C846" t="s">
        <v>14</v>
      </c>
      <c r="D846" t="s">
        <v>20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 s="8">
        <v>0.99750000000000005</v>
      </c>
      <c r="K846">
        <v>75000</v>
      </c>
      <c r="L846" s="2">
        <v>46181</v>
      </c>
    </row>
    <row r="847" spans="1:12">
      <c r="A847" t="s">
        <v>1175</v>
      </c>
      <c r="B847" t="s">
        <v>425</v>
      </c>
      <c r="C847" t="s">
        <v>14</v>
      </c>
      <c r="D847" t="s">
        <v>53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 s="8">
        <v>0.91039999999999999</v>
      </c>
      <c r="K847">
        <v>130000</v>
      </c>
      <c r="L847" s="2">
        <v>46024</v>
      </c>
    </row>
    <row r="848" spans="1:12">
      <c r="A848" t="s">
        <v>1176</v>
      </c>
      <c r="B848" t="s">
        <v>757</v>
      </c>
      <c r="C848" t="s">
        <v>14</v>
      </c>
      <c r="D848" t="s">
        <v>53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 s="8">
        <v>0.83069999999999999</v>
      </c>
      <c r="K848">
        <v>110000</v>
      </c>
      <c r="L848" s="2">
        <v>45669</v>
      </c>
    </row>
    <row r="849" spans="1:12">
      <c r="A849" t="s">
        <v>1177</v>
      </c>
      <c r="B849" t="s">
        <v>357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 s="8">
        <v>0.86129999999999995</v>
      </c>
      <c r="K849">
        <v>90000</v>
      </c>
      <c r="L849" s="2">
        <v>46205</v>
      </c>
    </row>
    <row r="850" spans="1:12">
      <c r="A850" t="s">
        <v>1178</v>
      </c>
      <c r="B850" t="s">
        <v>949</v>
      </c>
      <c r="C850" t="s">
        <v>19</v>
      </c>
      <c r="D850" t="s">
        <v>36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 s="8">
        <v>0.55000000000000004</v>
      </c>
      <c r="K850">
        <v>80000</v>
      </c>
      <c r="L850" s="2">
        <v>45577</v>
      </c>
    </row>
    <row r="851" spans="1:12">
      <c r="A851" t="s">
        <v>1179</v>
      </c>
      <c r="B851" t="s">
        <v>748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 s="8">
        <v>0.55000000000000004</v>
      </c>
      <c r="K851">
        <v>85000</v>
      </c>
      <c r="L851" s="2">
        <v>45947</v>
      </c>
    </row>
    <row r="852" spans="1:12">
      <c r="A852" t="s">
        <v>1180</v>
      </c>
      <c r="B852" t="s">
        <v>479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 s="8">
        <v>0.91310000000000002</v>
      </c>
      <c r="K852">
        <v>110000</v>
      </c>
      <c r="L852" s="2">
        <v>45669</v>
      </c>
    </row>
    <row r="853" spans="1:12">
      <c r="A853" t="s">
        <v>1181</v>
      </c>
      <c r="B853" t="s">
        <v>237</v>
      </c>
      <c r="C853" t="s">
        <v>19</v>
      </c>
      <c r="D853" t="s">
        <v>32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 s="8">
        <v>0.95920000000000005</v>
      </c>
      <c r="K853">
        <v>75000</v>
      </c>
      <c r="L853" s="2">
        <v>46001</v>
      </c>
    </row>
    <row r="854" spans="1:12">
      <c r="A854" t="s">
        <v>1182</v>
      </c>
      <c r="B854" t="s">
        <v>408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 s="8">
        <v>0.96989999999999998</v>
      </c>
      <c r="K854">
        <v>120000</v>
      </c>
      <c r="L854" s="2">
        <v>45824</v>
      </c>
    </row>
    <row r="855" spans="1:12">
      <c r="A855" t="s">
        <v>1183</v>
      </c>
      <c r="B855" t="s">
        <v>1184</v>
      </c>
      <c r="C855" t="s">
        <v>14</v>
      </c>
      <c r="D855" t="s">
        <v>53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 s="8">
        <v>0.86260000000000003</v>
      </c>
      <c r="K855">
        <v>75000</v>
      </c>
      <c r="L855" s="2">
        <v>45841</v>
      </c>
    </row>
    <row r="856" spans="1:12">
      <c r="A856" t="s">
        <v>1185</v>
      </c>
      <c r="B856" t="s">
        <v>930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 s="8">
        <v>0.8266</v>
      </c>
      <c r="K856">
        <v>60000</v>
      </c>
      <c r="L856" s="2">
        <v>46006</v>
      </c>
    </row>
    <row r="857" spans="1:12">
      <c r="A857" t="s">
        <v>1186</v>
      </c>
      <c r="B857" t="s">
        <v>912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 s="8">
        <v>0.88739999999999997</v>
      </c>
      <c r="K857">
        <v>110000</v>
      </c>
      <c r="L857" s="2">
        <v>46065</v>
      </c>
    </row>
    <row r="858" spans="1:12">
      <c r="A858" t="s">
        <v>1187</v>
      </c>
      <c r="B858" t="s">
        <v>600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 s="8">
        <v>0.57750000000000001</v>
      </c>
      <c r="K858">
        <v>100000</v>
      </c>
      <c r="L858" s="2">
        <v>45802</v>
      </c>
    </row>
    <row r="859" spans="1:12">
      <c r="A859" t="s">
        <v>1188</v>
      </c>
      <c r="B859" t="s">
        <v>679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 s="8">
        <v>0.82110000000000005</v>
      </c>
      <c r="K859">
        <v>75000</v>
      </c>
      <c r="L859" s="2">
        <v>46234</v>
      </c>
    </row>
    <row r="860" spans="1:12">
      <c r="A860" t="s">
        <v>1189</v>
      </c>
      <c r="B860" t="s">
        <v>43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 s="8">
        <v>0.97829999999999995</v>
      </c>
      <c r="K860">
        <v>100000</v>
      </c>
      <c r="L860" s="2">
        <v>45884</v>
      </c>
    </row>
    <row r="861" spans="1:12">
      <c r="A861" t="s">
        <v>1190</v>
      </c>
      <c r="B861" t="s">
        <v>52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 s="8">
        <v>0.85309999999999997</v>
      </c>
      <c r="K861">
        <v>110000</v>
      </c>
      <c r="L861" s="2">
        <v>45648</v>
      </c>
    </row>
    <row r="862" spans="1:12">
      <c r="A862" t="s">
        <v>1191</v>
      </c>
      <c r="B862" t="s">
        <v>651</v>
      </c>
      <c r="C862" t="s">
        <v>19</v>
      </c>
      <c r="D862" t="s">
        <v>53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 s="8">
        <v>0.83660000000000001</v>
      </c>
      <c r="K862">
        <v>110000</v>
      </c>
      <c r="L862" s="2">
        <v>45540</v>
      </c>
    </row>
    <row r="863" spans="1:12">
      <c r="A863" t="s">
        <v>1192</v>
      </c>
      <c r="B863" t="s">
        <v>342</v>
      </c>
      <c r="C863" t="s">
        <v>19</v>
      </c>
      <c r="D863" t="s">
        <v>53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 s="8">
        <v>0.8891</v>
      </c>
      <c r="K863">
        <v>130000</v>
      </c>
      <c r="L863" s="2">
        <v>45677</v>
      </c>
    </row>
    <row r="864" spans="1:12">
      <c r="A864" t="s">
        <v>1193</v>
      </c>
      <c r="B864" t="s">
        <v>1074</v>
      </c>
      <c r="C864" t="s">
        <v>14</v>
      </c>
      <c r="D864" t="s">
        <v>36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 s="8">
        <v>0.99199999999999999</v>
      </c>
      <c r="K864">
        <v>120000</v>
      </c>
      <c r="L864" s="2">
        <v>46019</v>
      </c>
    </row>
    <row r="865" spans="1:12">
      <c r="A865" t="s">
        <v>1194</v>
      </c>
      <c r="B865" t="s">
        <v>667</v>
      </c>
      <c r="C865" t="s">
        <v>19</v>
      </c>
      <c r="D865" t="s">
        <v>15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 s="8">
        <v>0.71740000000000004</v>
      </c>
      <c r="K865">
        <v>80000</v>
      </c>
      <c r="L865" s="2">
        <v>45913</v>
      </c>
    </row>
    <row r="866" spans="1:12">
      <c r="A866" t="s">
        <v>1195</v>
      </c>
      <c r="B866" t="s">
        <v>77</v>
      </c>
      <c r="C866" t="s">
        <v>19</v>
      </c>
      <c r="D866" t="s">
        <v>53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 s="8">
        <v>0.81459999999999999</v>
      </c>
      <c r="K866">
        <v>70000</v>
      </c>
      <c r="L866" s="2">
        <v>45772</v>
      </c>
    </row>
    <row r="867" spans="1:12">
      <c r="A867" t="s">
        <v>1196</v>
      </c>
      <c r="B867" t="s">
        <v>204</v>
      </c>
      <c r="C867" t="s">
        <v>19</v>
      </c>
      <c r="D867" t="s">
        <v>36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 s="8">
        <v>0.88529999999999998</v>
      </c>
      <c r="K867">
        <v>60000</v>
      </c>
      <c r="L867" s="2">
        <v>45872</v>
      </c>
    </row>
    <row r="868" spans="1:12">
      <c r="A868" t="s">
        <v>1197</v>
      </c>
      <c r="B868" t="s">
        <v>415</v>
      </c>
      <c r="C868" t="s">
        <v>19</v>
      </c>
      <c r="D868" t="s">
        <v>53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 s="8">
        <v>0.9496</v>
      </c>
      <c r="K868">
        <v>90000</v>
      </c>
      <c r="L868" s="2">
        <v>46122</v>
      </c>
    </row>
    <row r="869" spans="1:12">
      <c r="A869" t="s">
        <v>1198</v>
      </c>
      <c r="B869" t="s">
        <v>280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 s="8">
        <v>0.7762</v>
      </c>
      <c r="K869">
        <v>100000</v>
      </c>
      <c r="L869" s="2">
        <v>45936</v>
      </c>
    </row>
    <row r="870" spans="1:12">
      <c r="A870" t="s">
        <v>1199</v>
      </c>
      <c r="B870" t="s">
        <v>492</v>
      </c>
      <c r="C870" t="s">
        <v>14</v>
      </c>
      <c r="D870" t="s">
        <v>53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 s="8">
        <v>0.78990000000000005</v>
      </c>
      <c r="K870">
        <v>100000</v>
      </c>
      <c r="L870" s="2">
        <v>45576</v>
      </c>
    </row>
    <row r="871" spans="1:12">
      <c r="A871" t="s">
        <v>1200</v>
      </c>
      <c r="B871" t="s">
        <v>45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 s="8">
        <v>0.86750000000000005</v>
      </c>
      <c r="K871">
        <v>50000</v>
      </c>
      <c r="L871" s="2">
        <v>45570</v>
      </c>
    </row>
    <row r="872" spans="1:12">
      <c r="A872" t="s">
        <v>1201</v>
      </c>
      <c r="B872" t="s">
        <v>564</v>
      </c>
      <c r="C872" t="s">
        <v>14</v>
      </c>
      <c r="D872" t="s">
        <v>20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 s="8">
        <v>0.97450000000000003</v>
      </c>
      <c r="K872">
        <v>100000</v>
      </c>
      <c r="L872" s="2">
        <v>45873</v>
      </c>
    </row>
    <row r="873" spans="1:12">
      <c r="A873" t="s">
        <v>1202</v>
      </c>
      <c r="B873" t="s">
        <v>575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 s="8">
        <v>0.97970000000000002</v>
      </c>
      <c r="K873">
        <v>110000</v>
      </c>
      <c r="L873" s="2">
        <v>45818</v>
      </c>
    </row>
    <row r="874" spans="1:12">
      <c r="A874" t="s">
        <v>1203</v>
      </c>
      <c r="B874" t="s">
        <v>1204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 s="8">
        <v>0.92959999999999998</v>
      </c>
      <c r="K874">
        <v>100000</v>
      </c>
      <c r="L874" s="2">
        <v>46131</v>
      </c>
    </row>
    <row r="875" spans="1:12">
      <c r="A875" t="s">
        <v>1205</v>
      </c>
      <c r="B875" t="s">
        <v>737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 s="8">
        <v>0.6784</v>
      </c>
      <c r="K875">
        <v>85000</v>
      </c>
      <c r="L875" s="2">
        <v>45944</v>
      </c>
    </row>
    <row r="876" spans="1:12">
      <c r="A876" t="s">
        <v>1206</v>
      </c>
      <c r="B876" t="s">
        <v>317</v>
      </c>
      <c r="C876" t="s">
        <v>19</v>
      </c>
      <c r="D876" t="s">
        <v>36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 s="8">
        <v>0.68859999999999999</v>
      </c>
      <c r="K876">
        <v>50000</v>
      </c>
      <c r="L876" s="2">
        <v>46065</v>
      </c>
    </row>
    <row r="877" spans="1:12">
      <c r="A877" t="s">
        <v>1207</v>
      </c>
      <c r="B877" t="s">
        <v>777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 s="8">
        <v>0.92969999999999997</v>
      </c>
      <c r="K877">
        <v>85000</v>
      </c>
      <c r="L877" s="2">
        <v>45945</v>
      </c>
    </row>
    <row r="878" spans="1:12">
      <c r="A878" t="s">
        <v>1208</v>
      </c>
      <c r="B878" t="s">
        <v>55</v>
      </c>
      <c r="C878" t="s">
        <v>19</v>
      </c>
      <c r="D878" t="s">
        <v>53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 s="8">
        <v>0.97289999999999999</v>
      </c>
      <c r="K878">
        <v>100000</v>
      </c>
      <c r="L878" s="2">
        <v>45777</v>
      </c>
    </row>
    <row r="879" spans="1:12">
      <c r="A879" t="s">
        <v>1209</v>
      </c>
      <c r="B879" t="s">
        <v>442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 s="8">
        <v>0.82310000000000005</v>
      </c>
      <c r="K879">
        <v>90000</v>
      </c>
      <c r="L879" s="2">
        <v>45996</v>
      </c>
    </row>
    <row r="880" spans="1:12">
      <c r="A880" t="s">
        <v>1210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 s="8">
        <v>0.77610000000000001</v>
      </c>
      <c r="K880">
        <v>90000</v>
      </c>
      <c r="L880" s="2">
        <v>45971</v>
      </c>
    </row>
    <row r="881" spans="1:12">
      <c r="A881" t="s">
        <v>1211</v>
      </c>
      <c r="B881" t="s">
        <v>127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 s="8">
        <v>0.94079999999999997</v>
      </c>
      <c r="K881">
        <v>85000</v>
      </c>
      <c r="L881" s="2">
        <v>46040</v>
      </c>
    </row>
    <row r="882" spans="1:12">
      <c r="A882" t="s">
        <v>1212</v>
      </c>
      <c r="B882" t="s">
        <v>607</v>
      </c>
      <c r="C882" t="s">
        <v>14</v>
      </c>
      <c r="D882" t="s">
        <v>28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 s="8">
        <v>0.65229999999999999</v>
      </c>
      <c r="K882">
        <v>90000</v>
      </c>
      <c r="L882" s="2">
        <v>45668</v>
      </c>
    </row>
    <row r="883" spans="1:12">
      <c r="A883" t="s">
        <v>1213</v>
      </c>
      <c r="B883" t="s">
        <v>85</v>
      </c>
      <c r="C883" t="s">
        <v>19</v>
      </c>
      <c r="D883" t="s">
        <v>53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 s="8">
        <v>0.55000000000000004</v>
      </c>
      <c r="K883">
        <v>75000</v>
      </c>
      <c r="L883" s="2">
        <v>45985</v>
      </c>
    </row>
    <row r="884" spans="1:12">
      <c r="A884" t="s">
        <v>1214</v>
      </c>
      <c r="B884" t="s">
        <v>833</v>
      </c>
      <c r="C884" t="s">
        <v>14</v>
      </c>
      <c r="D884" t="s">
        <v>53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 s="8">
        <v>0.61939999999999995</v>
      </c>
      <c r="K884">
        <v>90000</v>
      </c>
      <c r="L884" s="2">
        <v>45735</v>
      </c>
    </row>
    <row r="885" spans="1:12">
      <c r="A885" t="s">
        <v>1215</v>
      </c>
      <c r="B885" t="s">
        <v>372</v>
      </c>
      <c r="C885" t="s">
        <v>14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 s="8">
        <v>0.72609999999999997</v>
      </c>
      <c r="K885">
        <v>75000</v>
      </c>
      <c r="L885" s="2">
        <v>46089</v>
      </c>
    </row>
    <row r="886" spans="1:12">
      <c r="A886" t="s">
        <v>1216</v>
      </c>
      <c r="B886" t="s">
        <v>1034</v>
      </c>
      <c r="C886" t="s">
        <v>19</v>
      </c>
      <c r="D886" t="s">
        <v>53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 s="8">
        <v>0.76170000000000004</v>
      </c>
      <c r="K886">
        <v>85000</v>
      </c>
      <c r="L886" s="2">
        <v>46094</v>
      </c>
    </row>
    <row r="887" spans="1:12">
      <c r="A887" t="s">
        <v>1217</v>
      </c>
      <c r="B887" t="s">
        <v>720</v>
      </c>
      <c r="C887" t="s">
        <v>19</v>
      </c>
      <c r="D887" t="s">
        <v>36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 s="8">
        <v>0.66259999999999997</v>
      </c>
      <c r="K887">
        <v>80000</v>
      </c>
      <c r="L887" s="2">
        <v>45973</v>
      </c>
    </row>
    <row r="888" spans="1:12">
      <c r="A888" t="s">
        <v>1218</v>
      </c>
      <c r="B888" t="s">
        <v>562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 s="8">
        <v>0.90469999999999995</v>
      </c>
      <c r="K888">
        <v>100000</v>
      </c>
      <c r="L888" s="2">
        <v>46198</v>
      </c>
    </row>
    <row r="889" spans="1:12">
      <c r="A889" t="s">
        <v>1219</v>
      </c>
      <c r="B889" t="s">
        <v>718</v>
      </c>
      <c r="C889" t="s">
        <v>14</v>
      </c>
      <c r="D889" t="s">
        <v>20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 s="8">
        <v>0.84689999999999999</v>
      </c>
      <c r="K889">
        <v>120000</v>
      </c>
      <c r="L889" s="2">
        <v>45912</v>
      </c>
    </row>
    <row r="890" spans="1:12">
      <c r="A890" t="s">
        <v>1220</v>
      </c>
      <c r="B890" t="s">
        <v>325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 s="8">
        <v>0.82040000000000002</v>
      </c>
      <c r="K890">
        <v>90000</v>
      </c>
      <c r="L890" s="2">
        <v>45553</v>
      </c>
    </row>
    <row r="891" spans="1:12">
      <c r="A891" t="s">
        <v>1221</v>
      </c>
      <c r="B891" t="s">
        <v>65</v>
      </c>
      <c r="C891" t="s">
        <v>14</v>
      </c>
      <c r="D891" t="s">
        <v>36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 s="8">
        <v>0.73619999999999997</v>
      </c>
      <c r="K891">
        <v>60000</v>
      </c>
      <c r="L891" s="2">
        <v>45960</v>
      </c>
    </row>
    <row r="892" spans="1:12">
      <c r="A892" t="s">
        <v>1222</v>
      </c>
      <c r="B892" t="s">
        <v>178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 s="8">
        <v>0.80800000000000005</v>
      </c>
      <c r="K892">
        <v>100000</v>
      </c>
      <c r="L892" s="2">
        <v>46080</v>
      </c>
    </row>
    <row r="893" spans="1:12">
      <c r="A893" t="s">
        <v>1223</v>
      </c>
      <c r="B893" t="s">
        <v>50</v>
      </c>
      <c r="C893" t="s">
        <v>19</v>
      </c>
      <c r="D893" t="s">
        <v>36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 s="8">
        <v>0.62170000000000003</v>
      </c>
      <c r="K893">
        <v>75000</v>
      </c>
      <c r="L893" s="2">
        <v>45606</v>
      </c>
    </row>
    <row r="894" spans="1:12">
      <c r="A894" t="s">
        <v>1224</v>
      </c>
      <c r="B894" t="s">
        <v>260</v>
      </c>
      <c r="C894" t="s">
        <v>19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 s="8">
        <v>0.85919999999999996</v>
      </c>
      <c r="K894">
        <v>50000</v>
      </c>
      <c r="L894" s="2">
        <v>45609</v>
      </c>
    </row>
    <row r="895" spans="1:12">
      <c r="A895" t="s">
        <v>1225</v>
      </c>
      <c r="B895" t="s">
        <v>52</v>
      </c>
      <c r="C895" t="s">
        <v>19</v>
      </c>
      <c r="D895" t="s">
        <v>53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 s="8">
        <v>0.87939999999999996</v>
      </c>
      <c r="K895">
        <v>70000</v>
      </c>
      <c r="L895" s="2">
        <v>45727</v>
      </c>
    </row>
    <row r="896" spans="1:12">
      <c r="A896" t="s">
        <v>1226</v>
      </c>
      <c r="B896" t="s">
        <v>585</v>
      </c>
      <c r="C896" t="s">
        <v>19</v>
      </c>
      <c r="D896" t="s">
        <v>53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 s="8">
        <v>0.89259999999999995</v>
      </c>
      <c r="K896">
        <v>130000</v>
      </c>
      <c r="L896" s="2">
        <v>46126</v>
      </c>
    </row>
    <row r="897" spans="1:12">
      <c r="A897" t="s">
        <v>1227</v>
      </c>
      <c r="B897" t="s">
        <v>623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 s="8">
        <v>0.78939999999999999</v>
      </c>
      <c r="K897">
        <v>80000</v>
      </c>
      <c r="L897" s="2">
        <v>45905</v>
      </c>
    </row>
    <row r="898" spans="1:12">
      <c r="A898" t="s">
        <v>1228</v>
      </c>
      <c r="B898" t="s">
        <v>129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 s="8">
        <v>0.94220000000000004</v>
      </c>
      <c r="K898">
        <v>70000</v>
      </c>
      <c r="L898" s="2">
        <v>46219</v>
      </c>
    </row>
    <row r="899" spans="1:12">
      <c r="A899" t="s">
        <v>1229</v>
      </c>
      <c r="B899" t="s">
        <v>75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 s="8">
        <v>0.90300000000000002</v>
      </c>
      <c r="K899">
        <v>60000</v>
      </c>
      <c r="L899" s="2">
        <v>46147</v>
      </c>
    </row>
    <row r="900" spans="1:12">
      <c r="A900" t="s">
        <v>1230</v>
      </c>
      <c r="B900" t="s">
        <v>100</v>
      </c>
      <c r="C900" t="s">
        <v>14</v>
      </c>
      <c r="D900" t="s">
        <v>15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 s="8">
        <v>0.92100000000000004</v>
      </c>
      <c r="K900">
        <v>100000</v>
      </c>
      <c r="L900" s="2">
        <v>45924</v>
      </c>
    </row>
    <row r="901" spans="1:12">
      <c r="A901" t="s">
        <v>1231</v>
      </c>
      <c r="B901" t="s">
        <v>1232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 s="8">
        <v>0.85929999999999995</v>
      </c>
      <c r="K901">
        <v>110000</v>
      </c>
      <c r="L901" s="2">
        <v>46011</v>
      </c>
    </row>
    <row r="902" spans="1:12">
      <c r="A902" t="s">
        <v>1233</v>
      </c>
      <c r="B902" t="s">
        <v>939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 s="8">
        <v>0.7581</v>
      </c>
      <c r="K902">
        <v>75000</v>
      </c>
      <c r="L902" s="2">
        <v>45767</v>
      </c>
    </row>
    <row r="903" spans="1:12">
      <c r="A903" t="s">
        <v>1234</v>
      </c>
      <c r="B903" t="s">
        <v>320</v>
      </c>
      <c r="C903" t="s">
        <v>14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 s="8">
        <v>0.92469999999999997</v>
      </c>
      <c r="K903">
        <v>60000</v>
      </c>
      <c r="L903" s="2">
        <v>45599</v>
      </c>
    </row>
    <row r="904" spans="1:12">
      <c r="A904" t="s">
        <v>1235</v>
      </c>
      <c r="B904" t="s">
        <v>543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 s="8">
        <v>0.70069999999999999</v>
      </c>
      <c r="K904">
        <v>75000</v>
      </c>
      <c r="L904" s="2">
        <v>45815</v>
      </c>
    </row>
    <row r="905" spans="1:12">
      <c r="A905" t="s">
        <v>1236</v>
      </c>
      <c r="B905" t="s">
        <v>793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 s="8">
        <v>0.77449999999999997</v>
      </c>
      <c r="K905">
        <v>100000</v>
      </c>
      <c r="L905" s="2">
        <v>45950</v>
      </c>
    </row>
    <row r="906" spans="1:12">
      <c r="A906" t="s">
        <v>1237</v>
      </c>
      <c r="B906" t="s">
        <v>288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 s="8">
        <v>0.55000000000000004</v>
      </c>
      <c r="K906">
        <v>60000</v>
      </c>
      <c r="L906" s="2">
        <v>45663</v>
      </c>
    </row>
    <row r="907" spans="1:12">
      <c r="A907" t="s">
        <v>1238</v>
      </c>
      <c r="B907" t="s">
        <v>471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 s="8">
        <v>0.84130000000000005</v>
      </c>
      <c r="K907">
        <v>70000</v>
      </c>
      <c r="L907" s="2">
        <v>45691</v>
      </c>
    </row>
    <row r="908" spans="1:12">
      <c r="A908" t="s">
        <v>1239</v>
      </c>
      <c r="B908" t="s">
        <v>121</v>
      </c>
      <c r="C908" t="s">
        <v>14</v>
      </c>
      <c r="D908" t="s">
        <v>53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 s="8">
        <v>0.92610000000000003</v>
      </c>
      <c r="K908">
        <v>50000</v>
      </c>
      <c r="L908" s="2">
        <v>45546</v>
      </c>
    </row>
    <row r="909" spans="1:12">
      <c r="A909" t="s">
        <v>1240</v>
      </c>
      <c r="B909" t="s">
        <v>178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 s="8">
        <v>0.91759999999999997</v>
      </c>
      <c r="K909">
        <v>85000</v>
      </c>
      <c r="L909" s="2">
        <v>46049</v>
      </c>
    </row>
    <row r="910" spans="1:12">
      <c r="A910" t="s">
        <v>1241</v>
      </c>
      <c r="B910" t="s">
        <v>73</v>
      </c>
      <c r="C910" t="s">
        <v>14</v>
      </c>
      <c r="D910" t="s">
        <v>53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 s="8">
        <v>0.64249999999999996</v>
      </c>
      <c r="K910">
        <v>60000</v>
      </c>
      <c r="L910" s="2">
        <v>46165</v>
      </c>
    </row>
    <row r="911" spans="1:12">
      <c r="A911" t="s">
        <v>1242</v>
      </c>
      <c r="B911" t="s">
        <v>649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 s="8">
        <v>0.88639999999999997</v>
      </c>
      <c r="K911">
        <v>70000</v>
      </c>
      <c r="L911" s="2">
        <v>46115</v>
      </c>
    </row>
    <row r="912" spans="1:12">
      <c r="A912" t="s">
        <v>1243</v>
      </c>
      <c r="B912" t="s">
        <v>611</v>
      </c>
      <c r="C912" t="s">
        <v>19</v>
      </c>
      <c r="D912" t="s">
        <v>15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 s="8">
        <v>0.95789999999999997</v>
      </c>
      <c r="K912">
        <v>60000</v>
      </c>
      <c r="L912" s="2">
        <v>45801</v>
      </c>
    </row>
    <row r="913" spans="1:12">
      <c r="A913" t="s">
        <v>1244</v>
      </c>
      <c r="B913" t="s">
        <v>1245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 s="8">
        <v>0.85370000000000001</v>
      </c>
      <c r="K913">
        <v>110000</v>
      </c>
      <c r="L913" s="2">
        <v>45951</v>
      </c>
    </row>
    <row r="914" spans="1:12">
      <c r="A914" t="s">
        <v>1246</v>
      </c>
      <c r="B914" t="s">
        <v>492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 s="8">
        <v>0.82720000000000005</v>
      </c>
      <c r="K914">
        <v>85000</v>
      </c>
      <c r="L914" s="2">
        <v>46208</v>
      </c>
    </row>
    <row r="915" spans="1:12">
      <c r="A915" t="s">
        <v>1247</v>
      </c>
      <c r="B915" t="s">
        <v>213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 s="8">
        <v>0.90839999999999999</v>
      </c>
      <c r="K915">
        <v>130000</v>
      </c>
      <c r="L915" s="2">
        <v>45949</v>
      </c>
    </row>
    <row r="916" spans="1:12">
      <c r="A916" t="s">
        <v>1248</v>
      </c>
      <c r="B916" t="s">
        <v>1232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 s="8">
        <v>0.81840000000000002</v>
      </c>
      <c r="K916">
        <v>80000</v>
      </c>
      <c r="L916" s="2">
        <v>45743</v>
      </c>
    </row>
    <row r="917" spans="1:12">
      <c r="A917" t="s">
        <v>1249</v>
      </c>
      <c r="B917" t="s">
        <v>47</v>
      </c>
      <c r="C917" t="s">
        <v>14</v>
      </c>
      <c r="D917" t="s">
        <v>36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 s="8">
        <v>0.65190000000000003</v>
      </c>
      <c r="K917">
        <v>70000</v>
      </c>
      <c r="L917" s="2">
        <v>45773</v>
      </c>
    </row>
    <row r="918" spans="1:12">
      <c r="A918" t="s">
        <v>1250</v>
      </c>
      <c r="B918" t="s">
        <v>471</v>
      </c>
      <c r="C918" t="s">
        <v>19</v>
      </c>
      <c r="D918" t="s">
        <v>20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 s="8">
        <v>0.93179999999999996</v>
      </c>
      <c r="K918">
        <v>70000</v>
      </c>
      <c r="L918" s="2">
        <v>46044</v>
      </c>
    </row>
    <row r="919" spans="1:12">
      <c r="A919" t="s">
        <v>1251</v>
      </c>
      <c r="B919" t="s">
        <v>376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 s="8">
        <v>0.89249999999999996</v>
      </c>
      <c r="K919">
        <v>130000</v>
      </c>
      <c r="L919" s="2">
        <v>45848</v>
      </c>
    </row>
    <row r="920" spans="1:12">
      <c r="A920" t="s">
        <v>1252</v>
      </c>
      <c r="B920" t="s">
        <v>449</v>
      </c>
      <c r="C920" t="s">
        <v>14</v>
      </c>
      <c r="D920" t="s">
        <v>28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 s="8">
        <v>0.91790000000000005</v>
      </c>
      <c r="K920">
        <v>90000</v>
      </c>
      <c r="L920" s="2">
        <v>46122</v>
      </c>
    </row>
    <row r="921" spans="1:12">
      <c r="A921" t="s">
        <v>1253</v>
      </c>
      <c r="B921" t="s">
        <v>655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 s="8">
        <v>0.76900000000000002</v>
      </c>
      <c r="K921">
        <v>75000</v>
      </c>
      <c r="L921" s="2">
        <v>46140</v>
      </c>
    </row>
    <row r="922" spans="1:12">
      <c r="A922" t="s">
        <v>1254</v>
      </c>
      <c r="B922" t="s">
        <v>646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 s="8">
        <v>0.90559999999999996</v>
      </c>
      <c r="K922">
        <v>100000</v>
      </c>
      <c r="L922" s="2">
        <v>45561</v>
      </c>
    </row>
    <row r="923" spans="1:12">
      <c r="A923" t="s">
        <v>1255</v>
      </c>
      <c r="B923" t="s">
        <v>129</v>
      </c>
      <c r="C923" t="s">
        <v>19</v>
      </c>
      <c r="D923" t="s">
        <v>28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 s="8">
        <v>0.89639999999999997</v>
      </c>
      <c r="K923">
        <v>90000</v>
      </c>
      <c r="L923" s="2">
        <v>46042</v>
      </c>
    </row>
    <row r="924" spans="1:12">
      <c r="A924" t="s">
        <v>1256</v>
      </c>
      <c r="B924" t="s">
        <v>1245</v>
      </c>
      <c r="C924" t="s">
        <v>14</v>
      </c>
      <c r="D924" t="s">
        <v>15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 s="8">
        <v>0.89459999999999995</v>
      </c>
      <c r="K924">
        <v>60000</v>
      </c>
      <c r="L924" s="2">
        <v>45794</v>
      </c>
    </row>
    <row r="925" spans="1:12">
      <c r="A925" t="s">
        <v>1257</v>
      </c>
      <c r="B925" t="s">
        <v>1038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 s="8">
        <v>0.76690000000000003</v>
      </c>
      <c r="K925">
        <v>100000</v>
      </c>
      <c r="L925" s="2">
        <v>45899</v>
      </c>
    </row>
    <row r="926" spans="1:12">
      <c r="A926" t="s">
        <v>1258</v>
      </c>
      <c r="B926" t="s">
        <v>88</v>
      </c>
      <c r="C926" t="s">
        <v>14</v>
      </c>
      <c r="D926" t="s">
        <v>15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 s="8">
        <v>0.80840000000000001</v>
      </c>
      <c r="K926">
        <v>60000</v>
      </c>
      <c r="L926" s="2">
        <v>45721</v>
      </c>
    </row>
    <row r="927" spans="1:12">
      <c r="A927" t="s">
        <v>1259</v>
      </c>
      <c r="B927" t="s">
        <v>720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 s="8">
        <v>0.85250000000000004</v>
      </c>
      <c r="K927">
        <v>70000</v>
      </c>
      <c r="L927" s="2">
        <v>45793</v>
      </c>
    </row>
    <row r="928" spans="1:12">
      <c r="A928" t="s">
        <v>1260</v>
      </c>
      <c r="B928" t="s">
        <v>146</v>
      </c>
      <c r="C928" t="s">
        <v>19</v>
      </c>
      <c r="D928" t="s">
        <v>20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 s="8">
        <v>0.95640000000000003</v>
      </c>
      <c r="K928">
        <v>100000</v>
      </c>
      <c r="L928" s="2">
        <v>45767</v>
      </c>
    </row>
    <row r="929" spans="1:12">
      <c r="A929" t="s">
        <v>1261</v>
      </c>
      <c r="B929" t="s">
        <v>152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 s="8">
        <v>0.97670000000000001</v>
      </c>
      <c r="K929">
        <v>80000</v>
      </c>
      <c r="L929" s="2">
        <v>45571</v>
      </c>
    </row>
    <row r="930" spans="1:12">
      <c r="A930" t="s">
        <v>1262</v>
      </c>
      <c r="B930" t="s">
        <v>1184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 s="8">
        <v>0.79890000000000005</v>
      </c>
      <c r="K930">
        <v>70000</v>
      </c>
      <c r="L930" s="2">
        <v>46083</v>
      </c>
    </row>
    <row r="931" spans="1:12">
      <c r="A931" t="s">
        <v>1263</v>
      </c>
      <c r="B931" t="s">
        <v>825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 s="8">
        <v>0.98309999999999997</v>
      </c>
      <c r="K931">
        <v>50000</v>
      </c>
      <c r="L931" s="2">
        <v>45636</v>
      </c>
    </row>
    <row r="932" spans="1:12">
      <c r="A932" t="s">
        <v>1264</v>
      </c>
      <c r="B932" t="s">
        <v>344</v>
      </c>
      <c r="C932" t="s">
        <v>19</v>
      </c>
      <c r="D932" t="s">
        <v>15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 s="8">
        <v>0.60460000000000003</v>
      </c>
      <c r="K932">
        <v>90000</v>
      </c>
      <c r="L932" s="2">
        <v>45799</v>
      </c>
    </row>
    <row r="933" spans="1:12">
      <c r="A933" t="s">
        <v>1265</v>
      </c>
      <c r="B933" t="s">
        <v>781</v>
      </c>
      <c r="C933" t="s">
        <v>19</v>
      </c>
      <c r="D933" t="s">
        <v>36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 s="8">
        <v>0.55000000000000004</v>
      </c>
      <c r="K933">
        <v>100000</v>
      </c>
      <c r="L933" s="2">
        <v>45671</v>
      </c>
    </row>
    <row r="934" spans="1:12">
      <c r="A934" t="s">
        <v>1266</v>
      </c>
      <c r="B934" t="s">
        <v>291</v>
      </c>
      <c r="C934" t="s">
        <v>14</v>
      </c>
      <c r="D934" t="s">
        <v>32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 s="8">
        <v>0.81569999999999998</v>
      </c>
      <c r="K934">
        <v>70000</v>
      </c>
      <c r="L934" s="2">
        <v>45648</v>
      </c>
    </row>
    <row r="935" spans="1:12">
      <c r="A935" t="s">
        <v>1267</v>
      </c>
      <c r="B935" t="s">
        <v>699</v>
      </c>
      <c r="C935" t="s">
        <v>19</v>
      </c>
      <c r="D935" t="s">
        <v>36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 s="8">
        <v>0.91720000000000002</v>
      </c>
      <c r="K935">
        <v>80000</v>
      </c>
      <c r="L935" s="2">
        <v>45797</v>
      </c>
    </row>
    <row r="936" spans="1:12">
      <c r="A936" t="s">
        <v>1268</v>
      </c>
      <c r="B936" t="s">
        <v>69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 s="8">
        <v>0.82989999999999997</v>
      </c>
      <c r="K936">
        <v>75000</v>
      </c>
      <c r="L936" s="2">
        <v>46179</v>
      </c>
    </row>
    <row r="937" spans="1:12">
      <c r="A937" t="s">
        <v>1269</v>
      </c>
      <c r="B937" t="s">
        <v>777</v>
      </c>
      <c r="C937" t="s">
        <v>19</v>
      </c>
      <c r="D937" t="s">
        <v>28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 s="8">
        <v>0.95130000000000003</v>
      </c>
      <c r="K937">
        <v>120000</v>
      </c>
      <c r="L937" s="2">
        <v>46196</v>
      </c>
    </row>
    <row r="938" spans="1:12">
      <c r="A938" t="s">
        <v>1270</v>
      </c>
      <c r="B938" t="s">
        <v>600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 s="8">
        <v>0.55000000000000004</v>
      </c>
      <c r="K938">
        <v>110000</v>
      </c>
      <c r="L938" s="2">
        <v>45803</v>
      </c>
    </row>
    <row r="939" spans="1:12">
      <c r="A939" t="s">
        <v>1271</v>
      </c>
      <c r="B939" t="s">
        <v>295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 s="8">
        <v>0.85319999999999996</v>
      </c>
      <c r="K939">
        <v>75000</v>
      </c>
      <c r="L939" s="2">
        <v>45889</v>
      </c>
    </row>
    <row r="940" spans="1:12">
      <c r="A940" t="s">
        <v>1272</v>
      </c>
      <c r="B940" t="s">
        <v>625</v>
      </c>
      <c r="C940" t="s">
        <v>14</v>
      </c>
      <c r="D940" t="s">
        <v>15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 s="8">
        <v>0.71779999999999999</v>
      </c>
      <c r="K940">
        <v>85000</v>
      </c>
      <c r="L940" s="2">
        <v>46225</v>
      </c>
    </row>
    <row r="941" spans="1:12">
      <c r="A941" t="s">
        <v>1273</v>
      </c>
      <c r="B941" t="s">
        <v>471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 s="8">
        <v>0.9123</v>
      </c>
      <c r="K941">
        <v>130000</v>
      </c>
      <c r="L941" s="2">
        <v>45700</v>
      </c>
    </row>
    <row r="942" spans="1:12">
      <c r="A942" t="s">
        <v>1274</v>
      </c>
      <c r="B942" t="s">
        <v>415</v>
      </c>
      <c r="C942" t="s">
        <v>19</v>
      </c>
      <c r="D942" t="s">
        <v>53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 s="8">
        <v>0.82010000000000005</v>
      </c>
      <c r="K942">
        <v>75000</v>
      </c>
      <c r="L942" s="2">
        <v>46197</v>
      </c>
    </row>
    <row r="943" spans="1:12">
      <c r="A943" t="s">
        <v>1275</v>
      </c>
      <c r="B943" t="s">
        <v>770</v>
      </c>
      <c r="C943" t="s">
        <v>14</v>
      </c>
      <c r="D943" t="s">
        <v>36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 s="8">
        <v>0.88200000000000001</v>
      </c>
      <c r="K943">
        <v>60000</v>
      </c>
      <c r="L943" s="2">
        <v>45610</v>
      </c>
    </row>
    <row r="944" spans="1:12">
      <c r="A944" t="s">
        <v>1276</v>
      </c>
      <c r="B944" t="s">
        <v>111</v>
      </c>
      <c r="C944" t="s">
        <v>19</v>
      </c>
      <c r="D944" t="s">
        <v>36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 s="8">
        <v>0.9002</v>
      </c>
      <c r="K944">
        <v>75000</v>
      </c>
      <c r="L944" s="2">
        <v>45694</v>
      </c>
    </row>
    <row r="945" spans="1:12">
      <c r="A945" t="s">
        <v>1277</v>
      </c>
      <c r="B945" t="s">
        <v>359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 s="8">
        <v>0.78869999999999996</v>
      </c>
      <c r="K945">
        <v>90000</v>
      </c>
      <c r="L945" s="2">
        <v>45772</v>
      </c>
    </row>
    <row r="946" spans="1:12">
      <c r="A946" t="s">
        <v>1278</v>
      </c>
      <c r="B946" t="s">
        <v>607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 s="8">
        <v>0.65469999999999995</v>
      </c>
      <c r="K946">
        <v>130000</v>
      </c>
      <c r="L946" s="2">
        <v>45561</v>
      </c>
    </row>
    <row r="947" spans="1:12">
      <c r="A947" t="s">
        <v>1279</v>
      </c>
      <c r="B947" t="s">
        <v>354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 s="8">
        <v>0.79479999999999995</v>
      </c>
      <c r="K947">
        <v>75000</v>
      </c>
      <c r="L947" s="2">
        <v>46107</v>
      </c>
    </row>
    <row r="948" spans="1:12">
      <c r="A948" t="s">
        <v>1280</v>
      </c>
      <c r="B948" t="s">
        <v>415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 s="8">
        <v>0.61209999999999998</v>
      </c>
      <c r="K948">
        <v>50000</v>
      </c>
      <c r="L948" s="2">
        <v>46134</v>
      </c>
    </row>
    <row r="949" spans="1:12">
      <c r="A949" t="s">
        <v>1281</v>
      </c>
      <c r="B949" t="s">
        <v>1282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 s="8">
        <v>0.97350000000000003</v>
      </c>
      <c r="K949">
        <v>60000</v>
      </c>
      <c r="L949" s="2">
        <v>45804</v>
      </c>
    </row>
    <row r="950" spans="1:12">
      <c r="A950" t="s">
        <v>1283</v>
      </c>
      <c r="B950" t="s">
        <v>433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 s="8">
        <v>0.84860000000000002</v>
      </c>
      <c r="K950">
        <v>80000</v>
      </c>
      <c r="L950" s="2">
        <v>46121</v>
      </c>
    </row>
    <row r="951" spans="1:12">
      <c r="A951" t="s">
        <v>1284</v>
      </c>
      <c r="B951" t="s">
        <v>115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 s="8">
        <v>0.73440000000000005</v>
      </c>
      <c r="K951">
        <v>60000</v>
      </c>
      <c r="L951" s="2">
        <v>46076</v>
      </c>
    </row>
    <row r="952" spans="1:12">
      <c r="A952" t="s">
        <v>1285</v>
      </c>
      <c r="B952" t="s">
        <v>737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 s="8">
        <v>0.55000000000000004</v>
      </c>
      <c r="K952">
        <v>50000</v>
      </c>
      <c r="L952" s="2">
        <v>46096</v>
      </c>
    </row>
    <row r="953" spans="1:12">
      <c r="A953" t="s">
        <v>1286</v>
      </c>
      <c r="B953" t="s">
        <v>975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 s="8">
        <v>0.89159999999999995</v>
      </c>
      <c r="K953">
        <v>100000</v>
      </c>
      <c r="L953" s="2">
        <v>46097</v>
      </c>
    </row>
    <row r="954" spans="1:12">
      <c r="A954" t="s">
        <v>1287</v>
      </c>
      <c r="B954" t="s">
        <v>81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 s="8">
        <v>0.79420000000000002</v>
      </c>
      <c r="K954">
        <v>120000</v>
      </c>
      <c r="L954" s="2">
        <v>45937</v>
      </c>
    </row>
    <row r="955" spans="1:12">
      <c r="A955" t="s">
        <v>1288</v>
      </c>
      <c r="B955" t="s">
        <v>65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 s="8">
        <v>0.91359999999999997</v>
      </c>
      <c r="K955">
        <v>70000</v>
      </c>
      <c r="L955" s="2">
        <v>45613</v>
      </c>
    </row>
    <row r="956" spans="1:12">
      <c r="A956" t="s">
        <v>1289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 s="8">
        <v>0.69810000000000005</v>
      </c>
      <c r="K956">
        <v>85000</v>
      </c>
      <c r="L956" s="2">
        <v>46182</v>
      </c>
    </row>
    <row r="957" spans="1:12">
      <c r="A957" t="s">
        <v>1290</v>
      </c>
      <c r="B957" t="s">
        <v>550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 s="8">
        <v>0.75960000000000005</v>
      </c>
      <c r="K957">
        <v>90000</v>
      </c>
      <c r="L957" s="2">
        <v>45962</v>
      </c>
    </row>
    <row r="958" spans="1:12">
      <c r="A958" t="s">
        <v>1291</v>
      </c>
      <c r="B958" t="s">
        <v>295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 s="8">
        <v>0.82430000000000003</v>
      </c>
      <c r="K958">
        <v>100000</v>
      </c>
      <c r="L958" s="2">
        <v>46166</v>
      </c>
    </row>
    <row r="959" spans="1:12">
      <c r="A959" t="s">
        <v>1292</v>
      </c>
      <c r="B959" t="s">
        <v>315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 s="8">
        <v>0.89080000000000004</v>
      </c>
      <c r="K959">
        <v>130000</v>
      </c>
      <c r="L959" s="2">
        <v>46207</v>
      </c>
    </row>
    <row r="960" spans="1:12">
      <c r="A960" t="s">
        <v>1293</v>
      </c>
      <c r="B960" t="s">
        <v>1106</v>
      </c>
      <c r="C960" t="s">
        <v>19</v>
      </c>
      <c r="D960" t="s">
        <v>36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 s="8">
        <v>0.9284</v>
      </c>
      <c r="K960">
        <v>120000</v>
      </c>
      <c r="L960" s="2">
        <v>45667</v>
      </c>
    </row>
    <row r="961" spans="1:12">
      <c r="A961" t="s">
        <v>1294</v>
      </c>
      <c r="B961" t="s">
        <v>152</v>
      </c>
      <c r="C961" t="s">
        <v>14</v>
      </c>
      <c r="D961" t="s">
        <v>53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 s="8">
        <v>0.94369999999999998</v>
      </c>
      <c r="K961">
        <v>75000</v>
      </c>
      <c r="L961" s="2">
        <v>45817</v>
      </c>
    </row>
    <row r="962" spans="1:12">
      <c r="A962" t="s">
        <v>1295</v>
      </c>
      <c r="B962" t="s">
        <v>264</v>
      </c>
      <c r="C962" t="s">
        <v>14</v>
      </c>
      <c r="D962" t="s">
        <v>36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 s="8">
        <v>0.94099999999999995</v>
      </c>
      <c r="K962">
        <v>130000</v>
      </c>
      <c r="L962" s="2">
        <v>45670</v>
      </c>
    </row>
    <row r="963" spans="1:12">
      <c r="A963" t="s">
        <v>1296</v>
      </c>
      <c r="B963" t="s">
        <v>378</v>
      </c>
      <c r="C963" t="s">
        <v>14</v>
      </c>
      <c r="D963" t="s">
        <v>36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 s="8">
        <v>0.93889999999999996</v>
      </c>
      <c r="K963">
        <v>50000</v>
      </c>
      <c r="L963" s="2">
        <v>45571</v>
      </c>
    </row>
    <row r="964" spans="1:12">
      <c r="A964" t="s">
        <v>1297</v>
      </c>
      <c r="B964" t="s">
        <v>777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 s="8">
        <v>0.87539999999999996</v>
      </c>
      <c r="K964">
        <v>130000</v>
      </c>
      <c r="L964" s="2">
        <v>46212</v>
      </c>
    </row>
    <row r="965" spans="1:12">
      <c r="A965" t="s">
        <v>1298</v>
      </c>
      <c r="B965" t="s">
        <v>194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 s="8">
        <v>0.92620000000000002</v>
      </c>
      <c r="K965">
        <v>60000</v>
      </c>
      <c r="L965" s="2">
        <v>46182</v>
      </c>
    </row>
    <row r="966" spans="1:12">
      <c r="A966" t="s">
        <v>1299</v>
      </c>
      <c r="B966" t="s">
        <v>469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 s="8">
        <v>0.79010000000000002</v>
      </c>
      <c r="K966">
        <v>60000</v>
      </c>
      <c r="L966" s="2">
        <v>46188</v>
      </c>
    </row>
    <row r="967" spans="1:12">
      <c r="A967" t="s">
        <v>1300</v>
      </c>
      <c r="B967" t="s">
        <v>213</v>
      </c>
      <c r="C967" t="s">
        <v>19</v>
      </c>
      <c r="D967" t="s">
        <v>53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 s="8">
        <v>0.98</v>
      </c>
      <c r="K967">
        <v>60000</v>
      </c>
      <c r="L967" s="2">
        <v>46154</v>
      </c>
    </row>
    <row r="968" spans="1:12">
      <c r="A968" t="s">
        <v>1301</v>
      </c>
      <c r="B968" t="s">
        <v>618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 s="8">
        <v>0.81389999999999996</v>
      </c>
      <c r="K968">
        <v>60000</v>
      </c>
      <c r="L968" s="2">
        <v>45990</v>
      </c>
    </row>
    <row r="969" spans="1:12">
      <c r="A969" t="s">
        <v>1302</v>
      </c>
      <c r="B969" t="s">
        <v>351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 s="8">
        <v>0.9506</v>
      </c>
      <c r="K969">
        <v>85000</v>
      </c>
      <c r="L969" s="2">
        <v>45901</v>
      </c>
    </row>
    <row r="970" spans="1:12">
      <c r="A970" t="s">
        <v>1303</v>
      </c>
      <c r="B970" t="s">
        <v>469</v>
      </c>
      <c r="C970" t="s">
        <v>19</v>
      </c>
      <c r="D970" t="s">
        <v>32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 s="8">
        <v>0.80110000000000003</v>
      </c>
      <c r="K970">
        <v>100000</v>
      </c>
      <c r="L970" s="2">
        <v>46230</v>
      </c>
    </row>
    <row r="971" spans="1:12">
      <c r="A971" t="s">
        <v>1304</v>
      </c>
      <c r="B971" t="s">
        <v>930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 s="8">
        <v>0.87490000000000001</v>
      </c>
      <c r="K971">
        <v>110000</v>
      </c>
      <c r="L971" s="2">
        <v>45922</v>
      </c>
    </row>
    <row r="972" spans="1:12">
      <c r="A972" t="s">
        <v>1305</v>
      </c>
      <c r="B972" t="s">
        <v>264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 s="8">
        <v>0.94620000000000004</v>
      </c>
      <c r="K972">
        <v>50000</v>
      </c>
      <c r="L972" s="2">
        <v>45985</v>
      </c>
    </row>
    <row r="973" spans="1:12">
      <c r="A973" t="s">
        <v>1306</v>
      </c>
      <c r="B973" t="s">
        <v>1282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 s="8">
        <v>0.82310000000000005</v>
      </c>
      <c r="K973">
        <v>75000</v>
      </c>
      <c r="L973" s="2">
        <v>45684</v>
      </c>
    </row>
    <row r="974" spans="1:12">
      <c r="A974" t="s">
        <v>1307</v>
      </c>
      <c r="B974" t="s">
        <v>521</v>
      </c>
      <c r="C974" t="s">
        <v>14</v>
      </c>
      <c r="D974" t="s">
        <v>15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 s="8">
        <v>0.73939999999999995</v>
      </c>
      <c r="K974">
        <v>60000</v>
      </c>
      <c r="L974" s="2">
        <v>46058</v>
      </c>
    </row>
    <row r="975" spans="1:12">
      <c r="A975" t="s">
        <v>1308</v>
      </c>
      <c r="B975" t="s">
        <v>337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 s="8">
        <v>0.55000000000000004</v>
      </c>
      <c r="K975">
        <v>60000</v>
      </c>
      <c r="L975" s="2">
        <v>46109</v>
      </c>
    </row>
    <row r="976" spans="1:12">
      <c r="A976" t="s">
        <v>1309</v>
      </c>
      <c r="B976" t="s">
        <v>1310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 s="8">
        <v>0.64019999999999999</v>
      </c>
      <c r="K976">
        <v>110000</v>
      </c>
      <c r="L976" s="2">
        <v>46010</v>
      </c>
    </row>
    <row r="977" spans="1:12">
      <c r="A977" t="s">
        <v>1311</v>
      </c>
      <c r="B977" t="s">
        <v>514</v>
      </c>
      <c r="C977" t="s">
        <v>14</v>
      </c>
      <c r="D977" t="s">
        <v>36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 s="8">
        <v>0.87709999999999999</v>
      </c>
      <c r="K977">
        <v>100000</v>
      </c>
      <c r="L977" s="2">
        <v>45885</v>
      </c>
    </row>
    <row r="978" spans="1:12">
      <c r="A978" t="s">
        <v>1312</v>
      </c>
      <c r="B978" t="s">
        <v>410</v>
      </c>
      <c r="C978" t="s">
        <v>14</v>
      </c>
      <c r="D978" t="s">
        <v>36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 s="8">
        <v>0.96530000000000005</v>
      </c>
      <c r="K978">
        <v>70000</v>
      </c>
      <c r="L978" s="2">
        <v>45674</v>
      </c>
    </row>
    <row r="979" spans="1:12">
      <c r="A979" t="s">
        <v>1313</v>
      </c>
      <c r="B979" t="s">
        <v>96</v>
      </c>
      <c r="C979" t="s">
        <v>19</v>
      </c>
      <c r="D979" t="s">
        <v>15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 s="8">
        <v>0.69869999999999999</v>
      </c>
      <c r="K979">
        <v>75000</v>
      </c>
      <c r="L979" s="2">
        <v>45559</v>
      </c>
    </row>
    <row r="980" spans="1:12">
      <c r="A980" t="s">
        <v>1314</v>
      </c>
      <c r="B980" t="s">
        <v>253</v>
      </c>
      <c r="C980" t="s">
        <v>14</v>
      </c>
      <c r="D980" t="s">
        <v>36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 s="8">
        <v>0.69350000000000001</v>
      </c>
      <c r="K980">
        <v>130000</v>
      </c>
      <c r="L980" s="2">
        <v>45975</v>
      </c>
    </row>
    <row r="981" spans="1:12">
      <c r="A981" t="s">
        <v>1315</v>
      </c>
      <c r="B981" t="s">
        <v>213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 s="8">
        <v>0.8115</v>
      </c>
      <c r="K981">
        <v>90000</v>
      </c>
      <c r="L981" s="2">
        <v>46014</v>
      </c>
    </row>
    <row r="982" spans="1:12">
      <c r="A982" t="s">
        <v>1316</v>
      </c>
      <c r="B982" t="s">
        <v>166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 s="8">
        <v>0.72199999999999998</v>
      </c>
      <c r="K982">
        <v>70000</v>
      </c>
      <c r="L982" s="2">
        <v>46076</v>
      </c>
    </row>
    <row r="983" spans="1:12">
      <c r="A983" t="s">
        <v>1317</v>
      </c>
      <c r="B983" t="s">
        <v>1009</v>
      </c>
      <c r="C983" t="s">
        <v>19</v>
      </c>
      <c r="D983" t="s">
        <v>53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 s="8">
        <v>0.65639999999999998</v>
      </c>
      <c r="K983">
        <v>130000</v>
      </c>
      <c r="L983" s="2">
        <v>46201</v>
      </c>
    </row>
    <row r="984" spans="1:12">
      <c r="A984" t="s">
        <v>1318</v>
      </c>
      <c r="B984" t="s">
        <v>98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 s="8">
        <v>0.73260000000000003</v>
      </c>
      <c r="K984">
        <v>70000</v>
      </c>
      <c r="L984" s="2">
        <v>45884</v>
      </c>
    </row>
    <row r="985" spans="1:12">
      <c r="A985" t="s">
        <v>1319</v>
      </c>
      <c r="B985" t="s">
        <v>589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 s="8">
        <v>0.94850000000000001</v>
      </c>
      <c r="K985">
        <v>75000</v>
      </c>
      <c r="L985" s="2">
        <v>46116</v>
      </c>
    </row>
    <row r="986" spans="1:12">
      <c r="A986" t="s">
        <v>1320</v>
      </c>
      <c r="B986" t="s">
        <v>1321</v>
      </c>
      <c r="C986" t="s">
        <v>19</v>
      </c>
      <c r="D986" t="s">
        <v>36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 s="8">
        <v>0.66259999999999997</v>
      </c>
      <c r="K986">
        <v>100000</v>
      </c>
      <c r="L986" s="2">
        <v>46037</v>
      </c>
    </row>
    <row r="987" spans="1:12">
      <c r="A987" t="s">
        <v>1322</v>
      </c>
      <c r="B987" t="s">
        <v>18</v>
      </c>
      <c r="C987" t="s">
        <v>19</v>
      </c>
      <c r="D987" t="s">
        <v>20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 s="8">
        <v>0.97289999999999999</v>
      </c>
      <c r="K987">
        <v>85000</v>
      </c>
      <c r="L987" s="2">
        <v>45730</v>
      </c>
    </row>
    <row r="988" spans="1:12">
      <c r="A988" t="s">
        <v>1323</v>
      </c>
      <c r="B988" t="s">
        <v>908</v>
      </c>
      <c r="C988" t="s">
        <v>19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 s="8">
        <v>0.77700000000000002</v>
      </c>
      <c r="K988">
        <v>50000</v>
      </c>
      <c r="L988" s="2">
        <v>46127</v>
      </c>
    </row>
    <row r="989" spans="1:12">
      <c r="A989" t="s">
        <v>1324</v>
      </c>
      <c r="B989" t="s">
        <v>575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 s="8">
        <v>0.85909999999999997</v>
      </c>
      <c r="K989">
        <v>110000</v>
      </c>
      <c r="L989" s="2">
        <v>45573</v>
      </c>
    </row>
    <row r="990" spans="1:12">
      <c r="A990" t="s">
        <v>1325</v>
      </c>
      <c r="B990" t="s">
        <v>241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 s="8">
        <v>0.66690000000000005</v>
      </c>
      <c r="K990">
        <v>70000</v>
      </c>
      <c r="L990" s="2">
        <v>45955</v>
      </c>
    </row>
    <row r="991" spans="1:12">
      <c r="A991" t="s">
        <v>1326</v>
      </c>
      <c r="B991" t="s">
        <v>404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 s="8">
        <v>0.90310000000000001</v>
      </c>
      <c r="K991">
        <v>100000</v>
      </c>
      <c r="L991" s="2">
        <v>46194</v>
      </c>
    </row>
    <row r="992" spans="1:12">
      <c r="A992" t="s">
        <v>1327</v>
      </c>
      <c r="B992" t="s">
        <v>632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 s="8">
        <v>0.6804</v>
      </c>
      <c r="K992">
        <v>75000</v>
      </c>
      <c r="L992" s="2">
        <v>45997</v>
      </c>
    </row>
    <row r="993" spans="1:12">
      <c r="A993" t="s">
        <v>1328</v>
      </c>
      <c r="B993" t="s">
        <v>218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 s="8">
        <v>0.87019999999999997</v>
      </c>
      <c r="K993">
        <v>110000</v>
      </c>
      <c r="L993" s="2">
        <v>46191</v>
      </c>
    </row>
    <row r="994" spans="1:12">
      <c r="A994" t="s">
        <v>1329</v>
      </c>
      <c r="B994" t="s">
        <v>1330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 s="8">
        <v>0.87929999999999997</v>
      </c>
      <c r="K994">
        <v>120000</v>
      </c>
      <c r="L994" s="2">
        <v>45575</v>
      </c>
    </row>
    <row r="995" spans="1:12">
      <c r="A995" t="s">
        <v>1331</v>
      </c>
      <c r="B995" t="s">
        <v>382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 s="8">
        <v>0.94410000000000005</v>
      </c>
      <c r="K995">
        <v>110000</v>
      </c>
      <c r="L995" s="2">
        <v>45908</v>
      </c>
    </row>
    <row r="996" spans="1:12">
      <c r="A996" t="s">
        <v>1332</v>
      </c>
      <c r="B996" t="s">
        <v>380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 s="8">
        <v>0.66180000000000005</v>
      </c>
      <c r="K996">
        <v>130000</v>
      </c>
      <c r="L996" s="2">
        <v>46082</v>
      </c>
    </row>
    <row r="997" spans="1:12">
      <c r="A997" t="s">
        <v>1333</v>
      </c>
      <c r="B997" t="s">
        <v>71</v>
      </c>
      <c r="C997" t="s">
        <v>19</v>
      </c>
      <c r="D997" t="s">
        <v>32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 s="8">
        <v>0.63160000000000005</v>
      </c>
      <c r="K997">
        <v>85000</v>
      </c>
      <c r="L997" s="2">
        <v>45985</v>
      </c>
    </row>
    <row r="998" spans="1:12">
      <c r="A998" t="s">
        <v>1334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 s="8">
        <v>0.87109999999999999</v>
      </c>
      <c r="K998">
        <v>50000</v>
      </c>
      <c r="L998" s="2">
        <v>46152</v>
      </c>
    </row>
    <row r="999" spans="1:12">
      <c r="A999" t="s">
        <v>1335</v>
      </c>
      <c r="B999" t="s">
        <v>378</v>
      </c>
      <c r="C999" t="s">
        <v>14</v>
      </c>
      <c r="D999" t="s">
        <v>36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 s="8">
        <v>0.96430000000000005</v>
      </c>
      <c r="K999">
        <v>85000</v>
      </c>
      <c r="L999" s="2">
        <v>45859</v>
      </c>
    </row>
    <row r="1000" spans="1:12">
      <c r="A1000" t="s">
        <v>1336</v>
      </c>
      <c r="B1000" t="s">
        <v>191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 s="8">
        <v>0.64580000000000004</v>
      </c>
      <c r="K1000">
        <v>85000</v>
      </c>
      <c r="L1000" s="2">
        <v>46013</v>
      </c>
    </row>
    <row r="1001" spans="1:12">
      <c r="A1001" t="s">
        <v>1337</v>
      </c>
      <c r="B1001" t="s">
        <v>55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 s="8">
        <v>0.90300000000000002</v>
      </c>
      <c r="K1001">
        <v>100000</v>
      </c>
      <c r="L1001" s="2">
        <v>45829</v>
      </c>
    </row>
  </sheetData>
  <mergeCells count="3">
    <mergeCell ref="Q5:R5"/>
    <mergeCell ref="Q17:R17"/>
    <mergeCell ref="Q24:R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E480-5FA4-4693-A9DF-199B774388E7}">
  <dimension ref="A1:R1001"/>
  <sheetViews>
    <sheetView tabSelected="1" workbookViewId="0">
      <selection activeCell="R14" sqref="R14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1" max="11" width="11.5703125" bestFit="1" customWidth="1"/>
    <col min="12" max="12" width="19.5703125" bestFit="1" customWidth="1"/>
    <col min="18" max="18" width="26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</row>
    <row r="2" spans="1:18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8">
        <v>0.91869999999999996</v>
      </c>
      <c r="K2">
        <v>75000</v>
      </c>
      <c r="L2" s="2">
        <v>45854</v>
      </c>
    </row>
    <row r="3" spans="1:18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8">
        <v>0.81930000000000003</v>
      </c>
      <c r="K3">
        <v>90000</v>
      </c>
      <c r="L3" s="2">
        <v>45633</v>
      </c>
    </row>
    <row r="4" spans="1:18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8">
        <v>0.79079999999999995</v>
      </c>
      <c r="K4">
        <v>85000</v>
      </c>
      <c r="L4" s="2">
        <v>45682</v>
      </c>
    </row>
    <row r="5" spans="1:18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8">
        <v>0.76400000000000001</v>
      </c>
      <c r="K5">
        <v>120000</v>
      </c>
      <c r="L5" s="2">
        <v>45844</v>
      </c>
    </row>
    <row r="6" spans="1:18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8">
        <v>0.73070000000000002</v>
      </c>
      <c r="K6">
        <v>70000</v>
      </c>
      <c r="L6" s="2">
        <v>46019</v>
      </c>
    </row>
    <row r="7" spans="1:18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8">
        <v>0.7429</v>
      </c>
      <c r="K7">
        <v>85000</v>
      </c>
      <c r="L7" s="2">
        <v>45826</v>
      </c>
    </row>
    <row r="8" spans="1:18">
      <c r="A8" t="s">
        <v>34</v>
      </c>
      <c r="B8" t="s">
        <v>35</v>
      </c>
      <c r="C8" t="s">
        <v>14</v>
      </c>
      <c r="D8" t="s">
        <v>36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8">
        <v>0.75839999999999996</v>
      </c>
      <c r="K8">
        <v>60000</v>
      </c>
      <c r="L8" s="2">
        <v>45915</v>
      </c>
    </row>
    <row r="9" spans="1:18">
      <c r="A9" t="s">
        <v>42</v>
      </c>
      <c r="B9" t="s">
        <v>43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8">
        <v>0.95250000000000001</v>
      </c>
      <c r="K9">
        <v>90000</v>
      </c>
      <c r="L9" s="2">
        <v>45901</v>
      </c>
    </row>
    <row r="10" spans="1:18">
      <c r="A10" t="s">
        <v>44</v>
      </c>
      <c r="B10" t="s">
        <v>45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8">
        <v>0.87990000000000002</v>
      </c>
      <c r="K10">
        <v>50000</v>
      </c>
      <c r="L10" s="2">
        <v>45724</v>
      </c>
    </row>
    <row r="11" spans="1:18">
      <c r="A11" t="s">
        <v>46</v>
      </c>
      <c r="B11" t="s">
        <v>47</v>
      </c>
      <c r="C11" t="s">
        <v>14</v>
      </c>
      <c r="D11" t="s">
        <v>36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 s="8">
        <v>0.74860000000000004</v>
      </c>
      <c r="K11">
        <v>80000</v>
      </c>
      <c r="L11" s="2">
        <v>45731</v>
      </c>
    </row>
    <row r="12" spans="1:18">
      <c r="A12" t="s">
        <v>49</v>
      </c>
      <c r="B12" t="s">
        <v>50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8">
        <v>0.78959999999999997</v>
      </c>
      <c r="K12">
        <v>50000</v>
      </c>
      <c r="L12" s="2">
        <v>45834</v>
      </c>
    </row>
    <row r="13" spans="1:18">
      <c r="A13" t="s">
        <v>51</v>
      </c>
      <c r="B13" t="s">
        <v>52</v>
      </c>
      <c r="C13" t="s">
        <v>19</v>
      </c>
      <c r="D13" t="s">
        <v>53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8">
        <v>0.9133</v>
      </c>
      <c r="K13">
        <v>75000</v>
      </c>
      <c r="L13" s="2">
        <v>45558</v>
      </c>
      <c r="R13" s="11" t="s">
        <v>1363</v>
      </c>
    </row>
    <row r="14" spans="1:18">
      <c r="A14" t="s">
        <v>54</v>
      </c>
      <c r="B14" t="s">
        <v>55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8">
        <v>0.87109999999999999</v>
      </c>
      <c r="K14">
        <v>85000</v>
      </c>
      <c r="L14" s="2">
        <v>46015</v>
      </c>
      <c r="R14" s="6">
        <f>COUNTIF(F2:F1001,"&gt;=15")+COUNTIF(H2:H1001,"&gt;=15")</f>
        <v>662</v>
      </c>
    </row>
    <row r="15" spans="1:18">
      <c r="A15" t="s">
        <v>56</v>
      </c>
      <c r="B15" t="s">
        <v>57</v>
      </c>
      <c r="C15" t="s">
        <v>19</v>
      </c>
      <c r="D15" t="s">
        <v>32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 s="8">
        <v>0.73260000000000003</v>
      </c>
      <c r="K15">
        <v>75000</v>
      </c>
      <c r="L15" s="2">
        <v>45966</v>
      </c>
    </row>
    <row r="16" spans="1:18">
      <c r="A16" t="s">
        <v>58</v>
      </c>
      <c r="B16" t="s">
        <v>59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8">
        <v>0.95089999999999997</v>
      </c>
      <c r="K16">
        <v>80000</v>
      </c>
      <c r="L16" s="2">
        <v>45750</v>
      </c>
    </row>
    <row r="17" spans="1:12">
      <c r="A17" t="s">
        <v>60</v>
      </c>
      <c r="B17" t="s">
        <v>61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8">
        <v>0.79810000000000003</v>
      </c>
      <c r="K17">
        <v>60000</v>
      </c>
      <c r="L17" s="2">
        <v>45797</v>
      </c>
    </row>
    <row r="18" spans="1:12">
      <c r="A18" t="s">
        <v>62</v>
      </c>
      <c r="B18" t="s">
        <v>63</v>
      </c>
      <c r="C18" t="s">
        <v>19</v>
      </c>
      <c r="D18" t="s">
        <v>15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 s="8">
        <v>0.84589999999999999</v>
      </c>
      <c r="K18">
        <v>100000</v>
      </c>
      <c r="L18" s="2">
        <v>45766</v>
      </c>
    </row>
    <row r="19" spans="1:12">
      <c r="A19" t="s">
        <v>64</v>
      </c>
      <c r="B19" t="s">
        <v>65</v>
      </c>
      <c r="C19" t="s">
        <v>14</v>
      </c>
      <c r="D19" t="s">
        <v>15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 s="8">
        <v>0.55000000000000004</v>
      </c>
      <c r="K19">
        <v>110000</v>
      </c>
      <c r="L19" s="2">
        <v>45991</v>
      </c>
    </row>
    <row r="20" spans="1:12">
      <c r="A20" t="s">
        <v>66</v>
      </c>
      <c r="B20" t="s">
        <v>67</v>
      </c>
      <c r="C20" t="s">
        <v>19</v>
      </c>
      <c r="D20" t="s">
        <v>15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 s="8">
        <v>0.55000000000000004</v>
      </c>
      <c r="K20">
        <v>85000</v>
      </c>
      <c r="L20" s="2">
        <v>46067</v>
      </c>
    </row>
    <row r="21" spans="1:12">
      <c r="A21" t="s">
        <v>68</v>
      </c>
      <c r="B21" t="s">
        <v>69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8">
        <v>0.82350000000000001</v>
      </c>
      <c r="K21">
        <v>50000</v>
      </c>
      <c r="L21" s="2">
        <v>45612</v>
      </c>
    </row>
    <row r="22" spans="1:12">
      <c r="A22" t="s">
        <v>70</v>
      </c>
      <c r="B22" t="s">
        <v>71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8">
        <v>0.87709999999999999</v>
      </c>
      <c r="K22">
        <v>50000</v>
      </c>
      <c r="L22" s="2">
        <v>45825</v>
      </c>
    </row>
    <row r="23" spans="1:12">
      <c r="A23" t="s">
        <v>72</v>
      </c>
      <c r="B23" t="s">
        <v>73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8">
        <v>0.83630000000000004</v>
      </c>
      <c r="K23">
        <v>100000</v>
      </c>
      <c r="L23" s="2">
        <v>45545</v>
      </c>
    </row>
    <row r="24" spans="1:12">
      <c r="A24" t="s">
        <v>74</v>
      </c>
      <c r="B24" t="s">
        <v>75</v>
      </c>
      <c r="C24" t="s">
        <v>14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 s="8">
        <v>0.94589999999999996</v>
      </c>
      <c r="K24">
        <v>130000</v>
      </c>
      <c r="L24" s="2">
        <v>45852</v>
      </c>
    </row>
    <row r="25" spans="1:12">
      <c r="A25" t="s">
        <v>76</v>
      </c>
      <c r="B25" t="s">
        <v>77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8">
        <v>0.58579999999999999</v>
      </c>
      <c r="K25">
        <v>120000</v>
      </c>
      <c r="L25" s="2">
        <v>45709</v>
      </c>
    </row>
    <row r="26" spans="1:12">
      <c r="A26" t="s">
        <v>78</v>
      </c>
      <c r="B26" t="s">
        <v>79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8">
        <v>0.9405</v>
      </c>
      <c r="K26">
        <v>80000</v>
      </c>
      <c r="L26" s="2">
        <v>45771</v>
      </c>
    </row>
    <row r="27" spans="1:12">
      <c r="A27" t="s">
        <v>80</v>
      </c>
      <c r="B27" t="s">
        <v>81</v>
      </c>
      <c r="C27" t="s">
        <v>19</v>
      </c>
      <c r="D27" t="s">
        <v>32</v>
      </c>
      <c r="E27" t="s">
        <v>48</v>
      </c>
      <c r="F27">
        <v>18.41</v>
      </c>
      <c r="G27">
        <v>20</v>
      </c>
      <c r="H27">
        <v>14.71</v>
      </c>
      <c r="I27">
        <v>20</v>
      </c>
      <c r="J27" s="8">
        <v>0.81899999999999995</v>
      </c>
      <c r="K27">
        <v>85000</v>
      </c>
      <c r="L27" s="2">
        <v>45855</v>
      </c>
    </row>
    <row r="28" spans="1:12">
      <c r="A28" t="s">
        <v>82</v>
      </c>
      <c r="B28" t="s">
        <v>83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8">
        <v>0.76739999999999997</v>
      </c>
      <c r="K28">
        <v>60000</v>
      </c>
      <c r="L28" s="2">
        <v>45762</v>
      </c>
    </row>
    <row r="29" spans="1:12">
      <c r="A29" t="s">
        <v>84</v>
      </c>
      <c r="B29" t="s">
        <v>85</v>
      </c>
      <c r="C29" t="s">
        <v>19</v>
      </c>
      <c r="D29" t="s">
        <v>53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8">
        <v>0.81159999999999999</v>
      </c>
      <c r="K29">
        <v>50000</v>
      </c>
      <c r="L29" s="2">
        <v>45811</v>
      </c>
    </row>
    <row r="30" spans="1:12">
      <c r="A30" t="s">
        <v>86</v>
      </c>
      <c r="B30" t="s">
        <v>59</v>
      </c>
      <c r="C30" t="s">
        <v>19</v>
      </c>
      <c r="D30" t="s">
        <v>15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 s="8">
        <v>0.97089999999999999</v>
      </c>
      <c r="K30">
        <v>110000</v>
      </c>
      <c r="L30" s="2">
        <v>46071</v>
      </c>
    </row>
    <row r="31" spans="1:12">
      <c r="A31" t="s">
        <v>87</v>
      </c>
      <c r="B31" t="s">
        <v>88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8">
        <v>0.55000000000000004</v>
      </c>
      <c r="K31">
        <v>80000</v>
      </c>
      <c r="L31" s="2">
        <v>46103</v>
      </c>
    </row>
    <row r="32" spans="1:12">
      <c r="A32" t="s">
        <v>89</v>
      </c>
      <c r="B32" t="s">
        <v>90</v>
      </c>
      <c r="C32" t="s">
        <v>14</v>
      </c>
      <c r="D32" t="s">
        <v>36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8">
        <v>0.98560000000000003</v>
      </c>
      <c r="K32">
        <v>85000</v>
      </c>
      <c r="L32" s="2">
        <v>45540</v>
      </c>
    </row>
    <row r="33" spans="1:12">
      <c r="A33" t="s">
        <v>91</v>
      </c>
      <c r="B33" t="s">
        <v>92</v>
      </c>
      <c r="C33" t="s">
        <v>14</v>
      </c>
      <c r="D33" t="s">
        <v>36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8">
        <v>0.93830000000000002</v>
      </c>
      <c r="K33">
        <v>75000</v>
      </c>
      <c r="L33" s="2">
        <v>45800</v>
      </c>
    </row>
    <row r="34" spans="1:12">
      <c r="A34" t="s">
        <v>93</v>
      </c>
      <c r="B34" t="s">
        <v>94</v>
      </c>
      <c r="C34" t="s">
        <v>14</v>
      </c>
      <c r="D34" t="s">
        <v>53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8">
        <v>0.79310000000000003</v>
      </c>
      <c r="K34">
        <v>75000</v>
      </c>
      <c r="L34" s="2">
        <v>46128</v>
      </c>
    </row>
    <row r="35" spans="1:12">
      <c r="A35" t="s">
        <v>95</v>
      </c>
      <c r="B35" t="s">
        <v>96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8">
        <v>0.85240000000000005</v>
      </c>
      <c r="K35">
        <v>130000</v>
      </c>
      <c r="L35" s="2">
        <v>45907</v>
      </c>
    </row>
    <row r="36" spans="1:12">
      <c r="A36" t="s">
        <v>97</v>
      </c>
      <c r="B36" t="s">
        <v>98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8">
        <v>0.75270000000000004</v>
      </c>
      <c r="K36">
        <v>110000</v>
      </c>
      <c r="L36" s="2">
        <v>45679</v>
      </c>
    </row>
    <row r="37" spans="1:12">
      <c r="A37" t="s">
        <v>99</v>
      </c>
      <c r="B37" t="s">
        <v>100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8">
        <v>0.7046</v>
      </c>
      <c r="K37">
        <v>100000</v>
      </c>
      <c r="L37" s="2">
        <v>45951</v>
      </c>
    </row>
    <row r="38" spans="1:12">
      <c r="A38" t="s">
        <v>101</v>
      </c>
      <c r="B38" t="s">
        <v>102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8">
        <v>0.92279999999999995</v>
      </c>
      <c r="K38">
        <v>80000</v>
      </c>
      <c r="L38" s="2">
        <v>45637</v>
      </c>
    </row>
    <row r="39" spans="1:12">
      <c r="A39" t="s">
        <v>103</v>
      </c>
      <c r="B39" t="s">
        <v>104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8">
        <v>0.82920000000000005</v>
      </c>
      <c r="K39">
        <v>100000</v>
      </c>
      <c r="L39" s="2">
        <v>45551</v>
      </c>
    </row>
    <row r="40" spans="1:12">
      <c r="A40" t="s">
        <v>105</v>
      </c>
      <c r="B40" t="s">
        <v>106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8">
        <v>0.92720000000000002</v>
      </c>
      <c r="K40">
        <v>75000</v>
      </c>
      <c r="L40" s="2">
        <v>45978</v>
      </c>
    </row>
    <row r="41" spans="1:12">
      <c r="A41" t="s">
        <v>107</v>
      </c>
      <c r="B41" t="s">
        <v>77</v>
      </c>
      <c r="C41" t="s">
        <v>19</v>
      </c>
      <c r="D41" t="s">
        <v>53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8">
        <v>0.95599999999999996</v>
      </c>
      <c r="K41">
        <v>85000</v>
      </c>
      <c r="L41" s="2">
        <v>45896</v>
      </c>
    </row>
    <row r="42" spans="1:12">
      <c r="A42" t="s">
        <v>108</v>
      </c>
      <c r="B42" t="s">
        <v>109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8">
        <v>0.77600000000000002</v>
      </c>
      <c r="K42">
        <v>60000</v>
      </c>
      <c r="L42" s="2">
        <v>46065</v>
      </c>
    </row>
    <row r="43" spans="1:12">
      <c r="A43" t="s">
        <v>110</v>
      </c>
      <c r="B43" t="s">
        <v>111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8">
        <v>0.90200000000000002</v>
      </c>
      <c r="K43">
        <v>100000</v>
      </c>
      <c r="L43" s="2">
        <v>45777</v>
      </c>
    </row>
    <row r="44" spans="1:12">
      <c r="A44" t="s">
        <v>112</v>
      </c>
      <c r="B44" t="s">
        <v>113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8">
        <v>0.94040000000000001</v>
      </c>
      <c r="K44">
        <v>50000</v>
      </c>
      <c r="L44" s="2">
        <v>46133</v>
      </c>
    </row>
    <row r="45" spans="1:12">
      <c r="A45" t="s">
        <v>114</v>
      </c>
      <c r="B45" t="s">
        <v>115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8">
        <v>0.86899999999999999</v>
      </c>
      <c r="K45">
        <v>100000</v>
      </c>
      <c r="L45" s="2">
        <v>45830</v>
      </c>
    </row>
    <row r="46" spans="1:12">
      <c r="A46" t="s">
        <v>116</v>
      </c>
      <c r="B46" t="s">
        <v>117</v>
      </c>
      <c r="C46" t="s">
        <v>14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 s="8">
        <v>0.91449999999999998</v>
      </c>
      <c r="K46">
        <v>90000</v>
      </c>
      <c r="L46" s="2">
        <v>46052</v>
      </c>
    </row>
    <row r="47" spans="1:12">
      <c r="A47" t="s">
        <v>118</v>
      </c>
      <c r="B47" t="s">
        <v>119</v>
      </c>
      <c r="C47" t="s">
        <v>19</v>
      </c>
      <c r="D47" t="s">
        <v>36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 s="8">
        <v>0.98260000000000003</v>
      </c>
      <c r="K47">
        <v>50000</v>
      </c>
      <c r="L47" s="2">
        <v>45606</v>
      </c>
    </row>
    <row r="48" spans="1:12">
      <c r="A48" t="s">
        <v>120</v>
      </c>
      <c r="B48" t="s">
        <v>121</v>
      </c>
      <c r="C48" t="s">
        <v>14</v>
      </c>
      <c r="D48" t="s">
        <v>53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8">
        <v>0.94130000000000003</v>
      </c>
      <c r="K48">
        <v>85000</v>
      </c>
      <c r="L48" s="2">
        <v>45604</v>
      </c>
    </row>
    <row r="49" spans="1:12">
      <c r="A49" t="s">
        <v>122</v>
      </c>
      <c r="B49" t="s">
        <v>123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8">
        <v>0.93630000000000002</v>
      </c>
      <c r="K49">
        <v>70000</v>
      </c>
      <c r="L49" s="2">
        <v>46083</v>
      </c>
    </row>
    <row r="50" spans="1:12">
      <c r="A50" t="s">
        <v>124</v>
      </c>
      <c r="B50" t="s">
        <v>125</v>
      </c>
      <c r="C50" t="s">
        <v>19</v>
      </c>
      <c r="D50" t="s">
        <v>20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 s="8">
        <v>0.92930000000000001</v>
      </c>
      <c r="K50">
        <v>85000</v>
      </c>
      <c r="L50" s="2">
        <v>46119</v>
      </c>
    </row>
    <row r="51" spans="1:12">
      <c r="A51" t="s">
        <v>126</v>
      </c>
      <c r="B51" t="s">
        <v>127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8">
        <v>0.77490000000000003</v>
      </c>
      <c r="K51">
        <v>50000</v>
      </c>
      <c r="L51" s="2">
        <v>46195</v>
      </c>
    </row>
    <row r="52" spans="1:12">
      <c r="A52" t="s">
        <v>128</v>
      </c>
      <c r="B52" t="s">
        <v>129</v>
      </c>
      <c r="C52" t="s">
        <v>19</v>
      </c>
      <c r="D52" t="s">
        <v>36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 s="8">
        <v>0.95179999999999998</v>
      </c>
      <c r="K52">
        <v>100000</v>
      </c>
      <c r="L52" s="2">
        <v>45763</v>
      </c>
    </row>
    <row r="53" spans="1:12">
      <c r="A53" t="s">
        <v>130</v>
      </c>
      <c r="B53" t="s">
        <v>131</v>
      </c>
      <c r="C53" t="s">
        <v>14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 s="8">
        <v>0.9385</v>
      </c>
      <c r="K53">
        <v>85000</v>
      </c>
      <c r="L53" s="2">
        <v>45551</v>
      </c>
    </row>
    <row r="54" spans="1:12">
      <c r="A54" t="s">
        <v>132</v>
      </c>
      <c r="B54" t="s">
        <v>133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8">
        <v>0.92410000000000003</v>
      </c>
      <c r="K54">
        <v>75000</v>
      </c>
      <c r="L54" s="2">
        <v>46221</v>
      </c>
    </row>
    <row r="55" spans="1:12">
      <c r="A55" t="s">
        <v>134</v>
      </c>
      <c r="B55" t="s">
        <v>135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8">
        <v>0.79700000000000004</v>
      </c>
      <c r="K55">
        <v>120000</v>
      </c>
      <c r="L55" s="2">
        <v>45956</v>
      </c>
    </row>
    <row r="56" spans="1:12">
      <c r="A56" t="s">
        <v>136</v>
      </c>
      <c r="B56" t="s">
        <v>137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8">
        <v>0.80020000000000002</v>
      </c>
      <c r="K56">
        <v>100000</v>
      </c>
      <c r="L56" s="2">
        <v>45708</v>
      </c>
    </row>
    <row r="57" spans="1:12">
      <c r="A57" t="s">
        <v>138</v>
      </c>
      <c r="B57" t="s">
        <v>139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8">
        <v>0.89</v>
      </c>
      <c r="K57">
        <v>90000</v>
      </c>
      <c r="L57" s="2">
        <v>46070</v>
      </c>
    </row>
    <row r="58" spans="1:12">
      <c r="A58" t="s">
        <v>140</v>
      </c>
      <c r="B58" t="s">
        <v>141</v>
      </c>
      <c r="C58" t="s">
        <v>19</v>
      </c>
      <c r="D58" t="s">
        <v>36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8">
        <v>0.74680000000000002</v>
      </c>
      <c r="K58">
        <v>60000</v>
      </c>
      <c r="L58" s="2">
        <v>46168</v>
      </c>
    </row>
    <row r="59" spans="1:12">
      <c r="A59" t="s">
        <v>142</v>
      </c>
      <c r="B59" t="s">
        <v>109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8">
        <v>0.6895</v>
      </c>
      <c r="K59">
        <v>85000</v>
      </c>
      <c r="L59" s="2">
        <v>45735</v>
      </c>
    </row>
    <row r="60" spans="1:12">
      <c r="A60" t="s">
        <v>143</v>
      </c>
      <c r="B60" t="s">
        <v>144</v>
      </c>
      <c r="C60" t="s">
        <v>19</v>
      </c>
      <c r="D60" t="s">
        <v>32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 s="8">
        <v>0.9617</v>
      </c>
      <c r="K60">
        <v>100000</v>
      </c>
      <c r="L60" s="2">
        <v>46074</v>
      </c>
    </row>
    <row r="61" spans="1:12">
      <c r="A61" t="s">
        <v>145</v>
      </c>
      <c r="B61" t="s">
        <v>146</v>
      </c>
      <c r="C61" t="s">
        <v>19</v>
      </c>
      <c r="D61" t="s">
        <v>36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 s="8">
        <v>0.91279999999999994</v>
      </c>
      <c r="K61">
        <v>130000</v>
      </c>
      <c r="L61" s="2">
        <v>46087</v>
      </c>
    </row>
    <row r="62" spans="1:12">
      <c r="A62" t="s">
        <v>147</v>
      </c>
      <c r="B62" t="s">
        <v>148</v>
      </c>
      <c r="C62" t="s">
        <v>19</v>
      </c>
      <c r="D62" t="s">
        <v>20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 s="8">
        <v>0.55000000000000004</v>
      </c>
      <c r="K62">
        <v>90000</v>
      </c>
      <c r="L62" s="2">
        <v>45887</v>
      </c>
    </row>
    <row r="63" spans="1:12">
      <c r="A63" t="s">
        <v>149</v>
      </c>
      <c r="B63" t="s">
        <v>150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8">
        <v>0.95489999999999997</v>
      </c>
      <c r="K63">
        <v>60000</v>
      </c>
      <c r="L63" s="2">
        <v>45978</v>
      </c>
    </row>
    <row r="64" spans="1:12">
      <c r="A64" t="s">
        <v>151</v>
      </c>
      <c r="B64" t="s">
        <v>152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8">
        <v>0.84250000000000003</v>
      </c>
      <c r="K64">
        <v>100000</v>
      </c>
      <c r="L64" s="2">
        <v>45724</v>
      </c>
    </row>
    <row r="65" spans="1:12">
      <c r="A65" t="s">
        <v>153</v>
      </c>
      <c r="B65" t="s">
        <v>52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8">
        <v>0.9204</v>
      </c>
      <c r="K65">
        <v>50000</v>
      </c>
      <c r="L65" s="2">
        <v>46186</v>
      </c>
    </row>
    <row r="66" spans="1:12">
      <c r="A66" t="s">
        <v>154</v>
      </c>
      <c r="B66" t="s">
        <v>155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8">
        <v>0.80159999999999998</v>
      </c>
      <c r="K66">
        <v>75000</v>
      </c>
      <c r="L66" s="2">
        <v>46224</v>
      </c>
    </row>
    <row r="67" spans="1:12">
      <c r="A67" t="s">
        <v>156</v>
      </c>
      <c r="B67" t="s">
        <v>157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8">
        <v>0.87060000000000004</v>
      </c>
      <c r="K67">
        <v>130000</v>
      </c>
      <c r="L67" s="2">
        <v>46222</v>
      </c>
    </row>
    <row r="68" spans="1:12">
      <c r="A68" t="s">
        <v>158</v>
      </c>
      <c r="B68" t="s">
        <v>159</v>
      </c>
      <c r="C68" t="s">
        <v>19</v>
      </c>
      <c r="D68" t="s">
        <v>32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 s="8">
        <v>0.84919999999999995</v>
      </c>
      <c r="K68">
        <v>110000</v>
      </c>
      <c r="L68" s="2">
        <v>46051</v>
      </c>
    </row>
    <row r="69" spans="1:12">
      <c r="A69" t="s">
        <v>160</v>
      </c>
      <c r="B69" t="s">
        <v>161</v>
      </c>
      <c r="C69" t="s">
        <v>14</v>
      </c>
      <c r="D69" t="s">
        <v>36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8">
        <v>0.80720000000000003</v>
      </c>
      <c r="K69">
        <v>120000</v>
      </c>
      <c r="L69" s="2">
        <v>45565</v>
      </c>
    </row>
    <row r="70" spans="1:12">
      <c r="A70" t="s">
        <v>162</v>
      </c>
      <c r="B70" t="s">
        <v>115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8">
        <v>0.86950000000000005</v>
      </c>
      <c r="K70">
        <v>75000</v>
      </c>
      <c r="L70" s="2">
        <v>45792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8">
        <v>0.72430000000000005</v>
      </c>
      <c r="K71">
        <v>100000</v>
      </c>
      <c r="L71" s="2">
        <v>45847</v>
      </c>
    </row>
    <row r="72" spans="1:12">
      <c r="A72" t="s">
        <v>165</v>
      </c>
      <c r="B72" t="s">
        <v>166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8">
        <v>0.7157</v>
      </c>
      <c r="K72">
        <v>100000</v>
      </c>
      <c r="L72" s="2">
        <v>46207</v>
      </c>
    </row>
    <row r="73" spans="1:12">
      <c r="A73" t="s">
        <v>167</v>
      </c>
      <c r="B73" t="s">
        <v>168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8">
        <v>0.88990000000000002</v>
      </c>
      <c r="K73">
        <v>70000</v>
      </c>
      <c r="L73" s="2">
        <v>45918</v>
      </c>
    </row>
    <row r="74" spans="1:12">
      <c r="A74" t="s">
        <v>169</v>
      </c>
      <c r="B74" t="s">
        <v>170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8">
        <v>0.76880000000000004</v>
      </c>
      <c r="K74">
        <v>130000</v>
      </c>
      <c r="L74" s="2">
        <v>45911</v>
      </c>
    </row>
    <row r="75" spans="1:12">
      <c r="A75" t="s">
        <v>171</v>
      </c>
      <c r="B75" t="s">
        <v>133</v>
      </c>
      <c r="C75" t="s">
        <v>14</v>
      </c>
      <c r="D75" t="s">
        <v>36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8">
        <v>0.90290000000000004</v>
      </c>
      <c r="K75">
        <v>130000</v>
      </c>
      <c r="L75" s="2">
        <v>45638</v>
      </c>
    </row>
    <row r="76" spans="1:12">
      <c r="A76" t="s">
        <v>172</v>
      </c>
      <c r="B76" t="s">
        <v>173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8">
        <v>0.96130000000000004</v>
      </c>
      <c r="K76">
        <v>60000</v>
      </c>
      <c r="L76" s="2">
        <v>46091</v>
      </c>
    </row>
    <row r="77" spans="1:12">
      <c r="A77" t="s">
        <v>174</v>
      </c>
      <c r="B77" t="s">
        <v>175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8">
        <v>0.65480000000000005</v>
      </c>
      <c r="K77">
        <v>110000</v>
      </c>
      <c r="L77" s="2">
        <v>45771</v>
      </c>
    </row>
    <row r="78" spans="1:12">
      <c r="A78" t="s">
        <v>176</v>
      </c>
      <c r="B78" t="s">
        <v>109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8">
        <v>0.92200000000000004</v>
      </c>
      <c r="K78">
        <v>80000</v>
      </c>
      <c r="L78" s="2">
        <v>45600</v>
      </c>
    </row>
    <row r="79" spans="1:12">
      <c r="A79" t="s">
        <v>177</v>
      </c>
      <c r="B79" t="s">
        <v>178</v>
      </c>
      <c r="C79" t="s">
        <v>14</v>
      </c>
      <c r="D79" t="s">
        <v>36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8">
        <v>0.83409999999999995</v>
      </c>
      <c r="K79">
        <v>100000</v>
      </c>
      <c r="L79" s="2">
        <v>46227</v>
      </c>
    </row>
    <row r="80" spans="1:12">
      <c r="A80" t="s">
        <v>179</v>
      </c>
      <c r="B80" t="s">
        <v>180</v>
      </c>
      <c r="C80" t="s">
        <v>19</v>
      </c>
      <c r="D80" t="s">
        <v>15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 s="8">
        <v>0.87749999999999995</v>
      </c>
      <c r="K80">
        <v>90000</v>
      </c>
      <c r="L80" s="2">
        <v>45669</v>
      </c>
    </row>
    <row r="81" spans="1:12">
      <c r="A81" t="s">
        <v>181</v>
      </c>
      <c r="B81" t="s">
        <v>182</v>
      </c>
      <c r="C81" t="s">
        <v>19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 s="8">
        <v>0.95140000000000002</v>
      </c>
      <c r="K81">
        <v>70000</v>
      </c>
      <c r="L81" s="2">
        <v>45547</v>
      </c>
    </row>
    <row r="82" spans="1:12">
      <c r="A82" t="s">
        <v>183</v>
      </c>
      <c r="B82" t="s">
        <v>184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8">
        <v>0.84179999999999999</v>
      </c>
      <c r="K82">
        <v>60000</v>
      </c>
      <c r="L82" s="2">
        <v>45590</v>
      </c>
    </row>
    <row r="83" spans="1:12">
      <c r="A83" t="s">
        <v>185</v>
      </c>
      <c r="B83" t="s">
        <v>186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8">
        <v>0.93310000000000004</v>
      </c>
      <c r="K83">
        <v>85000</v>
      </c>
      <c r="L83" s="2">
        <v>45852</v>
      </c>
    </row>
    <row r="84" spans="1:12">
      <c r="A84" t="s">
        <v>187</v>
      </c>
      <c r="B84" t="s">
        <v>188</v>
      </c>
      <c r="C84" t="s">
        <v>14</v>
      </c>
      <c r="D84" t="s">
        <v>53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8">
        <v>0.93730000000000002</v>
      </c>
      <c r="K84">
        <v>120000</v>
      </c>
      <c r="L84" s="2">
        <v>45608</v>
      </c>
    </row>
    <row r="85" spans="1:12">
      <c r="A85" t="s">
        <v>189</v>
      </c>
      <c r="B85" t="s">
        <v>59</v>
      </c>
      <c r="C85" t="s">
        <v>19</v>
      </c>
      <c r="D85" t="s">
        <v>20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 s="8">
        <v>0.83599999999999997</v>
      </c>
      <c r="K85">
        <v>120000</v>
      </c>
      <c r="L85" s="2">
        <v>46125</v>
      </c>
    </row>
    <row r="86" spans="1:12">
      <c r="A86" t="s">
        <v>190</v>
      </c>
      <c r="B86" t="s">
        <v>191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8">
        <v>0.84530000000000005</v>
      </c>
      <c r="K86">
        <v>75000</v>
      </c>
      <c r="L86" s="2">
        <v>45894</v>
      </c>
    </row>
    <row r="87" spans="1:12">
      <c r="A87" t="s">
        <v>192</v>
      </c>
      <c r="B87" t="s">
        <v>79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8">
        <v>0.74470000000000003</v>
      </c>
      <c r="K87">
        <v>120000</v>
      </c>
      <c r="L87" s="2">
        <v>45762</v>
      </c>
    </row>
    <row r="88" spans="1:12">
      <c r="A88" t="s">
        <v>193</v>
      </c>
      <c r="B88" t="s">
        <v>194</v>
      </c>
      <c r="C88" t="s">
        <v>14</v>
      </c>
      <c r="D88" t="s">
        <v>36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8">
        <v>0.67400000000000004</v>
      </c>
      <c r="K88">
        <v>75000</v>
      </c>
      <c r="L88" s="2">
        <v>45538</v>
      </c>
    </row>
    <row r="89" spans="1:12">
      <c r="A89" t="s">
        <v>195</v>
      </c>
      <c r="B89" t="s">
        <v>196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8">
        <v>0.76039999999999996</v>
      </c>
      <c r="K89">
        <v>90000</v>
      </c>
      <c r="L89" s="2">
        <v>45871</v>
      </c>
    </row>
    <row r="90" spans="1:12">
      <c r="A90" t="s">
        <v>197</v>
      </c>
      <c r="B90" t="s">
        <v>198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8">
        <v>0.84550000000000003</v>
      </c>
      <c r="K90">
        <v>75000</v>
      </c>
      <c r="L90" s="2">
        <v>45641</v>
      </c>
    </row>
    <row r="91" spans="1:12">
      <c r="A91" t="s">
        <v>199</v>
      </c>
      <c r="B91" t="s">
        <v>200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8">
        <v>0.67589999999999995</v>
      </c>
      <c r="K91">
        <v>85000</v>
      </c>
      <c r="L91" s="2">
        <v>46220</v>
      </c>
    </row>
    <row r="92" spans="1:12">
      <c r="A92" t="s">
        <v>201</v>
      </c>
      <c r="B92" t="s">
        <v>202</v>
      </c>
      <c r="C92" t="s">
        <v>14</v>
      </c>
      <c r="D92" t="s">
        <v>32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 s="8">
        <v>0.89300000000000002</v>
      </c>
      <c r="K92">
        <v>85000</v>
      </c>
      <c r="L92" s="2">
        <v>45739</v>
      </c>
    </row>
    <row r="93" spans="1:12">
      <c r="A93" t="s">
        <v>203</v>
      </c>
      <c r="B93" t="s">
        <v>204</v>
      </c>
      <c r="C93" t="s">
        <v>19</v>
      </c>
      <c r="D93" t="s">
        <v>53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8">
        <v>0.94669999999999999</v>
      </c>
      <c r="K93">
        <v>100000</v>
      </c>
      <c r="L93" s="2">
        <v>45868</v>
      </c>
    </row>
    <row r="94" spans="1:12">
      <c r="A94" t="s">
        <v>205</v>
      </c>
      <c r="B94" t="s">
        <v>79</v>
      </c>
      <c r="C94" t="s">
        <v>19</v>
      </c>
      <c r="D94" t="s">
        <v>36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 s="8">
        <v>0.82809999999999995</v>
      </c>
      <c r="K94">
        <v>85000</v>
      </c>
      <c r="L94" s="2">
        <v>45549</v>
      </c>
    </row>
    <row r="95" spans="1:12">
      <c r="A95" t="s">
        <v>206</v>
      </c>
      <c r="B95" t="s">
        <v>207</v>
      </c>
      <c r="C95" t="s">
        <v>14</v>
      </c>
      <c r="D95" t="s">
        <v>32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 s="8">
        <v>0.73799999999999999</v>
      </c>
      <c r="K95">
        <v>85000</v>
      </c>
      <c r="L95" s="2">
        <v>45627</v>
      </c>
    </row>
    <row r="96" spans="1:12">
      <c r="A96" t="s">
        <v>208</v>
      </c>
      <c r="B96" t="s">
        <v>96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8">
        <v>0.88939999999999997</v>
      </c>
      <c r="K96">
        <v>100000</v>
      </c>
      <c r="L96" s="2">
        <v>45681</v>
      </c>
    </row>
    <row r="97" spans="1:12">
      <c r="A97" t="s">
        <v>209</v>
      </c>
      <c r="B97" t="s">
        <v>210</v>
      </c>
      <c r="C97" t="s">
        <v>14</v>
      </c>
      <c r="D97" t="s">
        <v>32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 s="8">
        <v>0.83150000000000002</v>
      </c>
      <c r="K97">
        <v>80000</v>
      </c>
      <c r="L97" s="2">
        <v>45572</v>
      </c>
    </row>
    <row r="98" spans="1:12">
      <c r="A98" t="s">
        <v>211</v>
      </c>
      <c r="B98" t="s">
        <v>13</v>
      </c>
      <c r="C98" t="s">
        <v>14</v>
      </c>
      <c r="D98" t="s">
        <v>32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 s="8">
        <v>0.92949999999999999</v>
      </c>
      <c r="K98">
        <v>85000</v>
      </c>
      <c r="L98" s="2">
        <v>46044</v>
      </c>
    </row>
    <row r="99" spans="1:12">
      <c r="A99" t="s">
        <v>212</v>
      </c>
      <c r="B99" t="s">
        <v>213</v>
      </c>
      <c r="C99" t="s">
        <v>19</v>
      </c>
      <c r="D99" t="s">
        <v>28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 s="8">
        <v>0.94189999999999996</v>
      </c>
      <c r="K99">
        <v>50000</v>
      </c>
      <c r="L99" s="2">
        <v>46197</v>
      </c>
    </row>
    <row r="100" spans="1:12">
      <c r="A100" t="s">
        <v>214</v>
      </c>
      <c r="B100" t="s">
        <v>104</v>
      </c>
      <c r="C100" t="s">
        <v>19</v>
      </c>
      <c r="D100" t="s">
        <v>20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 s="8">
        <v>0.92549999999999999</v>
      </c>
      <c r="K100">
        <v>120000</v>
      </c>
      <c r="L100" s="2">
        <v>46225</v>
      </c>
    </row>
    <row r="101" spans="1:12">
      <c r="A101" t="s">
        <v>215</v>
      </c>
      <c r="B101" t="s">
        <v>216</v>
      </c>
      <c r="C101" t="s">
        <v>14</v>
      </c>
      <c r="D101" t="s">
        <v>15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 s="8">
        <v>0.78510000000000002</v>
      </c>
      <c r="K101">
        <v>60000</v>
      </c>
      <c r="L101" s="2">
        <v>45722</v>
      </c>
    </row>
    <row r="102" spans="1:12">
      <c r="A102" t="s">
        <v>217</v>
      </c>
      <c r="B102" t="s">
        <v>218</v>
      </c>
      <c r="C102" t="s">
        <v>19</v>
      </c>
      <c r="D102" t="s">
        <v>53</v>
      </c>
      <c r="E102" t="s">
        <v>16</v>
      </c>
      <c r="F102">
        <v>15.2</v>
      </c>
      <c r="G102">
        <v>13.47</v>
      </c>
      <c r="H102">
        <v>14.76</v>
      </c>
      <c r="I102">
        <v>14.95</v>
      </c>
      <c r="J102" s="8">
        <v>0.80259999999999998</v>
      </c>
      <c r="K102">
        <v>120000</v>
      </c>
      <c r="L102" s="2">
        <v>46088</v>
      </c>
    </row>
    <row r="103" spans="1:12">
      <c r="A103" t="s">
        <v>219</v>
      </c>
      <c r="B103" t="s">
        <v>220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>
        <v>20</v>
      </c>
      <c r="J103" s="8">
        <v>0.79849999999999999</v>
      </c>
      <c r="K103">
        <v>110000</v>
      </c>
      <c r="L103" s="2">
        <v>45888</v>
      </c>
    </row>
    <row r="104" spans="1:12">
      <c r="A104" t="s">
        <v>221</v>
      </c>
      <c r="B104" t="s">
        <v>31</v>
      </c>
      <c r="C104" t="s">
        <v>19</v>
      </c>
      <c r="D104" t="s">
        <v>53</v>
      </c>
      <c r="E104" t="s">
        <v>21</v>
      </c>
      <c r="F104">
        <v>10.3</v>
      </c>
      <c r="G104">
        <v>12.8</v>
      </c>
      <c r="H104">
        <v>13.16</v>
      </c>
      <c r="I104">
        <v>11.86</v>
      </c>
      <c r="J104" s="8">
        <v>0.62409999999999999</v>
      </c>
      <c r="K104">
        <v>130000</v>
      </c>
      <c r="L104" s="2">
        <v>45568</v>
      </c>
    </row>
    <row r="105" spans="1:12">
      <c r="A105" t="s">
        <v>222</v>
      </c>
      <c r="B105" t="s">
        <v>178</v>
      </c>
      <c r="C105" t="s">
        <v>14</v>
      </c>
      <c r="D105" t="s">
        <v>36</v>
      </c>
      <c r="E105" t="s">
        <v>16</v>
      </c>
      <c r="F105">
        <v>9.56</v>
      </c>
      <c r="G105">
        <v>11.05</v>
      </c>
      <c r="H105">
        <v>14.5</v>
      </c>
      <c r="I105">
        <v>14.54</v>
      </c>
      <c r="J105" s="8">
        <v>0.90580000000000005</v>
      </c>
      <c r="K105">
        <v>50000</v>
      </c>
      <c r="L105" s="2">
        <v>45599</v>
      </c>
    </row>
    <row r="106" spans="1:12">
      <c r="A106" t="s">
        <v>223</v>
      </c>
      <c r="B106" t="s">
        <v>224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>
        <v>10.37</v>
      </c>
      <c r="J106" s="8">
        <v>0.6411</v>
      </c>
      <c r="K106">
        <v>70000</v>
      </c>
      <c r="L106" s="2">
        <v>45919</v>
      </c>
    </row>
    <row r="107" spans="1:12">
      <c r="A107" t="s">
        <v>225</v>
      </c>
      <c r="B107" t="s">
        <v>226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>
        <v>16.04</v>
      </c>
      <c r="J107" s="8">
        <v>0.89759999999999995</v>
      </c>
      <c r="K107">
        <v>50000</v>
      </c>
      <c r="L107" s="2">
        <v>45832</v>
      </c>
    </row>
    <row r="108" spans="1:12">
      <c r="A108" t="s">
        <v>227</v>
      </c>
      <c r="B108" t="s">
        <v>191</v>
      </c>
      <c r="C108" t="s">
        <v>19</v>
      </c>
      <c r="D108" t="s">
        <v>53</v>
      </c>
      <c r="E108" t="s">
        <v>29</v>
      </c>
      <c r="F108">
        <v>7.62</v>
      </c>
      <c r="G108">
        <v>9.17</v>
      </c>
      <c r="H108">
        <v>9.44</v>
      </c>
      <c r="I108">
        <v>11.78</v>
      </c>
      <c r="J108" s="8">
        <v>0.85189999999999999</v>
      </c>
      <c r="K108">
        <v>80000</v>
      </c>
      <c r="L108" s="2">
        <v>45541</v>
      </c>
    </row>
    <row r="109" spans="1:12">
      <c r="A109" t="s">
        <v>228</v>
      </c>
      <c r="B109" t="s">
        <v>229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>
        <v>11.28</v>
      </c>
      <c r="J109" s="8">
        <v>0.79859999999999998</v>
      </c>
      <c r="K109">
        <v>120000</v>
      </c>
      <c r="L109" s="2">
        <v>46187</v>
      </c>
    </row>
    <row r="110" spans="1:12">
      <c r="A110" t="s">
        <v>230</v>
      </c>
      <c r="B110" t="s">
        <v>231</v>
      </c>
      <c r="C110" t="s">
        <v>14</v>
      </c>
      <c r="D110" t="s">
        <v>36</v>
      </c>
      <c r="E110" t="s">
        <v>21</v>
      </c>
      <c r="F110">
        <v>13.76</v>
      </c>
      <c r="G110">
        <v>16.350000000000001</v>
      </c>
      <c r="H110">
        <v>16.22</v>
      </c>
      <c r="I110">
        <v>13.46</v>
      </c>
      <c r="J110" s="8">
        <v>0.98750000000000004</v>
      </c>
      <c r="K110">
        <v>110000</v>
      </c>
      <c r="L110" s="2">
        <v>46047</v>
      </c>
    </row>
    <row r="111" spans="1:12">
      <c r="A111" t="s">
        <v>232</v>
      </c>
      <c r="B111" t="s">
        <v>233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>
        <v>18.21</v>
      </c>
      <c r="J111" s="8">
        <v>0.8972</v>
      </c>
      <c r="K111">
        <v>100000</v>
      </c>
      <c r="L111" s="2">
        <v>45887</v>
      </c>
    </row>
    <row r="112" spans="1:12">
      <c r="A112" t="s">
        <v>234</v>
      </c>
      <c r="B112" t="s">
        <v>235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>
        <v>20</v>
      </c>
      <c r="J112" s="8">
        <v>0.88100000000000001</v>
      </c>
      <c r="K112">
        <v>120000</v>
      </c>
      <c r="L112" s="2">
        <v>46226</v>
      </c>
    </row>
    <row r="113" spans="1:12">
      <c r="A113" t="s">
        <v>236</v>
      </c>
      <c r="B113" t="s">
        <v>237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>
        <v>15.45</v>
      </c>
      <c r="J113" s="8">
        <v>0.89270000000000005</v>
      </c>
      <c r="K113">
        <v>50000</v>
      </c>
      <c r="L113" s="2">
        <v>46215</v>
      </c>
    </row>
    <row r="114" spans="1:12">
      <c r="A114" t="s">
        <v>238</v>
      </c>
      <c r="B114" t="s">
        <v>239</v>
      </c>
      <c r="C114" t="s">
        <v>19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 s="8">
        <v>0.84499999999999997</v>
      </c>
      <c r="K114">
        <v>110000</v>
      </c>
      <c r="L114" s="2">
        <v>46217</v>
      </c>
    </row>
    <row r="115" spans="1:12">
      <c r="A115" t="s">
        <v>240</v>
      </c>
      <c r="B115" t="s">
        <v>241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>
        <v>13.19</v>
      </c>
      <c r="J115" s="8">
        <v>0.80830000000000002</v>
      </c>
      <c r="K115">
        <v>75000</v>
      </c>
      <c r="L115" s="2">
        <v>45717</v>
      </c>
    </row>
    <row r="116" spans="1:12">
      <c r="A116" t="s">
        <v>242</v>
      </c>
      <c r="B116" t="s">
        <v>243</v>
      </c>
      <c r="C116" t="s">
        <v>19</v>
      </c>
      <c r="D116" t="s">
        <v>53</v>
      </c>
      <c r="E116" t="s">
        <v>16</v>
      </c>
      <c r="F116">
        <v>11.48</v>
      </c>
      <c r="G116">
        <v>15.71</v>
      </c>
      <c r="H116">
        <v>12.61</v>
      </c>
      <c r="I116">
        <v>11.97</v>
      </c>
      <c r="J116" s="8">
        <v>0.55089999999999995</v>
      </c>
      <c r="K116">
        <v>100000</v>
      </c>
      <c r="L116" s="2">
        <v>46152</v>
      </c>
    </row>
    <row r="117" spans="1:12">
      <c r="A117" t="s">
        <v>244</v>
      </c>
      <c r="B117" t="s">
        <v>173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>
        <v>11.94</v>
      </c>
      <c r="J117" s="8">
        <v>0.91290000000000004</v>
      </c>
      <c r="K117">
        <v>110000</v>
      </c>
      <c r="L117" s="2">
        <v>45889</v>
      </c>
    </row>
    <row r="118" spans="1:12">
      <c r="A118" t="s">
        <v>245</v>
      </c>
      <c r="B118" t="s">
        <v>246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>
        <v>14.8</v>
      </c>
      <c r="J118" s="8">
        <v>0.66739999999999999</v>
      </c>
      <c r="K118">
        <v>100000</v>
      </c>
      <c r="L118" s="2">
        <v>46044</v>
      </c>
    </row>
    <row r="119" spans="1:12">
      <c r="A119" t="s">
        <v>247</v>
      </c>
      <c r="B119" t="s">
        <v>248</v>
      </c>
      <c r="C119" t="s">
        <v>14</v>
      </c>
      <c r="D119" t="s">
        <v>53</v>
      </c>
      <c r="E119" t="s">
        <v>21</v>
      </c>
      <c r="F119">
        <v>13.77</v>
      </c>
      <c r="G119">
        <v>12.51</v>
      </c>
      <c r="H119">
        <v>15.21</v>
      </c>
      <c r="I119">
        <v>11.91</v>
      </c>
      <c r="J119" s="8">
        <v>0.94169999999999998</v>
      </c>
      <c r="K119">
        <v>80000</v>
      </c>
      <c r="L119" s="2">
        <v>46137</v>
      </c>
    </row>
    <row r="120" spans="1:12">
      <c r="A120" t="s">
        <v>249</v>
      </c>
      <c r="B120" t="s">
        <v>100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>
        <v>14.67</v>
      </c>
      <c r="J120" s="8">
        <v>0.82340000000000002</v>
      </c>
      <c r="K120">
        <v>90000</v>
      </c>
      <c r="L120" s="2">
        <v>45650</v>
      </c>
    </row>
    <row r="121" spans="1:12">
      <c r="A121" t="s">
        <v>250</v>
      </c>
      <c r="B121" t="s">
        <v>251</v>
      </c>
      <c r="C121" t="s">
        <v>14</v>
      </c>
      <c r="D121" t="s">
        <v>36</v>
      </c>
      <c r="E121" t="s">
        <v>16</v>
      </c>
      <c r="F121">
        <v>9.1999999999999993</v>
      </c>
      <c r="G121">
        <v>7.51</v>
      </c>
      <c r="H121">
        <v>11.45</v>
      </c>
      <c r="I121">
        <v>6.64</v>
      </c>
      <c r="J121" s="8">
        <v>0.77759999999999996</v>
      </c>
      <c r="K121">
        <v>85000</v>
      </c>
      <c r="L121" s="2">
        <v>45849</v>
      </c>
    </row>
    <row r="122" spans="1:12">
      <c r="A122" t="s">
        <v>252</v>
      </c>
      <c r="B122" t="s">
        <v>253</v>
      </c>
      <c r="C122" t="s">
        <v>14</v>
      </c>
      <c r="D122" t="s">
        <v>53</v>
      </c>
      <c r="E122" t="s">
        <v>16</v>
      </c>
      <c r="F122">
        <v>9.3800000000000008</v>
      </c>
      <c r="G122">
        <v>9.59</v>
      </c>
      <c r="H122">
        <v>14.07</v>
      </c>
      <c r="I122">
        <v>9.36</v>
      </c>
      <c r="J122" s="8">
        <v>0.87290000000000001</v>
      </c>
      <c r="K122">
        <v>90000</v>
      </c>
      <c r="L122" s="2">
        <v>45626</v>
      </c>
    </row>
    <row r="123" spans="1:12">
      <c r="A123" t="s">
        <v>254</v>
      </c>
      <c r="B123" t="s">
        <v>71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>
        <v>17.760000000000002</v>
      </c>
      <c r="J123" s="8">
        <v>0.83599999999999997</v>
      </c>
      <c r="K123">
        <v>85000</v>
      </c>
      <c r="L123" s="2">
        <v>45731</v>
      </c>
    </row>
    <row r="124" spans="1:12">
      <c r="A124" t="s">
        <v>255</v>
      </c>
      <c r="B124" t="s">
        <v>256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>
        <v>7.89</v>
      </c>
      <c r="J124" s="8">
        <v>0.8034</v>
      </c>
      <c r="K124">
        <v>80000</v>
      </c>
      <c r="L124" s="2">
        <v>45825</v>
      </c>
    </row>
    <row r="125" spans="1:12">
      <c r="A125" t="s">
        <v>257</v>
      </c>
      <c r="B125" t="s">
        <v>258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>
        <v>16.170000000000002</v>
      </c>
      <c r="J125" s="8">
        <v>0.70330000000000004</v>
      </c>
      <c r="K125">
        <v>70000</v>
      </c>
      <c r="L125" s="2">
        <v>46134</v>
      </c>
    </row>
    <row r="126" spans="1:12">
      <c r="A126" t="s">
        <v>259</v>
      </c>
      <c r="B126" t="s">
        <v>260</v>
      </c>
      <c r="C126" t="s">
        <v>19</v>
      </c>
      <c r="D126" t="s">
        <v>53</v>
      </c>
      <c r="E126" t="s">
        <v>29</v>
      </c>
      <c r="F126">
        <v>11.41</v>
      </c>
      <c r="G126">
        <v>9.24</v>
      </c>
      <c r="H126">
        <v>15.43</v>
      </c>
      <c r="I126">
        <v>12.49</v>
      </c>
      <c r="J126" s="8">
        <v>0.77380000000000004</v>
      </c>
      <c r="K126">
        <v>80000</v>
      </c>
      <c r="L126" s="2">
        <v>46139</v>
      </c>
    </row>
    <row r="127" spans="1:12">
      <c r="A127" t="s">
        <v>261</v>
      </c>
      <c r="B127" t="s">
        <v>262</v>
      </c>
      <c r="C127" t="s">
        <v>19</v>
      </c>
      <c r="D127" t="s">
        <v>36</v>
      </c>
      <c r="E127" t="s">
        <v>29</v>
      </c>
      <c r="F127">
        <v>15.4</v>
      </c>
      <c r="G127">
        <v>19.149999999999999</v>
      </c>
      <c r="H127">
        <v>15.79</v>
      </c>
      <c r="I127">
        <v>15.94</v>
      </c>
      <c r="J127" s="8">
        <v>0.82779999999999998</v>
      </c>
      <c r="K127">
        <v>100000</v>
      </c>
      <c r="L127" s="2">
        <v>45808</v>
      </c>
    </row>
    <row r="128" spans="1:12">
      <c r="A128" t="s">
        <v>263</v>
      </c>
      <c r="B128" t="s">
        <v>264</v>
      </c>
      <c r="C128" t="s">
        <v>14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 s="8">
        <v>0.83150000000000002</v>
      </c>
      <c r="K128">
        <v>120000</v>
      </c>
      <c r="L128" s="2">
        <v>45766</v>
      </c>
    </row>
    <row r="129" spans="1:12">
      <c r="A129" t="s">
        <v>265</v>
      </c>
      <c r="B129" t="s">
        <v>123</v>
      </c>
      <c r="C129" t="s">
        <v>19</v>
      </c>
      <c r="D129" t="s">
        <v>36</v>
      </c>
      <c r="E129" t="s">
        <v>29</v>
      </c>
      <c r="F129">
        <v>10.42</v>
      </c>
      <c r="G129">
        <v>9.75</v>
      </c>
      <c r="H129">
        <v>10.69</v>
      </c>
      <c r="I129">
        <v>13.16</v>
      </c>
      <c r="J129" s="8">
        <v>0.89610000000000001</v>
      </c>
      <c r="K129">
        <v>60000</v>
      </c>
      <c r="L129" s="2">
        <v>45907</v>
      </c>
    </row>
    <row r="130" spans="1:12">
      <c r="A130" t="s">
        <v>266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>
        <v>17.440000000000001</v>
      </c>
      <c r="J130" s="8">
        <v>0.75839999999999996</v>
      </c>
      <c r="K130">
        <v>70000</v>
      </c>
      <c r="L130" s="2">
        <v>46174</v>
      </c>
    </row>
    <row r="131" spans="1:12">
      <c r="A131" t="s">
        <v>267</v>
      </c>
      <c r="B131" t="s">
        <v>268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>
        <v>20</v>
      </c>
      <c r="J131" s="8">
        <v>0.76829999999999998</v>
      </c>
      <c r="K131">
        <v>85000</v>
      </c>
      <c r="L131" s="2">
        <v>46219</v>
      </c>
    </row>
    <row r="132" spans="1:12">
      <c r="A132" t="s">
        <v>269</v>
      </c>
      <c r="B132" t="s">
        <v>270</v>
      </c>
      <c r="C132" t="s">
        <v>19</v>
      </c>
      <c r="D132" t="s">
        <v>53</v>
      </c>
      <c r="E132" t="s">
        <v>29</v>
      </c>
      <c r="F132">
        <v>16.84</v>
      </c>
      <c r="G132">
        <v>16.21</v>
      </c>
      <c r="H132">
        <v>13.47</v>
      </c>
      <c r="I132">
        <v>15.93</v>
      </c>
      <c r="J132" s="8">
        <v>0.56440000000000001</v>
      </c>
      <c r="K132">
        <v>100000</v>
      </c>
      <c r="L132" s="2">
        <v>45694</v>
      </c>
    </row>
    <row r="133" spans="1:12">
      <c r="A133" t="s">
        <v>271</v>
      </c>
      <c r="B133" t="s">
        <v>272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>
        <v>20</v>
      </c>
      <c r="J133" s="8">
        <v>0.71589999999999998</v>
      </c>
      <c r="K133">
        <v>60000</v>
      </c>
      <c r="L133" s="2">
        <v>45666</v>
      </c>
    </row>
    <row r="134" spans="1:12">
      <c r="A134" t="s">
        <v>273</v>
      </c>
      <c r="B134" t="s">
        <v>274</v>
      </c>
      <c r="C134" t="s">
        <v>14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 s="8">
        <v>0.58899999999999997</v>
      </c>
      <c r="K134">
        <v>75000</v>
      </c>
      <c r="L134" s="2">
        <v>46030</v>
      </c>
    </row>
    <row r="135" spans="1:12">
      <c r="A135" t="s">
        <v>275</v>
      </c>
      <c r="B135" t="s">
        <v>18</v>
      </c>
      <c r="C135" t="s">
        <v>19</v>
      </c>
      <c r="D135" t="s">
        <v>28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 s="8">
        <v>0.81699999999999995</v>
      </c>
      <c r="K135">
        <v>50000</v>
      </c>
      <c r="L135" s="2">
        <v>45746</v>
      </c>
    </row>
    <row r="136" spans="1:12">
      <c r="A136" t="s">
        <v>276</v>
      </c>
      <c r="B136" t="s">
        <v>125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>
        <v>17.100000000000001</v>
      </c>
      <c r="J136" s="8">
        <v>0.95309999999999995</v>
      </c>
      <c r="K136">
        <v>50000</v>
      </c>
      <c r="L136" s="2">
        <v>45675</v>
      </c>
    </row>
    <row r="137" spans="1:12">
      <c r="A137" t="s">
        <v>277</v>
      </c>
      <c r="B137" t="s">
        <v>278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>
        <v>11.1</v>
      </c>
      <c r="J137" s="8">
        <v>0.94479999999999997</v>
      </c>
      <c r="K137">
        <v>60000</v>
      </c>
      <c r="L137" s="2">
        <v>45557</v>
      </c>
    </row>
    <row r="138" spans="1:12">
      <c r="A138" t="s">
        <v>279</v>
      </c>
      <c r="B138" t="s">
        <v>280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>
        <v>20</v>
      </c>
      <c r="J138" s="8">
        <v>0.93310000000000004</v>
      </c>
      <c r="K138">
        <v>110000</v>
      </c>
      <c r="L138" s="2">
        <v>45818</v>
      </c>
    </row>
    <row r="139" spans="1:12">
      <c r="A139" t="s">
        <v>281</v>
      </c>
      <c r="B139" t="s">
        <v>115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>
        <v>9.06</v>
      </c>
      <c r="J139" s="8">
        <v>0.79290000000000005</v>
      </c>
      <c r="K139">
        <v>120000</v>
      </c>
      <c r="L139" s="2">
        <v>45810</v>
      </c>
    </row>
    <row r="140" spans="1:12">
      <c r="A140" t="s">
        <v>282</v>
      </c>
      <c r="B140" t="s">
        <v>283</v>
      </c>
      <c r="C140" t="s">
        <v>14</v>
      </c>
      <c r="D140" t="s">
        <v>32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 s="8">
        <v>0.83130000000000004</v>
      </c>
      <c r="K140">
        <v>85000</v>
      </c>
      <c r="L140" s="2">
        <v>45930</v>
      </c>
    </row>
    <row r="141" spans="1:12">
      <c r="A141" t="s">
        <v>284</v>
      </c>
      <c r="B141" t="s">
        <v>285</v>
      </c>
      <c r="C141" t="s">
        <v>14</v>
      </c>
      <c r="D141" t="s">
        <v>53</v>
      </c>
      <c r="E141" t="s">
        <v>21</v>
      </c>
      <c r="F141">
        <v>9.49</v>
      </c>
      <c r="G141">
        <v>10.18</v>
      </c>
      <c r="H141">
        <v>12.33</v>
      </c>
      <c r="I141">
        <v>9.66</v>
      </c>
      <c r="J141" s="8">
        <v>0.95430000000000004</v>
      </c>
      <c r="K141">
        <v>60000</v>
      </c>
      <c r="L141" s="2">
        <v>45676</v>
      </c>
    </row>
    <row r="142" spans="1:12">
      <c r="A142" t="s">
        <v>286</v>
      </c>
      <c r="B142" t="s">
        <v>260</v>
      </c>
      <c r="C142" t="s">
        <v>19</v>
      </c>
      <c r="D142" t="s">
        <v>32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 s="8">
        <v>0.80449999999999999</v>
      </c>
      <c r="K142">
        <v>130000</v>
      </c>
      <c r="L142" s="2">
        <v>46036</v>
      </c>
    </row>
    <row r="143" spans="1:12">
      <c r="A143" t="s">
        <v>287</v>
      </c>
      <c r="B143" t="s">
        <v>288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>
        <v>15.54</v>
      </c>
      <c r="J143" s="8">
        <v>0.85609999999999997</v>
      </c>
      <c r="K143">
        <v>75000</v>
      </c>
      <c r="L143" s="2">
        <v>46012</v>
      </c>
    </row>
    <row r="144" spans="1:12">
      <c r="A144" t="s">
        <v>289</v>
      </c>
      <c r="B144" t="s">
        <v>196</v>
      </c>
      <c r="C144" t="s">
        <v>14</v>
      </c>
      <c r="D144" t="s">
        <v>32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 s="8">
        <v>0.76539999999999997</v>
      </c>
      <c r="K144">
        <v>60000</v>
      </c>
      <c r="L144" s="2">
        <v>45859</v>
      </c>
    </row>
    <row r="145" spans="1:12">
      <c r="A145" t="s">
        <v>290</v>
      </c>
      <c r="B145" t="s">
        <v>291</v>
      </c>
      <c r="C145" t="s">
        <v>14</v>
      </c>
      <c r="D145" t="s">
        <v>20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 s="8">
        <v>0.8982</v>
      </c>
      <c r="K145">
        <v>60000</v>
      </c>
      <c r="L145" s="2">
        <v>45662</v>
      </c>
    </row>
    <row r="146" spans="1:12">
      <c r="A146" t="s">
        <v>292</v>
      </c>
      <c r="B146" t="s">
        <v>63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>
        <v>16.11</v>
      </c>
      <c r="J146" s="8">
        <v>0.72319999999999995</v>
      </c>
      <c r="K146">
        <v>75000</v>
      </c>
      <c r="L146" s="2">
        <v>45890</v>
      </c>
    </row>
    <row r="147" spans="1:12">
      <c r="A147" t="s">
        <v>293</v>
      </c>
      <c r="B147" t="s">
        <v>144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>
        <v>11.14</v>
      </c>
      <c r="J147" s="8">
        <v>0.91400000000000003</v>
      </c>
      <c r="K147">
        <v>110000</v>
      </c>
      <c r="L147" s="2">
        <v>46008</v>
      </c>
    </row>
    <row r="148" spans="1:12">
      <c r="A148" t="s">
        <v>294</v>
      </c>
      <c r="B148" t="s">
        <v>295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>
        <v>14.79</v>
      </c>
      <c r="J148" s="8">
        <v>0.81269999999999998</v>
      </c>
      <c r="K148">
        <v>80000</v>
      </c>
      <c r="L148" s="2">
        <v>45796</v>
      </c>
    </row>
    <row r="149" spans="1:12">
      <c r="A149" t="s">
        <v>296</v>
      </c>
      <c r="B149" t="s">
        <v>297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>
        <v>8.92</v>
      </c>
      <c r="J149" s="8">
        <v>0.94320000000000004</v>
      </c>
      <c r="K149">
        <v>80000</v>
      </c>
      <c r="L149" s="2">
        <v>45720</v>
      </c>
    </row>
    <row r="150" spans="1:12">
      <c r="A150" t="s">
        <v>298</v>
      </c>
      <c r="B150" t="s">
        <v>272</v>
      </c>
      <c r="C150" t="s">
        <v>19</v>
      </c>
      <c r="D150" t="s">
        <v>36</v>
      </c>
      <c r="E150" t="s">
        <v>21</v>
      </c>
      <c r="F150">
        <v>13.51</v>
      </c>
      <c r="G150">
        <v>12.63</v>
      </c>
      <c r="H150">
        <v>11.38</v>
      </c>
      <c r="I150">
        <v>13.43</v>
      </c>
      <c r="J150" s="8">
        <v>0.70140000000000002</v>
      </c>
      <c r="K150">
        <v>75000</v>
      </c>
      <c r="L150" s="2">
        <v>45890</v>
      </c>
    </row>
    <row r="151" spans="1:12">
      <c r="A151" t="s">
        <v>299</v>
      </c>
      <c r="B151" t="s">
        <v>35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>
        <v>17.48</v>
      </c>
      <c r="J151" s="8">
        <v>0.68049999999999999</v>
      </c>
      <c r="K151">
        <v>130000</v>
      </c>
      <c r="L151" s="2">
        <v>45784</v>
      </c>
    </row>
    <row r="152" spans="1:12">
      <c r="A152" t="s">
        <v>300</v>
      </c>
      <c r="B152" t="s">
        <v>301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>
        <v>12.88</v>
      </c>
      <c r="J152" s="8">
        <v>0.81130000000000002</v>
      </c>
      <c r="K152">
        <v>100000</v>
      </c>
      <c r="L152" s="2">
        <v>45816</v>
      </c>
    </row>
    <row r="153" spans="1:12">
      <c r="A153" t="s">
        <v>302</v>
      </c>
      <c r="B153" t="s">
        <v>47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>
        <v>16.5</v>
      </c>
      <c r="J153" s="8">
        <v>0.90129999999999999</v>
      </c>
      <c r="K153">
        <v>100000</v>
      </c>
      <c r="L153" s="2">
        <v>45780</v>
      </c>
    </row>
    <row r="154" spans="1:12">
      <c r="A154" t="s">
        <v>303</v>
      </c>
      <c r="B154" t="s">
        <v>180</v>
      </c>
      <c r="C154" t="s">
        <v>19</v>
      </c>
      <c r="D154" t="s">
        <v>20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 s="8">
        <v>0.74870000000000003</v>
      </c>
      <c r="K154">
        <v>80000</v>
      </c>
      <c r="L154" s="2">
        <v>45748</v>
      </c>
    </row>
    <row r="155" spans="1:12">
      <c r="A155" t="s">
        <v>304</v>
      </c>
      <c r="B155" t="s">
        <v>231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>
        <v>14.77</v>
      </c>
      <c r="J155" s="8">
        <v>0.84219999999999995</v>
      </c>
      <c r="K155">
        <v>85000</v>
      </c>
      <c r="L155" s="2">
        <v>46037</v>
      </c>
    </row>
    <row r="156" spans="1:12">
      <c r="A156" t="s">
        <v>305</v>
      </c>
      <c r="B156" t="s">
        <v>288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>
        <v>16.010000000000002</v>
      </c>
      <c r="J156" s="8">
        <v>0.71230000000000004</v>
      </c>
      <c r="K156">
        <v>120000</v>
      </c>
      <c r="L156" s="2">
        <v>45858</v>
      </c>
    </row>
    <row r="157" spans="1:12">
      <c r="A157" t="s">
        <v>306</v>
      </c>
      <c r="B157" t="s">
        <v>307</v>
      </c>
      <c r="C157" t="s">
        <v>19</v>
      </c>
      <c r="D157" t="s">
        <v>36</v>
      </c>
      <c r="E157" t="s">
        <v>29</v>
      </c>
      <c r="F157">
        <v>9.59</v>
      </c>
      <c r="G157">
        <v>11.89</v>
      </c>
      <c r="H157">
        <v>5.9</v>
      </c>
      <c r="I157">
        <v>6.29</v>
      </c>
      <c r="J157" s="8">
        <v>0.89759999999999995</v>
      </c>
      <c r="K157">
        <v>100000</v>
      </c>
      <c r="L157" s="2">
        <v>45862</v>
      </c>
    </row>
    <row r="158" spans="1:12">
      <c r="A158" t="s">
        <v>308</v>
      </c>
      <c r="B158" t="s">
        <v>152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>
        <v>14.04</v>
      </c>
      <c r="J158" s="8">
        <v>0.92930000000000001</v>
      </c>
      <c r="K158">
        <v>110000</v>
      </c>
      <c r="L158" s="2">
        <v>45993</v>
      </c>
    </row>
    <row r="159" spans="1:12">
      <c r="A159" t="s">
        <v>309</v>
      </c>
      <c r="B159" t="s">
        <v>310</v>
      </c>
      <c r="C159" t="s">
        <v>19</v>
      </c>
      <c r="D159" t="s">
        <v>36</v>
      </c>
      <c r="E159" t="s">
        <v>21</v>
      </c>
      <c r="F159">
        <v>11.93</v>
      </c>
      <c r="G159">
        <v>13.54</v>
      </c>
      <c r="H159">
        <v>11.22</v>
      </c>
      <c r="I159">
        <v>12.15</v>
      </c>
      <c r="J159" s="8">
        <v>0.82089999999999996</v>
      </c>
      <c r="K159">
        <v>50000</v>
      </c>
      <c r="L159" s="2">
        <v>45788</v>
      </c>
    </row>
    <row r="160" spans="1:12">
      <c r="A160" t="s">
        <v>311</v>
      </c>
      <c r="B160" t="s">
        <v>224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>
        <v>10.64</v>
      </c>
      <c r="J160" s="8">
        <v>0.6431</v>
      </c>
      <c r="K160">
        <v>120000</v>
      </c>
      <c r="L160" s="2">
        <v>45606</v>
      </c>
    </row>
    <row r="161" spans="1:12">
      <c r="A161" t="s">
        <v>312</v>
      </c>
      <c r="B161" t="s">
        <v>313</v>
      </c>
      <c r="C161" t="s">
        <v>19</v>
      </c>
      <c r="D161" t="s">
        <v>36</v>
      </c>
      <c r="E161" t="s">
        <v>29</v>
      </c>
      <c r="F161">
        <v>17.34</v>
      </c>
      <c r="G161">
        <v>17.350000000000001</v>
      </c>
      <c r="H161">
        <v>15.47</v>
      </c>
      <c r="I161">
        <v>19.100000000000001</v>
      </c>
      <c r="J161" s="8">
        <v>0.83650000000000002</v>
      </c>
      <c r="K161">
        <v>130000</v>
      </c>
      <c r="L161" s="2">
        <v>46132</v>
      </c>
    </row>
    <row r="162" spans="1:12">
      <c r="A162" t="s">
        <v>314</v>
      </c>
      <c r="B162" t="s">
        <v>315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>
        <v>15.82</v>
      </c>
      <c r="J162" s="8">
        <v>0.91639999999999999</v>
      </c>
      <c r="K162">
        <v>100000</v>
      </c>
      <c r="L162" s="2">
        <v>45574</v>
      </c>
    </row>
    <row r="163" spans="1:12">
      <c r="A163" t="s">
        <v>316</v>
      </c>
      <c r="B163" t="s">
        <v>317</v>
      </c>
      <c r="C163" t="s">
        <v>19</v>
      </c>
      <c r="D163" t="s">
        <v>36</v>
      </c>
      <c r="E163" t="s">
        <v>21</v>
      </c>
      <c r="F163">
        <v>14.71</v>
      </c>
      <c r="G163">
        <v>11.81</v>
      </c>
      <c r="H163">
        <v>8.17</v>
      </c>
      <c r="I163">
        <v>15</v>
      </c>
      <c r="J163" s="8">
        <v>0.74680000000000002</v>
      </c>
      <c r="K163">
        <v>130000</v>
      </c>
      <c r="L163" s="2">
        <v>45936</v>
      </c>
    </row>
    <row r="164" spans="1:12">
      <c r="A164" t="s">
        <v>318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>
        <v>7.23</v>
      </c>
      <c r="J164" s="8">
        <v>0.91080000000000005</v>
      </c>
      <c r="K164">
        <v>90000</v>
      </c>
      <c r="L164" s="2">
        <v>45722</v>
      </c>
    </row>
    <row r="165" spans="1:12">
      <c r="A165" t="s">
        <v>319</v>
      </c>
      <c r="B165" t="s">
        <v>320</v>
      </c>
      <c r="C165" t="s">
        <v>14</v>
      </c>
      <c r="D165" t="s">
        <v>36</v>
      </c>
      <c r="E165" t="s">
        <v>16</v>
      </c>
      <c r="F165">
        <v>10.18</v>
      </c>
      <c r="G165">
        <v>10.91</v>
      </c>
      <c r="H165">
        <v>8.77</v>
      </c>
      <c r="I165">
        <v>12.82</v>
      </c>
      <c r="J165" s="8">
        <v>0.9526</v>
      </c>
      <c r="K165">
        <v>75000</v>
      </c>
      <c r="L165" s="2">
        <v>45685</v>
      </c>
    </row>
    <row r="166" spans="1:12">
      <c r="A166" t="s">
        <v>321</v>
      </c>
      <c r="B166" t="s">
        <v>285</v>
      </c>
      <c r="C166" t="s">
        <v>14</v>
      </c>
      <c r="D166" t="s">
        <v>53</v>
      </c>
      <c r="E166" t="s">
        <v>29</v>
      </c>
      <c r="F166">
        <v>15.02</v>
      </c>
      <c r="G166">
        <v>14.73</v>
      </c>
      <c r="H166">
        <v>10.6</v>
      </c>
      <c r="I166">
        <v>14.57</v>
      </c>
      <c r="J166" s="8">
        <v>0.55000000000000004</v>
      </c>
      <c r="K166">
        <v>90000</v>
      </c>
      <c r="L166" s="2">
        <v>45565</v>
      </c>
    </row>
    <row r="167" spans="1:12">
      <c r="A167" t="s">
        <v>322</v>
      </c>
      <c r="B167" t="s">
        <v>323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>
        <v>11.29</v>
      </c>
      <c r="J167" s="8">
        <v>0.86670000000000003</v>
      </c>
      <c r="K167">
        <v>90000</v>
      </c>
      <c r="L167" s="2">
        <v>46166</v>
      </c>
    </row>
    <row r="168" spans="1:12">
      <c r="A168" t="s">
        <v>324</v>
      </c>
      <c r="B168" t="s">
        <v>325</v>
      </c>
      <c r="C168" t="s">
        <v>14</v>
      </c>
      <c r="D168" t="s">
        <v>36</v>
      </c>
      <c r="E168" t="s">
        <v>29</v>
      </c>
      <c r="F168">
        <v>15.57</v>
      </c>
      <c r="G168">
        <v>15.62</v>
      </c>
      <c r="H168">
        <v>19.28</v>
      </c>
      <c r="I168">
        <v>15.74</v>
      </c>
      <c r="J168" s="8">
        <v>0.76029999999999998</v>
      </c>
      <c r="K168">
        <v>60000</v>
      </c>
      <c r="L168" s="2">
        <v>45836</v>
      </c>
    </row>
    <row r="169" spans="1:12">
      <c r="A169" t="s">
        <v>326</v>
      </c>
      <c r="B169" t="s">
        <v>88</v>
      </c>
      <c r="C169" t="s">
        <v>14</v>
      </c>
      <c r="D169" t="s">
        <v>53</v>
      </c>
      <c r="E169" t="s">
        <v>21</v>
      </c>
      <c r="F169">
        <v>9.26</v>
      </c>
      <c r="G169">
        <v>11.82</v>
      </c>
      <c r="H169">
        <v>14.8</v>
      </c>
      <c r="I169">
        <v>11.54</v>
      </c>
      <c r="J169" s="8">
        <v>0.93049999999999999</v>
      </c>
      <c r="K169">
        <v>70000</v>
      </c>
      <c r="L169" s="2">
        <v>45775</v>
      </c>
    </row>
    <row r="170" spans="1:12">
      <c r="A170" t="s">
        <v>327</v>
      </c>
      <c r="B170" t="s">
        <v>231</v>
      </c>
      <c r="C170" t="s">
        <v>14</v>
      </c>
      <c r="D170" t="s">
        <v>32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 s="8">
        <v>0.85829999999999995</v>
      </c>
      <c r="K170">
        <v>75000</v>
      </c>
      <c r="L170" s="2">
        <v>46054</v>
      </c>
    </row>
    <row r="171" spans="1:12">
      <c r="A171" t="s">
        <v>328</v>
      </c>
      <c r="B171" t="s">
        <v>329</v>
      </c>
      <c r="C171" t="s">
        <v>14</v>
      </c>
      <c r="D171" t="s">
        <v>53</v>
      </c>
      <c r="E171" t="s">
        <v>21</v>
      </c>
      <c r="F171">
        <v>15.33</v>
      </c>
      <c r="G171">
        <v>18.54</v>
      </c>
      <c r="H171">
        <v>12.36</v>
      </c>
      <c r="I171">
        <v>13.48</v>
      </c>
      <c r="J171" s="8">
        <v>0.8236</v>
      </c>
      <c r="K171">
        <v>90000</v>
      </c>
      <c r="L171" s="2">
        <v>45563</v>
      </c>
    </row>
    <row r="172" spans="1:12">
      <c r="A172" t="s">
        <v>330</v>
      </c>
      <c r="B172" t="s">
        <v>331</v>
      </c>
      <c r="C172" t="s">
        <v>14</v>
      </c>
      <c r="D172" t="s">
        <v>32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 s="8">
        <v>0.90839999999999999</v>
      </c>
      <c r="K172">
        <v>60000</v>
      </c>
      <c r="L172" s="2">
        <v>45931</v>
      </c>
    </row>
    <row r="173" spans="1:12">
      <c r="A173" t="s">
        <v>332</v>
      </c>
      <c r="B173" t="s">
        <v>161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>
        <v>9.44</v>
      </c>
      <c r="J173" s="8">
        <v>0.91259999999999997</v>
      </c>
      <c r="K173">
        <v>110000</v>
      </c>
      <c r="L173" s="2">
        <v>45882</v>
      </c>
    </row>
    <row r="174" spans="1:12">
      <c r="A174" t="s">
        <v>333</v>
      </c>
      <c r="B174" t="s">
        <v>313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>
        <v>15.24</v>
      </c>
      <c r="J174" s="8">
        <v>0.94269999999999998</v>
      </c>
      <c r="K174">
        <v>60000</v>
      </c>
      <c r="L174" s="2">
        <v>45923</v>
      </c>
    </row>
    <row r="175" spans="1:12">
      <c r="A175" t="s">
        <v>334</v>
      </c>
      <c r="B175" t="s">
        <v>119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>
        <v>17.010000000000002</v>
      </c>
      <c r="J175" s="8">
        <v>0.85809999999999997</v>
      </c>
      <c r="K175">
        <v>130000</v>
      </c>
      <c r="L175" s="2">
        <v>45622</v>
      </c>
    </row>
    <row r="176" spans="1:12">
      <c r="A176" t="s">
        <v>335</v>
      </c>
      <c r="B176" t="s">
        <v>104</v>
      </c>
      <c r="C176" t="s">
        <v>19</v>
      </c>
      <c r="D176" t="s">
        <v>53</v>
      </c>
      <c r="E176" t="s">
        <v>16</v>
      </c>
      <c r="F176">
        <v>8.2200000000000006</v>
      </c>
      <c r="G176">
        <v>8.5299999999999994</v>
      </c>
      <c r="H176">
        <v>8.23</v>
      </c>
      <c r="I176">
        <v>7.63</v>
      </c>
      <c r="J176" s="8">
        <v>0.71509999999999996</v>
      </c>
      <c r="K176">
        <v>100000</v>
      </c>
      <c r="L176" s="2">
        <v>46202</v>
      </c>
    </row>
    <row r="177" spans="1:12">
      <c r="A177" t="s">
        <v>336</v>
      </c>
      <c r="B177" t="s">
        <v>337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>
        <v>10.52</v>
      </c>
      <c r="J177" s="8">
        <v>0.93520000000000003</v>
      </c>
      <c r="K177">
        <v>75000</v>
      </c>
      <c r="L177" s="2">
        <v>45702</v>
      </c>
    </row>
    <row r="178" spans="1:12">
      <c r="A178" t="s">
        <v>338</v>
      </c>
      <c r="B178" t="s">
        <v>146</v>
      </c>
      <c r="C178" t="s">
        <v>19</v>
      </c>
      <c r="D178" t="s">
        <v>36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 s="8">
        <v>0.83160000000000001</v>
      </c>
      <c r="K178">
        <v>80000</v>
      </c>
      <c r="L178" s="2">
        <v>46010</v>
      </c>
    </row>
    <row r="179" spans="1:12">
      <c r="A179" t="s">
        <v>339</v>
      </c>
      <c r="B179" t="s">
        <v>340</v>
      </c>
      <c r="C179" t="s">
        <v>14</v>
      </c>
      <c r="D179" t="s">
        <v>36</v>
      </c>
      <c r="E179" t="s">
        <v>29</v>
      </c>
      <c r="F179">
        <v>15.34</v>
      </c>
      <c r="G179">
        <v>19.03</v>
      </c>
      <c r="H179">
        <v>11.89</v>
      </c>
      <c r="I179">
        <v>13.34</v>
      </c>
      <c r="J179" s="8">
        <v>0.91769999999999996</v>
      </c>
      <c r="K179">
        <v>100000</v>
      </c>
      <c r="L179" s="2">
        <v>46058</v>
      </c>
    </row>
    <row r="180" spans="1:12">
      <c r="A180" t="s">
        <v>341</v>
      </c>
      <c r="B180" t="s">
        <v>342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>
        <v>14.96</v>
      </c>
      <c r="J180" s="8">
        <v>0.77470000000000006</v>
      </c>
      <c r="K180">
        <v>50000</v>
      </c>
      <c r="L180" s="2">
        <v>45776</v>
      </c>
    </row>
    <row r="181" spans="1:12">
      <c r="A181" t="s">
        <v>343</v>
      </c>
      <c r="B181" t="s">
        <v>344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>
        <v>15.56</v>
      </c>
      <c r="J181" s="8">
        <v>0.74880000000000002</v>
      </c>
      <c r="K181">
        <v>100000</v>
      </c>
      <c r="L181" s="2">
        <v>45627</v>
      </c>
    </row>
    <row r="182" spans="1:12">
      <c r="A182" t="s">
        <v>345</v>
      </c>
      <c r="B182" t="s">
        <v>346</v>
      </c>
      <c r="C182" t="s">
        <v>19</v>
      </c>
      <c r="D182" t="s">
        <v>53</v>
      </c>
      <c r="E182" t="s">
        <v>16</v>
      </c>
      <c r="F182">
        <v>13.67</v>
      </c>
      <c r="G182">
        <v>10.89</v>
      </c>
      <c r="H182">
        <v>11.91</v>
      </c>
      <c r="I182">
        <v>15.05</v>
      </c>
      <c r="J182" s="8">
        <v>0.74060000000000004</v>
      </c>
      <c r="K182">
        <v>90000</v>
      </c>
      <c r="L182" s="2">
        <v>45743</v>
      </c>
    </row>
    <row r="183" spans="1:12">
      <c r="A183" t="s">
        <v>347</v>
      </c>
      <c r="B183" t="s">
        <v>231</v>
      </c>
      <c r="C183" t="s">
        <v>14</v>
      </c>
      <c r="D183" t="s">
        <v>36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 s="8">
        <v>0.88170000000000004</v>
      </c>
      <c r="K183">
        <v>70000</v>
      </c>
      <c r="L183" s="2">
        <v>46100</v>
      </c>
    </row>
    <row r="184" spans="1:12">
      <c r="A184" t="s">
        <v>348</v>
      </c>
      <c r="B184" t="s">
        <v>235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>
        <v>17.54</v>
      </c>
      <c r="J184" s="8">
        <v>0.83099999999999996</v>
      </c>
      <c r="K184">
        <v>120000</v>
      </c>
      <c r="L184" s="2">
        <v>46170</v>
      </c>
    </row>
    <row r="185" spans="1:12">
      <c r="A185" t="s">
        <v>349</v>
      </c>
      <c r="B185" t="s">
        <v>270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>
        <v>16.18</v>
      </c>
      <c r="J185" s="8">
        <v>0.90920000000000001</v>
      </c>
      <c r="K185">
        <v>90000</v>
      </c>
      <c r="L185" s="2">
        <v>46191</v>
      </c>
    </row>
    <row r="186" spans="1:12">
      <c r="A186" t="s">
        <v>350</v>
      </c>
      <c r="B186" t="s">
        <v>351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>
        <v>15.69</v>
      </c>
      <c r="J186" s="8">
        <v>0.89990000000000003</v>
      </c>
      <c r="K186">
        <v>60000</v>
      </c>
      <c r="L186" s="2">
        <v>45694</v>
      </c>
    </row>
    <row r="187" spans="1:12">
      <c r="A187" t="s">
        <v>352</v>
      </c>
      <c r="B187" t="s">
        <v>115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>
        <v>13.86</v>
      </c>
      <c r="J187" s="8">
        <v>0.77890000000000004</v>
      </c>
      <c r="K187">
        <v>100000</v>
      </c>
      <c r="L187" s="2">
        <v>45960</v>
      </c>
    </row>
    <row r="188" spans="1:12">
      <c r="A188" t="s">
        <v>353</v>
      </c>
      <c r="B188" t="s">
        <v>354</v>
      </c>
      <c r="C188" t="s">
        <v>14</v>
      </c>
      <c r="D188" t="s">
        <v>53</v>
      </c>
      <c r="E188" t="s">
        <v>21</v>
      </c>
      <c r="F188">
        <v>6.61</v>
      </c>
      <c r="G188">
        <v>14.29</v>
      </c>
      <c r="H188">
        <v>11.55</v>
      </c>
      <c r="I188">
        <v>12.75</v>
      </c>
      <c r="J188" s="8">
        <v>0.77200000000000002</v>
      </c>
      <c r="K188">
        <v>80000</v>
      </c>
      <c r="L188" s="2">
        <v>45641</v>
      </c>
    </row>
    <row r="189" spans="1:12">
      <c r="A189" t="s">
        <v>355</v>
      </c>
      <c r="B189" t="s">
        <v>47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>
        <v>16.11</v>
      </c>
      <c r="J189" s="8">
        <v>0.83209999999999995</v>
      </c>
      <c r="K189">
        <v>110000</v>
      </c>
      <c r="L189" s="2">
        <v>46033</v>
      </c>
    </row>
    <row r="190" spans="1:12">
      <c r="A190" t="s">
        <v>356</v>
      </c>
      <c r="B190" t="s">
        <v>357</v>
      </c>
      <c r="C190" t="s">
        <v>14</v>
      </c>
      <c r="D190" t="s">
        <v>28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 s="8">
        <v>0.90059999999999996</v>
      </c>
      <c r="K190">
        <v>85000</v>
      </c>
      <c r="L190" s="2">
        <v>45827</v>
      </c>
    </row>
    <row r="191" spans="1:12">
      <c r="A191" t="s">
        <v>358</v>
      </c>
      <c r="B191" t="s">
        <v>359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>
        <v>14.64</v>
      </c>
      <c r="J191" s="8">
        <v>0.96360000000000001</v>
      </c>
      <c r="K191">
        <v>130000</v>
      </c>
      <c r="L191" s="2">
        <v>46035</v>
      </c>
    </row>
    <row r="192" spans="1:12">
      <c r="A192" t="s">
        <v>360</v>
      </c>
      <c r="B192" t="s">
        <v>270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>
        <v>15.36</v>
      </c>
      <c r="J192" s="8">
        <v>0.6754</v>
      </c>
      <c r="K192">
        <v>130000</v>
      </c>
      <c r="L192" s="2">
        <v>46015</v>
      </c>
    </row>
    <row r="193" spans="1:12">
      <c r="A193" t="s">
        <v>361</v>
      </c>
      <c r="B193" t="s">
        <v>362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>
        <v>8.7200000000000006</v>
      </c>
      <c r="J193" s="8">
        <v>0.97640000000000005</v>
      </c>
      <c r="K193">
        <v>50000</v>
      </c>
      <c r="L193" s="2">
        <v>46230</v>
      </c>
    </row>
    <row r="194" spans="1:12">
      <c r="A194" t="s">
        <v>363</v>
      </c>
      <c r="B194" t="s">
        <v>127</v>
      </c>
      <c r="C194" t="s">
        <v>19</v>
      </c>
      <c r="D194" t="s">
        <v>15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 s="8">
        <v>0.91849999999999998</v>
      </c>
      <c r="K194">
        <v>80000</v>
      </c>
      <c r="L194" s="2">
        <v>45878</v>
      </c>
    </row>
    <row r="195" spans="1:12">
      <c r="A195" t="s">
        <v>364</v>
      </c>
      <c r="B195" t="s">
        <v>100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>
        <v>10.49</v>
      </c>
      <c r="J195" s="8">
        <v>0.72919999999999996</v>
      </c>
      <c r="K195">
        <v>70000</v>
      </c>
      <c r="L195" s="2">
        <v>45775</v>
      </c>
    </row>
    <row r="196" spans="1:12">
      <c r="A196" t="s">
        <v>365</v>
      </c>
      <c r="B196" t="s">
        <v>366</v>
      </c>
      <c r="C196" t="s">
        <v>19</v>
      </c>
      <c r="D196" t="s">
        <v>53</v>
      </c>
      <c r="E196" t="s">
        <v>29</v>
      </c>
      <c r="F196">
        <v>10.7</v>
      </c>
      <c r="G196">
        <v>16.510000000000002</v>
      </c>
      <c r="H196">
        <v>13.65</v>
      </c>
      <c r="I196">
        <v>9.1</v>
      </c>
      <c r="J196" s="8">
        <v>0.76680000000000004</v>
      </c>
      <c r="K196">
        <v>80000</v>
      </c>
      <c r="L196" s="2">
        <v>45904</v>
      </c>
    </row>
    <row r="197" spans="1:12">
      <c r="A197" t="s">
        <v>367</v>
      </c>
      <c r="B197" t="s">
        <v>331</v>
      </c>
      <c r="C197" t="s">
        <v>14</v>
      </c>
      <c r="D197" t="s">
        <v>36</v>
      </c>
      <c r="E197" t="s">
        <v>16</v>
      </c>
      <c r="F197">
        <v>11.45</v>
      </c>
      <c r="G197">
        <v>14.48</v>
      </c>
      <c r="H197">
        <v>16.18</v>
      </c>
      <c r="I197">
        <v>12.43</v>
      </c>
      <c r="J197" s="8">
        <v>0.74980000000000002</v>
      </c>
      <c r="K197">
        <v>60000</v>
      </c>
      <c r="L197" s="2">
        <v>45649</v>
      </c>
    </row>
    <row r="198" spans="1:12">
      <c r="A198" t="s">
        <v>368</v>
      </c>
      <c r="B198" t="s">
        <v>283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>
        <v>9.61</v>
      </c>
      <c r="J198" s="8">
        <v>0.8337</v>
      </c>
      <c r="K198">
        <v>85000</v>
      </c>
      <c r="L198" s="2">
        <v>45614</v>
      </c>
    </row>
    <row r="199" spans="1:12">
      <c r="A199" t="s">
        <v>369</v>
      </c>
      <c r="B199" t="s">
        <v>370</v>
      </c>
      <c r="C199" t="s">
        <v>14</v>
      </c>
      <c r="D199" t="s">
        <v>32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 s="8">
        <v>0.94599999999999995</v>
      </c>
      <c r="K199">
        <v>60000</v>
      </c>
      <c r="L199" s="2">
        <v>45899</v>
      </c>
    </row>
    <row r="200" spans="1:12">
      <c r="A200" t="s">
        <v>371</v>
      </c>
      <c r="B200" t="s">
        <v>372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>
        <v>10.199999999999999</v>
      </c>
      <c r="J200" s="8">
        <v>0.93899999999999995</v>
      </c>
      <c r="K200">
        <v>90000</v>
      </c>
      <c r="L200" s="2">
        <v>46113</v>
      </c>
    </row>
    <row r="201" spans="1:12">
      <c r="A201" t="s">
        <v>373</v>
      </c>
      <c r="B201" t="s">
        <v>272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>
        <v>17.18</v>
      </c>
      <c r="J201" s="8">
        <v>0.61180000000000001</v>
      </c>
      <c r="K201">
        <v>80000</v>
      </c>
      <c r="L201" s="2">
        <v>45909</v>
      </c>
    </row>
    <row r="202" spans="1:12">
      <c r="A202" t="s">
        <v>374</v>
      </c>
      <c r="B202" t="s">
        <v>194</v>
      </c>
      <c r="C202" t="s">
        <v>14</v>
      </c>
      <c r="D202" t="s">
        <v>15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 s="8">
        <v>0.67989999999999995</v>
      </c>
      <c r="K202">
        <v>130000</v>
      </c>
      <c r="L202" s="2">
        <v>46083</v>
      </c>
    </row>
    <row r="203" spans="1:12">
      <c r="A203" t="s">
        <v>375</v>
      </c>
      <c r="B203" t="s">
        <v>376</v>
      </c>
      <c r="C203" t="s">
        <v>19</v>
      </c>
      <c r="D203" t="s">
        <v>20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 s="8">
        <v>0.74199999999999999</v>
      </c>
      <c r="K203">
        <v>120000</v>
      </c>
      <c r="L203" s="2">
        <v>45660</v>
      </c>
    </row>
    <row r="204" spans="1:12">
      <c r="A204" t="s">
        <v>377</v>
      </c>
      <c r="B204" t="s">
        <v>378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>
        <v>8.76</v>
      </c>
      <c r="J204" s="8">
        <v>0.77929999999999999</v>
      </c>
      <c r="K204">
        <v>90000</v>
      </c>
      <c r="L204" s="2">
        <v>45850</v>
      </c>
    </row>
    <row r="205" spans="1:12">
      <c r="A205" t="s">
        <v>379</v>
      </c>
      <c r="B205" t="s">
        <v>380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>
        <v>10.96</v>
      </c>
      <c r="J205" s="8">
        <v>0.89129999999999998</v>
      </c>
      <c r="K205">
        <v>80000</v>
      </c>
      <c r="L205" s="2">
        <v>45965</v>
      </c>
    </row>
    <row r="206" spans="1:12">
      <c r="A206" t="s">
        <v>381</v>
      </c>
      <c r="B206" t="s">
        <v>382</v>
      </c>
      <c r="C206" t="s">
        <v>14</v>
      </c>
      <c r="D206" t="s">
        <v>53</v>
      </c>
      <c r="E206" t="s">
        <v>21</v>
      </c>
      <c r="F206">
        <v>9.8000000000000007</v>
      </c>
      <c r="G206">
        <v>7.43</v>
      </c>
      <c r="H206">
        <v>7.73</v>
      </c>
      <c r="I206">
        <v>7.93</v>
      </c>
      <c r="J206" s="8">
        <v>0.57250000000000001</v>
      </c>
      <c r="K206">
        <v>100000</v>
      </c>
      <c r="L206" s="2">
        <v>45779</v>
      </c>
    </row>
    <row r="207" spans="1:12">
      <c r="A207" t="s">
        <v>383</v>
      </c>
      <c r="B207" t="s">
        <v>378</v>
      </c>
      <c r="C207" t="s">
        <v>14</v>
      </c>
      <c r="D207" t="s">
        <v>15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 s="8">
        <v>0.86299999999999999</v>
      </c>
      <c r="K207">
        <v>100000</v>
      </c>
      <c r="L207" s="2">
        <v>45545</v>
      </c>
    </row>
    <row r="208" spans="1:12">
      <c r="A208" t="s">
        <v>384</v>
      </c>
      <c r="B208" t="s">
        <v>129</v>
      </c>
      <c r="C208" t="s">
        <v>19</v>
      </c>
      <c r="D208" t="s">
        <v>15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 s="8">
        <v>0.97829999999999995</v>
      </c>
      <c r="K208">
        <v>60000</v>
      </c>
      <c r="L208" s="2">
        <v>45587</v>
      </c>
    </row>
    <row r="209" spans="1:12">
      <c r="A209" t="s">
        <v>385</v>
      </c>
      <c r="B209" t="s">
        <v>386</v>
      </c>
      <c r="C209" t="s">
        <v>19</v>
      </c>
      <c r="D209" t="s">
        <v>28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 s="8">
        <v>0.98960000000000004</v>
      </c>
      <c r="K209">
        <v>80000</v>
      </c>
      <c r="L209" s="2">
        <v>46185</v>
      </c>
    </row>
    <row r="210" spans="1:12">
      <c r="A210" t="s">
        <v>387</v>
      </c>
      <c r="B210" t="s">
        <v>388</v>
      </c>
      <c r="C210" t="s">
        <v>14</v>
      </c>
      <c r="D210" t="s">
        <v>53</v>
      </c>
      <c r="E210" t="s">
        <v>29</v>
      </c>
      <c r="F210">
        <v>8.5500000000000007</v>
      </c>
      <c r="G210">
        <v>10</v>
      </c>
      <c r="H210">
        <v>12.05</v>
      </c>
      <c r="I210">
        <v>7.22</v>
      </c>
      <c r="J210" s="8">
        <v>0.90839999999999999</v>
      </c>
      <c r="K210">
        <v>130000</v>
      </c>
      <c r="L210" s="2">
        <v>45959</v>
      </c>
    </row>
    <row r="211" spans="1:12">
      <c r="A211" t="s">
        <v>389</v>
      </c>
      <c r="B211" t="s">
        <v>31</v>
      </c>
      <c r="C211" t="s">
        <v>19</v>
      </c>
      <c r="D211" t="s">
        <v>53</v>
      </c>
      <c r="E211" t="s">
        <v>29</v>
      </c>
      <c r="F211">
        <v>9.2200000000000006</v>
      </c>
      <c r="G211">
        <v>11.95</v>
      </c>
      <c r="H211">
        <v>11.1</v>
      </c>
      <c r="I211">
        <v>10.08</v>
      </c>
      <c r="J211" s="8">
        <v>0.64800000000000002</v>
      </c>
      <c r="K211">
        <v>75000</v>
      </c>
      <c r="L211" s="2">
        <v>45721</v>
      </c>
    </row>
    <row r="212" spans="1:12">
      <c r="A212" t="s">
        <v>390</v>
      </c>
      <c r="B212" t="s">
        <v>161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>
        <v>13.86</v>
      </c>
      <c r="J212" s="8">
        <v>0.79520000000000002</v>
      </c>
      <c r="K212">
        <v>50000</v>
      </c>
      <c r="L212" s="2">
        <v>45717</v>
      </c>
    </row>
    <row r="213" spans="1:12">
      <c r="A213" t="s">
        <v>391</v>
      </c>
      <c r="B213" t="s">
        <v>392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>
        <v>14.75</v>
      </c>
      <c r="J213" s="8">
        <v>0.76449999999999996</v>
      </c>
      <c r="K213">
        <v>120000</v>
      </c>
      <c r="L213" s="2">
        <v>45563</v>
      </c>
    </row>
    <row r="214" spans="1:12">
      <c r="A214" t="s">
        <v>393</v>
      </c>
      <c r="B214" t="s">
        <v>113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>
        <v>14.15</v>
      </c>
      <c r="J214" s="8">
        <v>0.84589999999999999</v>
      </c>
      <c r="K214">
        <v>130000</v>
      </c>
      <c r="L214" s="2">
        <v>46197</v>
      </c>
    </row>
    <row r="215" spans="1:12">
      <c r="A215" t="s">
        <v>394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>
        <v>8.77</v>
      </c>
      <c r="J215" s="8">
        <v>0.97270000000000001</v>
      </c>
      <c r="K215">
        <v>100000</v>
      </c>
      <c r="L215" s="2">
        <v>45611</v>
      </c>
    </row>
    <row r="216" spans="1:12">
      <c r="A216" t="s">
        <v>395</v>
      </c>
      <c r="B216" t="s">
        <v>81</v>
      </c>
      <c r="C216" t="s">
        <v>19</v>
      </c>
      <c r="D216" t="s">
        <v>36</v>
      </c>
      <c r="E216" t="s">
        <v>29</v>
      </c>
      <c r="F216">
        <v>13.58</v>
      </c>
      <c r="G216">
        <v>15.11</v>
      </c>
      <c r="H216">
        <v>17.71</v>
      </c>
      <c r="I216">
        <v>15.02</v>
      </c>
      <c r="J216" s="8">
        <v>0.89070000000000005</v>
      </c>
      <c r="K216">
        <v>90000</v>
      </c>
      <c r="L216" s="2">
        <v>46067</v>
      </c>
    </row>
    <row r="217" spans="1:12">
      <c r="A217" t="s">
        <v>396</v>
      </c>
      <c r="B217" t="s">
        <v>92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>
        <v>16.68</v>
      </c>
      <c r="J217" s="8">
        <v>0.79590000000000005</v>
      </c>
      <c r="K217">
        <v>75000</v>
      </c>
      <c r="L217" s="2">
        <v>45704</v>
      </c>
    </row>
    <row r="218" spans="1:12">
      <c r="A218" t="s">
        <v>397</v>
      </c>
      <c r="B218" t="s">
        <v>133</v>
      </c>
      <c r="C218" t="s">
        <v>14</v>
      </c>
      <c r="D218" t="s">
        <v>28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 s="8">
        <v>0.55000000000000004</v>
      </c>
      <c r="K218">
        <v>75000</v>
      </c>
      <c r="L218" s="2">
        <v>45770</v>
      </c>
    </row>
    <row r="219" spans="1:12">
      <c r="A219" t="s">
        <v>398</v>
      </c>
      <c r="B219" t="s">
        <v>274</v>
      </c>
      <c r="C219" t="s">
        <v>14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 s="8">
        <v>0.92500000000000004</v>
      </c>
      <c r="K219">
        <v>130000</v>
      </c>
      <c r="L219" s="2">
        <v>45727</v>
      </c>
    </row>
    <row r="220" spans="1:12">
      <c r="A220" t="s">
        <v>399</v>
      </c>
      <c r="B220" t="s">
        <v>372</v>
      </c>
      <c r="C220" t="s">
        <v>14</v>
      </c>
      <c r="D220" t="s">
        <v>36</v>
      </c>
      <c r="E220" t="s">
        <v>16</v>
      </c>
      <c r="F220">
        <v>7.43</v>
      </c>
      <c r="G220">
        <v>8.77</v>
      </c>
      <c r="H220">
        <v>9.5500000000000007</v>
      </c>
      <c r="I220">
        <v>16.79</v>
      </c>
      <c r="J220" s="8">
        <v>0.86780000000000002</v>
      </c>
      <c r="K220">
        <v>120000</v>
      </c>
      <c r="L220" s="2">
        <v>46113</v>
      </c>
    </row>
    <row r="221" spans="1:12">
      <c r="A221" t="s">
        <v>400</v>
      </c>
      <c r="B221" t="s">
        <v>173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>
        <v>13.44</v>
      </c>
      <c r="J221" s="8">
        <v>0.7833</v>
      </c>
      <c r="K221">
        <v>85000</v>
      </c>
      <c r="L221" s="2">
        <v>45558</v>
      </c>
    </row>
    <row r="222" spans="1:12">
      <c r="A222" t="s">
        <v>401</v>
      </c>
      <c r="B222" t="s">
        <v>331</v>
      </c>
      <c r="C222" t="s">
        <v>14</v>
      </c>
      <c r="D222" t="s">
        <v>20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 s="8">
        <v>0.71450000000000002</v>
      </c>
      <c r="K222">
        <v>75000</v>
      </c>
      <c r="L222" s="2">
        <v>45782</v>
      </c>
    </row>
    <row r="223" spans="1:12">
      <c r="A223" t="s">
        <v>402</v>
      </c>
      <c r="B223" t="s">
        <v>202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>
        <v>16.97</v>
      </c>
      <c r="J223" s="8">
        <v>0.59699999999999998</v>
      </c>
      <c r="K223">
        <v>70000</v>
      </c>
      <c r="L223" s="2">
        <v>45731</v>
      </c>
    </row>
    <row r="224" spans="1:12">
      <c r="A224" t="s">
        <v>403</v>
      </c>
      <c r="B224" t="s">
        <v>404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>
        <v>11</v>
      </c>
      <c r="J224" s="8">
        <v>0.76500000000000001</v>
      </c>
      <c r="K224">
        <v>50000</v>
      </c>
      <c r="L224" s="2">
        <v>45727</v>
      </c>
    </row>
    <row r="225" spans="1:12">
      <c r="A225" t="s">
        <v>405</v>
      </c>
      <c r="B225" t="s">
        <v>406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>
        <v>19.690000000000001</v>
      </c>
      <c r="J225" s="8">
        <v>0.86499999999999999</v>
      </c>
      <c r="K225">
        <v>85000</v>
      </c>
      <c r="L225" s="2">
        <v>45671</v>
      </c>
    </row>
    <row r="226" spans="1:12">
      <c r="A226" t="s">
        <v>407</v>
      </c>
      <c r="B226" t="s">
        <v>408</v>
      </c>
      <c r="C226" t="s">
        <v>19</v>
      </c>
      <c r="D226" t="s">
        <v>53</v>
      </c>
      <c r="E226" t="s">
        <v>29</v>
      </c>
      <c r="F226">
        <v>19.45</v>
      </c>
      <c r="G226">
        <v>13.02</v>
      </c>
      <c r="H226">
        <v>18.62</v>
      </c>
      <c r="I226">
        <v>15.76</v>
      </c>
      <c r="J226" s="8">
        <v>0.94030000000000002</v>
      </c>
      <c r="K226">
        <v>90000</v>
      </c>
      <c r="L226" s="2">
        <v>46174</v>
      </c>
    </row>
    <row r="227" spans="1:12">
      <c r="A227" t="s">
        <v>409</v>
      </c>
      <c r="B227" t="s">
        <v>410</v>
      </c>
      <c r="C227" t="s">
        <v>14</v>
      </c>
      <c r="D227" t="s">
        <v>32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 s="8">
        <v>0.67549999999999999</v>
      </c>
      <c r="K227">
        <v>100000</v>
      </c>
      <c r="L227" s="2">
        <v>45801</v>
      </c>
    </row>
    <row r="228" spans="1:12">
      <c r="A228" t="s">
        <v>411</v>
      </c>
      <c r="B228" t="s">
        <v>412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>
        <v>19.04</v>
      </c>
      <c r="J228" s="8">
        <v>0.9395</v>
      </c>
      <c r="K228">
        <v>110000</v>
      </c>
      <c r="L228" s="2">
        <v>45828</v>
      </c>
    </row>
    <row r="229" spans="1:12">
      <c r="A229" t="s">
        <v>413</v>
      </c>
      <c r="B229" t="s">
        <v>229</v>
      </c>
      <c r="C229" t="s">
        <v>19</v>
      </c>
      <c r="D229" t="s">
        <v>32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 s="8">
        <v>0.79869999999999997</v>
      </c>
      <c r="K229">
        <v>80000</v>
      </c>
      <c r="L229" s="2">
        <v>45805</v>
      </c>
    </row>
    <row r="230" spans="1:12">
      <c r="A230" t="s">
        <v>414</v>
      </c>
      <c r="B230" t="s">
        <v>415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>
        <v>20</v>
      </c>
      <c r="J230" s="8">
        <v>0.64900000000000002</v>
      </c>
      <c r="K230">
        <v>60000</v>
      </c>
      <c r="L230" s="2">
        <v>46222</v>
      </c>
    </row>
    <row r="231" spans="1:12">
      <c r="A231" t="s">
        <v>416</v>
      </c>
      <c r="B231" t="s">
        <v>417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>
        <v>10.92</v>
      </c>
      <c r="J231" s="8">
        <v>0.79449999999999998</v>
      </c>
      <c r="K231">
        <v>120000</v>
      </c>
      <c r="L231" s="2">
        <v>45773</v>
      </c>
    </row>
    <row r="232" spans="1:12">
      <c r="A232" t="s">
        <v>418</v>
      </c>
      <c r="B232" t="s">
        <v>35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>
        <v>9.83</v>
      </c>
      <c r="J232" s="8">
        <v>0.94510000000000005</v>
      </c>
      <c r="K232">
        <v>110000</v>
      </c>
      <c r="L232" s="2">
        <v>45775</v>
      </c>
    </row>
    <row r="233" spans="1:12">
      <c r="A233" t="s">
        <v>419</v>
      </c>
      <c r="B233" t="s">
        <v>420</v>
      </c>
      <c r="C233" t="s">
        <v>19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 s="8">
        <v>0.75680000000000003</v>
      </c>
      <c r="K233">
        <v>85000</v>
      </c>
      <c r="L233" s="2">
        <v>45765</v>
      </c>
    </row>
    <row r="234" spans="1:12">
      <c r="A234" t="s">
        <v>421</v>
      </c>
      <c r="B234" t="s">
        <v>135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>
        <v>13.1</v>
      </c>
      <c r="J234" s="8">
        <v>0.55000000000000004</v>
      </c>
      <c r="K234">
        <v>50000</v>
      </c>
      <c r="L234" s="2">
        <v>45764</v>
      </c>
    </row>
    <row r="235" spans="1:12">
      <c r="A235" t="s">
        <v>422</v>
      </c>
      <c r="B235" t="s">
        <v>423</v>
      </c>
      <c r="C235" t="s">
        <v>19</v>
      </c>
      <c r="D235" t="s">
        <v>20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 s="8">
        <v>0.90759999999999996</v>
      </c>
      <c r="K235">
        <v>85000</v>
      </c>
      <c r="L235" s="2">
        <v>45598</v>
      </c>
    </row>
    <row r="236" spans="1:12">
      <c r="A236" t="s">
        <v>424</v>
      </c>
      <c r="B236" t="s">
        <v>425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>
        <v>16</v>
      </c>
      <c r="J236" s="8">
        <v>0.59889999999999999</v>
      </c>
      <c r="K236">
        <v>90000</v>
      </c>
      <c r="L236" s="2">
        <v>45958</v>
      </c>
    </row>
    <row r="237" spans="1:12">
      <c r="A237" t="s">
        <v>426</v>
      </c>
      <c r="B237" t="s">
        <v>301</v>
      </c>
      <c r="C237" t="s">
        <v>19</v>
      </c>
      <c r="D237" t="s">
        <v>36</v>
      </c>
      <c r="E237" t="s">
        <v>16</v>
      </c>
      <c r="F237">
        <v>13.45</v>
      </c>
      <c r="G237">
        <v>13.15</v>
      </c>
      <c r="H237">
        <v>19.48</v>
      </c>
      <c r="I237">
        <v>16.45</v>
      </c>
      <c r="J237" s="8">
        <v>0.69740000000000002</v>
      </c>
      <c r="K237">
        <v>120000</v>
      </c>
      <c r="L237" s="2">
        <v>45553</v>
      </c>
    </row>
    <row r="238" spans="1:12">
      <c r="A238" t="s">
        <v>427</v>
      </c>
      <c r="B238" t="s">
        <v>428</v>
      </c>
      <c r="C238" t="s">
        <v>19</v>
      </c>
      <c r="D238" t="s">
        <v>53</v>
      </c>
      <c r="E238" t="s">
        <v>16</v>
      </c>
      <c r="F238">
        <v>14.01</v>
      </c>
      <c r="G238">
        <v>12.19</v>
      </c>
      <c r="H238">
        <v>9.76</v>
      </c>
      <c r="I238">
        <v>13.58</v>
      </c>
      <c r="J238" s="8">
        <v>0.77359999999999995</v>
      </c>
      <c r="K238">
        <v>85000</v>
      </c>
      <c r="L238" s="2">
        <v>45694</v>
      </c>
    </row>
    <row r="239" spans="1:12">
      <c r="A239" t="s">
        <v>429</v>
      </c>
      <c r="B239" t="s">
        <v>354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>
        <v>12.13</v>
      </c>
      <c r="J239" s="8">
        <v>0.91810000000000003</v>
      </c>
      <c r="K239">
        <v>85000</v>
      </c>
      <c r="L239" s="2">
        <v>45677</v>
      </c>
    </row>
    <row r="240" spans="1:12">
      <c r="A240" t="s">
        <v>430</v>
      </c>
      <c r="B240" t="s">
        <v>431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>
        <v>11.81</v>
      </c>
      <c r="J240" s="8">
        <v>0.8478</v>
      </c>
      <c r="K240">
        <v>80000</v>
      </c>
      <c r="L240" s="2">
        <v>45740</v>
      </c>
    </row>
    <row r="241" spans="1:12">
      <c r="A241" t="s">
        <v>432</v>
      </c>
      <c r="B241" t="s">
        <v>433</v>
      </c>
      <c r="C241" t="s">
        <v>19</v>
      </c>
      <c r="D241" t="s">
        <v>36</v>
      </c>
      <c r="E241" t="s">
        <v>21</v>
      </c>
      <c r="F241">
        <v>12.51</v>
      </c>
      <c r="G241">
        <v>7.25</v>
      </c>
      <c r="H241">
        <v>13.88</v>
      </c>
      <c r="I241">
        <v>8.65</v>
      </c>
      <c r="J241" s="8">
        <v>0.93389999999999995</v>
      </c>
      <c r="K241">
        <v>80000</v>
      </c>
      <c r="L241" s="2">
        <v>46065</v>
      </c>
    </row>
    <row r="242" spans="1:12">
      <c r="A242" t="s">
        <v>434</v>
      </c>
      <c r="B242" t="s">
        <v>285</v>
      </c>
      <c r="C242" t="s">
        <v>14</v>
      </c>
      <c r="D242" t="s">
        <v>28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 s="8">
        <v>0.80379999999999996</v>
      </c>
      <c r="K242">
        <v>50000</v>
      </c>
      <c r="L242" s="2">
        <v>45955</v>
      </c>
    </row>
    <row r="243" spans="1:12">
      <c r="A243" t="s">
        <v>435</v>
      </c>
      <c r="B243" t="s">
        <v>436</v>
      </c>
      <c r="C243" t="s">
        <v>19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 s="8">
        <v>0.72509999999999997</v>
      </c>
      <c r="K243">
        <v>60000</v>
      </c>
      <c r="L243" s="2">
        <v>46229</v>
      </c>
    </row>
    <row r="244" spans="1:12">
      <c r="A244" t="s">
        <v>437</v>
      </c>
      <c r="B244" t="s">
        <v>139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>
        <v>13.32</v>
      </c>
      <c r="J244" s="8">
        <v>0.87749999999999995</v>
      </c>
      <c r="K244">
        <v>110000</v>
      </c>
      <c r="L244" s="2">
        <v>45781</v>
      </c>
    </row>
    <row r="245" spans="1:12">
      <c r="A245" t="s">
        <v>438</v>
      </c>
      <c r="B245" t="s">
        <v>317</v>
      </c>
      <c r="C245" t="s">
        <v>19</v>
      </c>
      <c r="D245" t="s">
        <v>53</v>
      </c>
      <c r="E245" t="s">
        <v>29</v>
      </c>
      <c r="F245">
        <v>13.02</v>
      </c>
      <c r="G245">
        <v>16.77</v>
      </c>
      <c r="H245">
        <v>15.13</v>
      </c>
      <c r="I245">
        <v>16.63</v>
      </c>
      <c r="J245" s="8">
        <v>0.79690000000000005</v>
      </c>
      <c r="K245">
        <v>75000</v>
      </c>
      <c r="L245" s="2">
        <v>46185</v>
      </c>
    </row>
    <row r="246" spans="1:12">
      <c r="A246" t="s">
        <v>439</v>
      </c>
      <c r="B246" t="s">
        <v>111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>
        <v>12.08</v>
      </c>
      <c r="J246" s="8">
        <v>0.76190000000000002</v>
      </c>
      <c r="K246">
        <v>120000</v>
      </c>
      <c r="L246" s="2">
        <v>45567</v>
      </c>
    </row>
    <row r="247" spans="1:12">
      <c r="A247" t="s">
        <v>440</v>
      </c>
      <c r="B247" t="s">
        <v>139</v>
      </c>
      <c r="C247" t="s">
        <v>14</v>
      </c>
      <c r="D247" t="s">
        <v>20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 s="8">
        <v>0.95069999999999999</v>
      </c>
      <c r="K247">
        <v>80000</v>
      </c>
      <c r="L247" s="2">
        <v>45888</v>
      </c>
    </row>
    <row r="248" spans="1:12">
      <c r="A248" t="s">
        <v>441</v>
      </c>
      <c r="B248" t="s">
        <v>442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>
        <v>12.86</v>
      </c>
      <c r="J248" s="8">
        <v>0.84540000000000004</v>
      </c>
      <c r="K248">
        <v>130000</v>
      </c>
      <c r="L248" s="2">
        <v>46095</v>
      </c>
    </row>
    <row r="249" spans="1:12">
      <c r="A249" t="s">
        <v>443</v>
      </c>
      <c r="B249" t="s">
        <v>444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>
        <v>6.34</v>
      </c>
      <c r="J249" s="8">
        <v>0.92369999999999997</v>
      </c>
      <c r="K249">
        <v>60000</v>
      </c>
      <c r="L249" s="2">
        <v>45908</v>
      </c>
    </row>
    <row r="250" spans="1:12">
      <c r="A250" t="s">
        <v>445</v>
      </c>
      <c r="B250" t="s">
        <v>301</v>
      </c>
      <c r="C250" t="s">
        <v>19</v>
      </c>
      <c r="D250" t="s">
        <v>28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 s="8">
        <v>0.87739999999999996</v>
      </c>
      <c r="K250">
        <v>70000</v>
      </c>
      <c r="L250" s="2">
        <v>46189</v>
      </c>
    </row>
    <row r="251" spans="1:12">
      <c r="A251" t="s">
        <v>446</v>
      </c>
      <c r="B251" t="s">
        <v>231</v>
      </c>
      <c r="C251" t="s">
        <v>14</v>
      </c>
      <c r="D251" t="s">
        <v>36</v>
      </c>
      <c r="E251" t="s">
        <v>21</v>
      </c>
      <c r="F251">
        <v>9.5399999999999991</v>
      </c>
      <c r="G251">
        <v>13.74</v>
      </c>
      <c r="H251">
        <v>13.21</v>
      </c>
      <c r="I251">
        <v>12.27</v>
      </c>
      <c r="J251" s="8">
        <v>0.94869999999999999</v>
      </c>
      <c r="K251">
        <v>90000</v>
      </c>
      <c r="L251" s="2">
        <v>45756</v>
      </c>
    </row>
    <row r="252" spans="1:12">
      <c r="A252" t="s">
        <v>447</v>
      </c>
      <c r="B252" t="s">
        <v>431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>
        <v>6.79</v>
      </c>
      <c r="J252" s="8">
        <v>0.83479999999999999</v>
      </c>
      <c r="K252">
        <v>110000</v>
      </c>
      <c r="L252" s="2">
        <v>45559</v>
      </c>
    </row>
    <row r="253" spans="1:12">
      <c r="A253" t="s">
        <v>448</v>
      </c>
      <c r="B253" t="s">
        <v>449</v>
      </c>
      <c r="C253" t="s">
        <v>14</v>
      </c>
      <c r="D253" t="s">
        <v>53</v>
      </c>
      <c r="E253" t="s">
        <v>16</v>
      </c>
      <c r="F253">
        <v>11.49</v>
      </c>
      <c r="G253">
        <v>10.35</v>
      </c>
      <c r="H253">
        <v>6.29</v>
      </c>
      <c r="I253">
        <v>9.8800000000000008</v>
      </c>
      <c r="J253" s="8">
        <v>0.91059999999999997</v>
      </c>
      <c r="K253">
        <v>60000</v>
      </c>
      <c r="L253" s="2">
        <v>46077</v>
      </c>
    </row>
    <row r="254" spans="1:12">
      <c r="A254" t="s">
        <v>450</v>
      </c>
      <c r="B254" t="s">
        <v>451</v>
      </c>
      <c r="C254" t="s">
        <v>14</v>
      </c>
      <c r="D254" t="s">
        <v>53</v>
      </c>
      <c r="E254" t="s">
        <v>29</v>
      </c>
      <c r="F254">
        <v>17.37</v>
      </c>
      <c r="G254">
        <v>16.66</v>
      </c>
      <c r="H254">
        <v>16.72</v>
      </c>
      <c r="I254">
        <v>16.36</v>
      </c>
      <c r="J254" s="8">
        <v>0.94679999999999997</v>
      </c>
      <c r="K254">
        <v>85000</v>
      </c>
      <c r="L254" s="2">
        <v>45583</v>
      </c>
    </row>
    <row r="255" spans="1:12">
      <c r="A255" t="s">
        <v>452</v>
      </c>
      <c r="B255" t="s">
        <v>453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>
        <v>12.2</v>
      </c>
      <c r="J255" s="8">
        <v>0.68320000000000003</v>
      </c>
      <c r="K255">
        <v>70000</v>
      </c>
      <c r="L255" s="2">
        <v>46071</v>
      </c>
    </row>
    <row r="256" spans="1:12">
      <c r="A256" t="s">
        <v>454</v>
      </c>
      <c r="B256" t="s">
        <v>455</v>
      </c>
      <c r="C256" t="s">
        <v>19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 s="8">
        <v>0.96360000000000001</v>
      </c>
      <c r="K256">
        <v>110000</v>
      </c>
      <c r="L256" s="2">
        <v>46049</v>
      </c>
    </row>
    <row r="257" spans="1:12">
      <c r="A257" t="s">
        <v>456</v>
      </c>
      <c r="B257" t="s">
        <v>451</v>
      </c>
      <c r="C257" t="s">
        <v>14</v>
      </c>
      <c r="D257" t="s">
        <v>15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 s="8">
        <v>0.63129999999999997</v>
      </c>
      <c r="K257">
        <v>90000</v>
      </c>
      <c r="L257" s="2">
        <v>46126</v>
      </c>
    </row>
    <row r="258" spans="1:12">
      <c r="A258" t="s">
        <v>457</v>
      </c>
      <c r="B258" t="s">
        <v>458</v>
      </c>
      <c r="C258" t="s">
        <v>19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 s="8">
        <v>0.92749999999999999</v>
      </c>
      <c r="K258">
        <v>100000</v>
      </c>
      <c r="L258" s="2">
        <v>45871</v>
      </c>
    </row>
    <row r="259" spans="1:12">
      <c r="A259" t="s">
        <v>459</v>
      </c>
      <c r="B259" t="s">
        <v>460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>
        <v>10.64</v>
      </c>
      <c r="J259" s="8">
        <v>0.79310000000000003</v>
      </c>
      <c r="K259">
        <v>70000</v>
      </c>
      <c r="L259" s="2">
        <v>46162</v>
      </c>
    </row>
    <row r="260" spans="1:12">
      <c r="A260" t="s">
        <v>461</v>
      </c>
      <c r="B260" t="s">
        <v>285</v>
      </c>
      <c r="C260" t="s">
        <v>14</v>
      </c>
      <c r="D260" t="s">
        <v>28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 s="8">
        <v>0.97809999999999997</v>
      </c>
      <c r="K260">
        <v>75000</v>
      </c>
      <c r="L260" s="2">
        <v>45654</v>
      </c>
    </row>
    <row r="261" spans="1:12">
      <c r="A261" t="s">
        <v>462</v>
      </c>
      <c r="B261" t="s">
        <v>310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>
        <v>15.6</v>
      </c>
      <c r="J261" s="8">
        <v>0.82909999999999995</v>
      </c>
      <c r="K261">
        <v>100000</v>
      </c>
      <c r="L261" s="2">
        <v>45840</v>
      </c>
    </row>
    <row r="262" spans="1:12">
      <c r="A262" t="s">
        <v>463</v>
      </c>
      <c r="B262" t="s">
        <v>464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>
        <v>11.37</v>
      </c>
      <c r="J262" s="8">
        <v>0.83850000000000002</v>
      </c>
      <c r="K262">
        <v>75000</v>
      </c>
      <c r="L262" s="2">
        <v>45621</v>
      </c>
    </row>
    <row r="263" spans="1:12">
      <c r="A263" t="s">
        <v>465</v>
      </c>
      <c r="B263" t="s">
        <v>410</v>
      </c>
      <c r="C263" t="s">
        <v>14</v>
      </c>
      <c r="D263" t="s">
        <v>36</v>
      </c>
      <c r="E263" t="s">
        <v>21</v>
      </c>
      <c r="F263">
        <v>15.24</v>
      </c>
      <c r="G263">
        <v>15.29</v>
      </c>
      <c r="H263">
        <v>17.13</v>
      </c>
      <c r="I263">
        <v>15.71</v>
      </c>
      <c r="J263" s="8">
        <v>0.92810000000000004</v>
      </c>
      <c r="K263">
        <v>100000</v>
      </c>
      <c r="L263" s="2">
        <v>46072</v>
      </c>
    </row>
    <row r="264" spans="1:12">
      <c r="A264" t="s">
        <v>466</v>
      </c>
      <c r="B264" t="s">
        <v>467</v>
      </c>
      <c r="C264" t="s">
        <v>14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 s="8">
        <v>0.82140000000000002</v>
      </c>
      <c r="K264">
        <v>60000</v>
      </c>
      <c r="L264" s="2">
        <v>46035</v>
      </c>
    </row>
    <row r="265" spans="1:12">
      <c r="A265" t="s">
        <v>468</v>
      </c>
      <c r="B265" t="s">
        <v>469</v>
      </c>
      <c r="C265" t="s">
        <v>19</v>
      </c>
      <c r="D265" t="s">
        <v>53</v>
      </c>
      <c r="E265" t="s">
        <v>16</v>
      </c>
      <c r="F265">
        <v>17.14</v>
      </c>
      <c r="G265">
        <v>18.95</v>
      </c>
      <c r="H265">
        <v>11.32</v>
      </c>
      <c r="I265">
        <v>12.42</v>
      </c>
      <c r="J265" s="8">
        <v>0.93889999999999996</v>
      </c>
      <c r="K265">
        <v>75000</v>
      </c>
      <c r="L265" s="2">
        <v>46100</v>
      </c>
    </row>
    <row r="266" spans="1:12">
      <c r="A266" t="s">
        <v>470</v>
      </c>
      <c r="B266" t="s">
        <v>471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>
        <v>10.71</v>
      </c>
      <c r="J266" s="8">
        <v>0.98360000000000003</v>
      </c>
      <c r="K266">
        <v>60000</v>
      </c>
      <c r="L266" s="2">
        <v>46071</v>
      </c>
    </row>
    <row r="267" spans="1:12">
      <c r="A267" t="s">
        <v>472</v>
      </c>
      <c r="B267" t="s">
        <v>98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>
        <v>11.41</v>
      </c>
      <c r="J267" s="8">
        <v>0.98909999999999998</v>
      </c>
      <c r="K267">
        <v>50000</v>
      </c>
      <c r="L267" s="2">
        <v>45751</v>
      </c>
    </row>
    <row r="268" spans="1:12">
      <c r="A268" t="s">
        <v>473</v>
      </c>
      <c r="B268" t="s">
        <v>474</v>
      </c>
      <c r="C268" t="s">
        <v>14</v>
      </c>
      <c r="D268" t="s">
        <v>15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 s="8">
        <v>0.9153</v>
      </c>
      <c r="K268">
        <v>70000</v>
      </c>
      <c r="L268" s="2">
        <v>45583</v>
      </c>
    </row>
    <row r="269" spans="1:12">
      <c r="A269" t="s">
        <v>475</v>
      </c>
      <c r="B269" t="s">
        <v>88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>
        <v>15.88</v>
      </c>
      <c r="J269" s="8">
        <v>0.67179999999999995</v>
      </c>
      <c r="K269">
        <v>85000</v>
      </c>
      <c r="L269" s="2">
        <v>46186</v>
      </c>
    </row>
    <row r="270" spans="1:12">
      <c r="A270" t="s">
        <v>476</v>
      </c>
      <c r="B270" t="s">
        <v>477</v>
      </c>
      <c r="C270" t="s">
        <v>19</v>
      </c>
      <c r="D270" t="s">
        <v>53</v>
      </c>
      <c r="E270" t="s">
        <v>29</v>
      </c>
      <c r="F270">
        <v>9.68</v>
      </c>
      <c r="G270">
        <v>11.92</v>
      </c>
      <c r="H270">
        <v>15.25</v>
      </c>
      <c r="I270">
        <v>9.19</v>
      </c>
      <c r="J270" s="8">
        <v>0.81479999999999997</v>
      </c>
      <c r="K270">
        <v>60000</v>
      </c>
      <c r="L270" s="2">
        <v>45880</v>
      </c>
    </row>
    <row r="271" spans="1:12">
      <c r="A271" t="s">
        <v>478</v>
      </c>
      <c r="B271" t="s">
        <v>479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>
        <v>12.21</v>
      </c>
      <c r="J271" s="8">
        <v>0.55000000000000004</v>
      </c>
      <c r="K271">
        <v>60000</v>
      </c>
      <c r="L271" s="2">
        <v>45602</v>
      </c>
    </row>
    <row r="272" spans="1:12">
      <c r="A272" t="s">
        <v>480</v>
      </c>
      <c r="B272" t="s">
        <v>88</v>
      </c>
      <c r="C272" t="s">
        <v>14</v>
      </c>
      <c r="D272" t="s">
        <v>53</v>
      </c>
      <c r="E272" t="s">
        <v>16</v>
      </c>
      <c r="F272">
        <v>17.3</v>
      </c>
      <c r="G272">
        <v>15.73</v>
      </c>
      <c r="H272">
        <v>14.92</v>
      </c>
      <c r="I272">
        <v>13.83</v>
      </c>
      <c r="J272" s="8">
        <v>0.83330000000000004</v>
      </c>
      <c r="K272">
        <v>120000</v>
      </c>
      <c r="L272" s="2">
        <v>46184</v>
      </c>
    </row>
    <row r="273" spans="1:12">
      <c r="A273" t="s">
        <v>481</v>
      </c>
      <c r="B273" t="s">
        <v>482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>
        <v>12.77</v>
      </c>
      <c r="J273" s="8">
        <v>0.84279999999999999</v>
      </c>
      <c r="K273">
        <v>85000</v>
      </c>
      <c r="L273" s="2">
        <v>46231</v>
      </c>
    </row>
    <row r="274" spans="1:12">
      <c r="A274" t="s">
        <v>483</v>
      </c>
      <c r="B274" t="s">
        <v>135</v>
      </c>
      <c r="C274" t="s">
        <v>14</v>
      </c>
      <c r="D274" t="s">
        <v>53</v>
      </c>
      <c r="E274" t="s">
        <v>29</v>
      </c>
      <c r="F274">
        <v>19.11</v>
      </c>
      <c r="G274">
        <v>18.97</v>
      </c>
      <c r="H274">
        <v>15.13</v>
      </c>
      <c r="I274">
        <v>19.98</v>
      </c>
      <c r="J274" s="8">
        <v>0.55000000000000004</v>
      </c>
      <c r="K274">
        <v>100000</v>
      </c>
      <c r="L274" s="2">
        <v>45847</v>
      </c>
    </row>
    <row r="275" spans="1:12">
      <c r="A275" t="s">
        <v>484</v>
      </c>
      <c r="B275" t="s">
        <v>485</v>
      </c>
      <c r="C275" t="s">
        <v>19</v>
      </c>
      <c r="D275" t="s">
        <v>36</v>
      </c>
      <c r="E275" t="s">
        <v>16</v>
      </c>
      <c r="F275">
        <v>14.87</v>
      </c>
      <c r="G275">
        <v>18.73</v>
      </c>
      <c r="H275">
        <v>16.79</v>
      </c>
      <c r="I275">
        <v>14.84</v>
      </c>
      <c r="J275" s="8">
        <v>0.62019999999999997</v>
      </c>
      <c r="K275">
        <v>100000</v>
      </c>
      <c r="L275" s="2">
        <v>46075</v>
      </c>
    </row>
    <row r="276" spans="1:12">
      <c r="A276" t="s">
        <v>486</v>
      </c>
      <c r="B276" t="s">
        <v>155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>
        <v>9.06</v>
      </c>
      <c r="J276" s="8">
        <v>0.88829999999999998</v>
      </c>
      <c r="K276">
        <v>60000</v>
      </c>
      <c r="L276" s="2">
        <v>45561</v>
      </c>
    </row>
    <row r="277" spans="1:12">
      <c r="A277" t="s">
        <v>487</v>
      </c>
      <c r="B277" t="s">
        <v>453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>
        <v>20</v>
      </c>
      <c r="J277" s="8">
        <v>0.60209999999999997</v>
      </c>
      <c r="K277">
        <v>90000</v>
      </c>
      <c r="L277" s="2">
        <v>45601</v>
      </c>
    </row>
    <row r="278" spans="1:12">
      <c r="A278" t="s">
        <v>488</v>
      </c>
      <c r="B278" t="s">
        <v>382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>
        <v>10.66</v>
      </c>
      <c r="J278" s="8">
        <v>0.83730000000000004</v>
      </c>
      <c r="K278">
        <v>120000</v>
      </c>
      <c r="L278" s="2">
        <v>45729</v>
      </c>
    </row>
    <row r="279" spans="1:12">
      <c r="A279" t="s">
        <v>489</v>
      </c>
      <c r="B279" t="s">
        <v>490</v>
      </c>
      <c r="C279" t="s">
        <v>19</v>
      </c>
      <c r="D279" t="s">
        <v>53</v>
      </c>
      <c r="E279" t="s">
        <v>29</v>
      </c>
      <c r="F279">
        <v>12.82</v>
      </c>
      <c r="G279">
        <v>14.25</v>
      </c>
      <c r="H279">
        <v>17.84</v>
      </c>
      <c r="I279">
        <v>15.91</v>
      </c>
      <c r="J279" s="8">
        <v>0.85229999999999995</v>
      </c>
      <c r="K279">
        <v>80000</v>
      </c>
      <c r="L279" s="2">
        <v>45995</v>
      </c>
    </row>
    <row r="280" spans="1:12">
      <c r="A280" t="s">
        <v>491</v>
      </c>
      <c r="B280" t="s">
        <v>492</v>
      </c>
      <c r="C280" t="s">
        <v>14</v>
      </c>
      <c r="D280" t="s">
        <v>53</v>
      </c>
      <c r="E280" t="s">
        <v>21</v>
      </c>
      <c r="F280">
        <v>9.1999999999999993</v>
      </c>
      <c r="G280">
        <v>12.77</v>
      </c>
      <c r="H280">
        <v>12.24</v>
      </c>
      <c r="I280">
        <v>11.36</v>
      </c>
      <c r="J280" s="8">
        <v>0.82589999999999997</v>
      </c>
      <c r="K280">
        <v>120000</v>
      </c>
      <c r="L280" s="2">
        <v>45629</v>
      </c>
    </row>
    <row r="281" spans="1:12">
      <c r="A281" t="s">
        <v>493</v>
      </c>
      <c r="B281" t="s">
        <v>494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>
        <v>14.08</v>
      </c>
      <c r="J281" s="8">
        <v>0.88490000000000002</v>
      </c>
      <c r="K281">
        <v>130000</v>
      </c>
      <c r="L281" s="2">
        <v>45559</v>
      </c>
    </row>
    <row r="282" spans="1:12">
      <c r="A282" t="s">
        <v>495</v>
      </c>
      <c r="B282" t="s">
        <v>496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>
        <v>10.199999999999999</v>
      </c>
      <c r="J282" s="8">
        <v>0.95240000000000002</v>
      </c>
      <c r="K282">
        <v>90000</v>
      </c>
      <c r="L282" s="2">
        <v>46004</v>
      </c>
    </row>
    <row r="283" spans="1:12">
      <c r="A283" t="s">
        <v>497</v>
      </c>
      <c r="B283" t="s">
        <v>453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>
        <v>14.55</v>
      </c>
      <c r="J283" s="8">
        <v>0.74180000000000001</v>
      </c>
      <c r="K283">
        <v>60000</v>
      </c>
      <c r="L283" s="2">
        <v>46075</v>
      </c>
    </row>
    <row r="284" spans="1:12">
      <c r="A284" t="s">
        <v>498</v>
      </c>
      <c r="B284" t="s">
        <v>146</v>
      </c>
      <c r="C284" t="s">
        <v>19</v>
      </c>
      <c r="D284" t="s">
        <v>20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 s="8">
        <v>0.95789999999999997</v>
      </c>
      <c r="K284">
        <v>90000</v>
      </c>
      <c r="L284" s="2">
        <v>46053</v>
      </c>
    </row>
    <row r="285" spans="1:12">
      <c r="A285" t="s">
        <v>499</v>
      </c>
      <c r="B285" t="s">
        <v>500</v>
      </c>
      <c r="C285" t="s">
        <v>14</v>
      </c>
      <c r="D285" t="s">
        <v>53</v>
      </c>
      <c r="E285" t="s">
        <v>16</v>
      </c>
      <c r="F285">
        <v>20</v>
      </c>
      <c r="G285">
        <v>13.99</v>
      </c>
      <c r="H285">
        <v>15.98</v>
      </c>
      <c r="I285">
        <v>16.27</v>
      </c>
      <c r="J285" s="8">
        <v>0.71940000000000004</v>
      </c>
      <c r="K285">
        <v>120000</v>
      </c>
      <c r="L285" s="2">
        <v>46095</v>
      </c>
    </row>
    <row r="286" spans="1:12">
      <c r="A286" t="s">
        <v>501</v>
      </c>
      <c r="B286" t="s">
        <v>288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>
        <v>16.489999999999998</v>
      </c>
      <c r="J286" s="8">
        <v>0.91659999999999997</v>
      </c>
      <c r="K286">
        <v>90000</v>
      </c>
      <c r="L286" s="2">
        <v>46097</v>
      </c>
    </row>
    <row r="287" spans="1:12">
      <c r="A287" t="s">
        <v>502</v>
      </c>
      <c r="B287" t="s">
        <v>433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>
        <v>9.3800000000000008</v>
      </c>
      <c r="J287" s="8">
        <v>0.83550000000000002</v>
      </c>
      <c r="K287">
        <v>110000</v>
      </c>
      <c r="L287" s="2">
        <v>45957</v>
      </c>
    </row>
    <row r="288" spans="1:12">
      <c r="A288" t="s">
        <v>503</v>
      </c>
      <c r="B288" t="s">
        <v>370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>
        <v>17.079999999999998</v>
      </c>
      <c r="J288" s="8">
        <v>0.67620000000000002</v>
      </c>
      <c r="K288">
        <v>85000</v>
      </c>
      <c r="L288" s="2">
        <v>45899</v>
      </c>
    </row>
    <row r="289" spans="1:12">
      <c r="A289" t="s">
        <v>504</v>
      </c>
      <c r="B289" t="s">
        <v>55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>
        <v>13.05</v>
      </c>
      <c r="J289" s="8">
        <v>0.59109999999999996</v>
      </c>
      <c r="K289">
        <v>80000</v>
      </c>
      <c r="L289" s="2">
        <v>46135</v>
      </c>
    </row>
    <row r="290" spans="1:12">
      <c r="A290" t="s">
        <v>505</v>
      </c>
      <c r="B290" t="s">
        <v>506</v>
      </c>
      <c r="C290" t="s">
        <v>19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 s="8">
        <v>0.91249999999999998</v>
      </c>
      <c r="K290">
        <v>130000</v>
      </c>
      <c r="L290" s="2">
        <v>45779</v>
      </c>
    </row>
    <row r="291" spans="1:12">
      <c r="A291" t="s">
        <v>507</v>
      </c>
      <c r="B291" t="s">
        <v>161</v>
      </c>
      <c r="C291" t="s">
        <v>14</v>
      </c>
      <c r="D291" t="s">
        <v>53</v>
      </c>
      <c r="E291" t="s">
        <v>16</v>
      </c>
      <c r="F291">
        <v>14.91</v>
      </c>
      <c r="G291">
        <v>13.13</v>
      </c>
      <c r="H291">
        <v>14.5</v>
      </c>
      <c r="I291">
        <v>15.66</v>
      </c>
      <c r="J291" s="8">
        <v>0.84230000000000005</v>
      </c>
      <c r="K291">
        <v>60000</v>
      </c>
      <c r="L291" s="2">
        <v>45604</v>
      </c>
    </row>
    <row r="292" spans="1:12">
      <c r="A292" t="s">
        <v>508</v>
      </c>
      <c r="B292" t="s">
        <v>509</v>
      </c>
      <c r="C292" t="s">
        <v>19</v>
      </c>
      <c r="D292" t="s">
        <v>36</v>
      </c>
      <c r="E292" t="s">
        <v>21</v>
      </c>
      <c r="F292">
        <v>13.47</v>
      </c>
      <c r="G292">
        <v>14.63</v>
      </c>
      <c r="H292">
        <v>12.22</v>
      </c>
      <c r="I292">
        <v>12.63</v>
      </c>
      <c r="J292" s="8">
        <v>0.83460000000000001</v>
      </c>
      <c r="K292">
        <v>80000</v>
      </c>
      <c r="L292" s="2">
        <v>46062</v>
      </c>
    </row>
    <row r="293" spans="1:12">
      <c r="A293" t="s">
        <v>510</v>
      </c>
      <c r="B293" t="s">
        <v>511</v>
      </c>
      <c r="C293" t="s">
        <v>14</v>
      </c>
      <c r="D293" t="s">
        <v>53</v>
      </c>
      <c r="E293" t="s">
        <v>29</v>
      </c>
      <c r="F293">
        <v>19.03</v>
      </c>
      <c r="G293">
        <v>20</v>
      </c>
      <c r="H293">
        <v>20</v>
      </c>
      <c r="I293">
        <v>15.79</v>
      </c>
      <c r="J293" s="8">
        <v>0.88360000000000005</v>
      </c>
      <c r="K293">
        <v>60000</v>
      </c>
      <c r="L293" s="2">
        <v>45729</v>
      </c>
    </row>
    <row r="294" spans="1:12">
      <c r="A294" t="s">
        <v>512</v>
      </c>
      <c r="B294" t="s">
        <v>113</v>
      </c>
      <c r="C294" t="s">
        <v>19</v>
      </c>
      <c r="D294" t="s">
        <v>20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 s="8">
        <v>0.89810000000000001</v>
      </c>
      <c r="K294">
        <v>100000</v>
      </c>
      <c r="L294" s="2">
        <v>46221</v>
      </c>
    </row>
    <row r="295" spans="1:12">
      <c r="A295" t="s">
        <v>513</v>
      </c>
      <c r="B295" t="s">
        <v>514</v>
      </c>
      <c r="C295" t="s">
        <v>14</v>
      </c>
      <c r="D295" t="s">
        <v>36</v>
      </c>
      <c r="E295" t="s">
        <v>21</v>
      </c>
      <c r="F295">
        <v>16.010000000000002</v>
      </c>
      <c r="G295">
        <v>15.74</v>
      </c>
      <c r="H295">
        <v>16.96</v>
      </c>
      <c r="I295">
        <v>15.28</v>
      </c>
      <c r="J295" s="8">
        <v>0.92490000000000006</v>
      </c>
      <c r="K295">
        <v>130000</v>
      </c>
      <c r="L295" s="2">
        <v>45825</v>
      </c>
    </row>
    <row r="296" spans="1:12">
      <c r="A296" t="s">
        <v>515</v>
      </c>
      <c r="B296" t="s">
        <v>516</v>
      </c>
      <c r="C296" t="s">
        <v>19</v>
      </c>
      <c r="D296" t="s">
        <v>15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 s="8">
        <v>0.87549999999999994</v>
      </c>
      <c r="K296">
        <v>130000</v>
      </c>
      <c r="L296" s="2">
        <v>46132</v>
      </c>
    </row>
    <row r="297" spans="1:12">
      <c r="A297" t="s">
        <v>517</v>
      </c>
      <c r="B297" t="s">
        <v>518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>
        <v>12.37</v>
      </c>
      <c r="J297" s="8">
        <v>0.94489999999999996</v>
      </c>
      <c r="K297">
        <v>70000</v>
      </c>
      <c r="L297" s="2">
        <v>45565</v>
      </c>
    </row>
    <row r="298" spans="1:12">
      <c r="A298" t="s">
        <v>519</v>
      </c>
      <c r="B298" t="s">
        <v>191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>
        <v>8.7100000000000009</v>
      </c>
      <c r="J298" s="8">
        <v>0.71930000000000005</v>
      </c>
      <c r="K298">
        <v>110000</v>
      </c>
      <c r="L298" s="2">
        <v>45997</v>
      </c>
    </row>
    <row r="299" spans="1:12">
      <c r="A299" t="s">
        <v>520</v>
      </c>
      <c r="B299" t="s">
        <v>521</v>
      </c>
      <c r="C299" t="s">
        <v>14</v>
      </c>
      <c r="D299" t="s">
        <v>36</v>
      </c>
      <c r="E299" t="s">
        <v>16</v>
      </c>
      <c r="F299">
        <v>14.41</v>
      </c>
      <c r="G299">
        <v>16.39</v>
      </c>
      <c r="H299">
        <v>12.11</v>
      </c>
      <c r="I299">
        <v>12.44</v>
      </c>
      <c r="J299" s="8">
        <v>0.78539999999999999</v>
      </c>
      <c r="K299">
        <v>120000</v>
      </c>
      <c r="L299" s="2">
        <v>45849</v>
      </c>
    </row>
    <row r="300" spans="1:12">
      <c r="A300" t="s">
        <v>522</v>
      </c>
      <c r="B300" t="s">
        <v>460</v>
      </c>
      <c r="C300" t="s">
        <v>14</v>
      </c>
      <c r="D300" t="s">
        <v>53</v>
      </c>
      <c r="E300" t="s">
        <v>21</v>
      </c>
      <c r="F300">
        <v>16.96</v>
      </c>
      <c r="G300">
        <v>15.52</v>
      </c>
      <c r="H300">
        <v>15.37</v>
      </c>
      <c r="I300">
        <v>12.89</v>
      </c>
      <c r="J300" s="8">
        <v>0.75690000000000002</v>
      </c>
      <c r="K300">
        <v>120000</v>
      </c>
      <c r="L300" s="2">
        <v>45859</v>
      </c>
    </row>
    <row r="301" spans="1:12">
      <c r="A301" t="s">
        <v>523</v>
      </c>
      <c r="B301" t="s">
        <v>83</v>
      </c>
      <c r="C301" t="s">
        <v>14</v>
      </c>
      <c r="D301" t="s">
        <v>36</v>
      </c>
      <c r="E301" t="s">
        <v>21</v>
      </c>
      <c r="F301">
        <v>10.31</v>
      </c>
      <c r="G301">
        <v>12.88</v>
      </c>
      <c r="H301">
        <v>9.83</v>
      </c>
      <c r="I301">
        <v>9.1300000000000008</v>
      </c>
      <c r="J301" s="8">
        <v>0.69230000000000003</v>
      </c>
      <c r="K301">
        <v>85000</v>
      </c>
      <c r="L301" s="2">
        <v>45721</v>
      </c>
    </row>
    <row r="302" spans="1:12">
      <c r="A302" t="s">
        <v>524</v>
      </c>
      <c r="B302" t="s">
        <v>274</v>
      </c>
      <c r="C302" t="s">
        <v>14</v>
      </c>
      <c r="D302" t="s">
        <v>36</v>
      </c>
      <c r="E302" t="s">
        <v>29</v>
      </c>
      <c r="F302">
        <v>18.920000000000002</v>
      </c>
      <c r="G302">
        <v>17.79</v>
      </c>
      <c r="H302">
        <v>18.82</v>
      </c>
      <c r="I302">
        <v>16.690000000000001</v>
      </c>
      <c r="J302" s="8">
        <v>0.97560000000000002</v>
      </c>
      <c r="K302">
        <v>60000</v>
      </c>
      <c r="L302" s="2">
        <v>46215</v>
      </c>
    </row>
    <row r="303" spans="1:12">
      <c r="A303" t="s">
        <v>525</v>
      </c>
      <c r="B303" t="s">
        <v>526</v>
      </c>
      <c r="C303" t="s">
        <v>19</v>
      </c>
      <c r="D303" t="s">
        <v>53</v>
      </c>
      <c r="E303" t="s">
        <v>21</v>
      </c>
      <c r="F303">
        <v>16.510000000000002</v>
      </c>
      <c r="G303">
        <v>11.37</v>
      </c>
      <c r="H303">
        <v>14.83</v>
      </c>
      <c r="I303">
        <v>15.08</v>
      </c>
      <c r="J303" s="8">
        <v>0.81740000000000002</v>
      </c>
      <c r="K303">
        <v>85000</v>
      </c>
      <c r="L303" s="2">
        <v>45810</v>
      </c>
    </row>
    <row r="304" spans="1:12">
      <c r="A304" t="s">
        <v>527</v>
      </c>
      <c r="B304" t="s">
        <v>528</v>
      </c>
      <c r="C304" t="s">
        <v>14</v>
      </c>
      <c r="D304" t="s">
        <v>53</v>
      </c>
      <c r="E304" t="s">
        <v>16</v>
      </c>
      <c r="F304">
        <v>20</v>
      </c>
      <c r="G304">
        <v>18.54</v>
      </c>
      <c r="H304">
        <v>15.41</v>
      </c>
      <c r="I304">
        <v>16.329999999999998</v>
      </c>
      <c r="J304" s="8">
        <v>0.7198</v>
      </c>
      <c r="K304">
        <v>110000</v>
      </c>
      <c r="L304" s="2">
        <v>46131</v>
      </c>
    </row>
    <row r="305" spans="1:12">
      <c r="A305" t="s">
        <v>529</v>
      </c>
      <c r="B305" t="s">
        <v>61</v>
      </c>
      <c r="C305" t="s">
        <v>19</v>
      </c>
      <c r="D305" t="s">
        <v>20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 s="8">
        <v>0.7026</v>
      </c>
      <c r="K305">
        <v>90000</v>
      </c>
      <c r="L305" s="2">
        <v>45833</v>
      </c>
    </row>
    <row r="306" spans="1:12">
      <c r="A306" t="s">
        <v>530</v>
      </c>
      <c r="B306" t="s">
        <v>125</v>
      </c>
      <c r="C306" t="s">
        <v>19</v>
      </c>
      <c r="D306" t="s">
        <v>53</v>
      </c>
      <c r="E306" t="s">
        <v>29</v>
      </c>
      <c r="F306">
        <v>16.04</v>
      </c>
      <c r="G306">
        <v>20</v>
      </c>
      <c r="H306">
        <v>17.809999999999999</v>
      </c>
      <c r="I306">
        <v>15.73</v>
      </c>
      <c r="J306" s="8">
        <v>0.84230000000000005</v>
      </c>
      <c r="K306">
        <v>80000</v>
      </c>
      <c r="L306" s="2">
        <v>45569</v>
      </c>
    </row>
    <row r="307" spans="1:12">
      <c r="A307" t="s">
        <v>531</v>
      </c>
      <c r="B307" t="s">
        <v>532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>
        <v>12.6</v>
      </c>
      <c r="J307" s="8">
        <v>0.55000000000000004</v>
      </c>
      <c r="K307">
        <v>70000</v>
      </c>
      <c r="L307" s="2">
        <v>46151</v>
      </c>
    </row>
    <row r="308" spans="1:12">
      <c r="A308" t="s">
        <v>533</v>
      </c>
      <c r="B308" t="s">
        <v>431</v>
      </c>
      <c r="C308" t="s">
        <v>14</v>
      </c>
      <c r="D308" t="s">
        <v>53</v>
      </c>
      <c r="E308" t="s">
        <v>29</v>
      </c>
      <c r="F308">
        <v>15.42</v>
      </c>
      <c r="G308">
        <v>15.05</v>
      </c>
      <c r="H308">
        <v>14.68</v>
      </c>
      <c r="I308">
        <v>11.67</v>
      </c>
      <c r="J308" s="8">
        <v>0.79059999999999997</v>
      </c>
      <c r="K308">
        <v>100000</v>
      </c>
      <c r="L308" s="2">
        <v>45665</v>
      </c>
    </row>
    <row r="309" spans="1:12">
      <c r="A309" t="s">
        <v>534</v>
      </c>
      <c r="B309" t="s">
        <v>535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>
        <v>12.84</v>
      </c>
      <c r="J309" s="8">
        <v>0.74919999999999998</v>
      </c>
      <c r="K309">
        <v>80000</v>
      </c>
      <c r="L309" s="2">
        <v>45725</v>
      </c>
    </row>
    <row r="310" spans="1:12">
      <c r="A310" t="s">
        <v>536</v>
      </c>
      <c r="B310" t="s">
        <v>444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>
        <v>11.4</v>
      </c>
      <c r="J310" s="8">
        <v>0.77869999999999995</v>
      </c>
      <c r="K310">
        <v>85000</v>
      </c>
      <c r="L310" s="2">
        <v>46138</v>
      </c>
    </row>
    <row r="311" spans="1:12">
      <c r="A311" t="s">
        <v>537</v>
      </c>
      <c r="B311" t="s">
        <v>372</v>
      </c>
      <c r="C311" t="s">
        <v>14</v>
      </c>
      <c r="D311" t="s">
        <v>53</v>
      </c>
      <c r="E311" t="s">
        <v>16</v>
      </c>
      <c r="F311">
        <v>13.81</v>
      </c>
      <c r="G311">
        <v>11.53</v>
      </c>
      <c r="H311">
        <v>11.74</v>
      </c>
      <c r="I311">
        <v>13.74</v>
      </c>
      <c r="J311" s="8">
        <v>0.64239999999999997</v>
      </c>
      <c r="K311">
        <v>130000</v>
      </c>
      <c r="L311" s="2">
        <v>46161</v>
      </c>
    </row>
    <row r="312" spans="1:12">
      <c r="A312" t="s">
        <v>538</v>
      </c>
      <c r="B312" t="s">
        <v>539</v>
      </c>
      <c r="C312" t="s">
        <v>19</v>
      </c>
      <c r="D312" t="s">
        <v>53</v>
      </c>
      <c r="E312" t="s">
        <v>29</v>
      </c>
      <c r="F312">
        <v>20</v>
      </c>
      <c r="G312">
        <v>20</v>
      </c>
      <c r="H312">
        <v>18.260000000000002</v>
      </c>
      <c r="I312">
        <v>17.190000000000001</v>
      </c>
      <c r="J312" s="8">
        <v>0.91190000000000004</v>
      </c>
      <c r="K312">
        <v>50000</v>
      </c>
      <c r="L312" s="2">
        <v>46177</v>
      </c>
    </row>
    <row r="313" spans="1:12">
      <c r="A313" t="s">
        <v>540</v>
      </c>
      <c r="B313" t="s">
        <v>541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>
        <v>16.760000000000002</v>
      </c>
      <c r="J313" s="8">
        <v>0.8952</v>
      </c>
      <c r="K313">
        <v>70000</v>
      </c>
      <c r="L313" s="2">
        <v>45834</v>
      </c>
    </row>
    <row r="314" spans="1:12">
      <c r="A314" t="s">
        <v>542</v>
      </c>
      <c r="B314" t="s">
        <v>543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>
        <v>10.32</v>
      </c>
      <c r="J314" s="8">
        <v>0.88970000000000005</v>
      </c>
      <c r="K314">
        <v>130000</v>
      </c>
      <c r="L314" s="2">
        <v>46065</v>
      </c>
    </row>
    <row r="315" spans="1:12">
      <c r="A315" t="s">
        <v>544</v>
      </c>
      <c r="B315" t="s">
        <v>511</v>
      </c>
      <c r="C315" t="s">
        <v>14</v>
      </c>
      <c r="D315" t="s">
        <v>53</v>
      </c>
      <c r="E315" t="s">
        <v>29</v>
      </c>
      <c r="F315">
        <v>19.940000000000001</v>
      </c>
      <c r="G315">
        <v>20</v>
      </c>
      <c r="H315">
        <v>20</v>
      </c>
      <c r="I315">
        <v>15.25</v>
      </c>
      <c r="J315" s="8">
        <v>0.78210000000000002</v>
      </c>
      <c r="K315">
        <v>130000</v>
      </c>
      <c r="L315" s="2">
        <v>45765</v>
      </c>
    </row>
    <row r="316" spans="1:12">
      <c r="A316" t="s">
        <v>545</v>
      </c>
      <c r="B316" t="s">
        <v>246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>
        <v>8.16</v>
      </c>
      <c r="J316" s="8">
        <v>0.78939999999999999</v>
      </c>
      <c r="K316">
        <v>75000</v>
      </c>
      <c r="L316" s="2">
        <v>46054</v>
      </c>
    </row>
    <row r="317" spans="1:12">
      <c r="A317" t="s">
        <v>546</v>
      </c>
      <c r="B317" t="s">
        <v>256</v>
      </c>
      <c r="C317" t="s">
        <v>19</v>
      </c>
      <c r="D317" t="s">
        <v>28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 s="8">
        <v>0.60060000000000002</v>
      </c>
      <c r="K317">
        <v>130000</v>
      </c>
      <c r="L317" s="2">
        <v>45887</v>
      </c>
    </row>
    <row r="318" spans="1:12">
      <c r="A318" t="s">
        <v>547</v>
      </c>
      <c r="B318" t="s">
        <v>423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>
        <v>19.29</v>
      </c>
      <c r="J318" s="8">
        <v>0.86739999999999995</v>
      </c>
      <c r="K318">
        <v>70000</v>
      </c>
      <c r="L318" s="2">
        <v>45572</v>
      </c>
    </row>
    <row r="319" spans="1:12">
      <c r="A319" t="s">
        <v>548</v>
      </c>
      <c r="B319" t="s">
        <v>539</v>
      </c>
      <c r="C319" t="s">
        <v>19</v>
      </c>
      <c r="D319" t="s">
        <v>36</v>
      </c>
      <c r="E319" t="s">
        <v>29</v>
      </c>
      <c r="F319">
        <v>14.17</v>
      </c>
      <c r="G319">
        <v>14.81</v>
      </c>
      <c r="H319">
        <v>10.97</v>
      </c>
      <c r="I319">
        <v>13.66</v>
      </c>
      <c r="J319" s="8">
        <v>0.98650000000000004</v>
      </c>
      <c r="K319">
        <v>50000</v>
      </c>
      <c r="L319" s="2">
        <v>45828</v>
      </c>
    </row>
    <row r="320" spans="1:12">
      <c r="A320" t="s">
        <v>549</v>
      </c>
      <c r="B320" t="s">
        <v>550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>
        <v>18.14</v>
      </c>
      <c r="J320" s="8">
        <v>0.87139999999999995</v>
      </c>
      <c r="K320">
        <v>75000</v>
      </c>
      <c r="L320" s="2">
        <v>45863</v>
      </c>
    </row>
    <row r="321" spans="1:12">
      <c r="A321" t="s">
        <v>551</v>
      </c>
      <c r="B321" t="s">
        <v>552</v>
      </c>
      <c r="C321" t="s">
        <v>19</v>
      </c>
      <c r="D321" t="s">
        <v>20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 s="8">
        <v>0.96179999999999999</v>
      </c>
      <c r="K321">
        <v>85000</v>
      </c>
      <c r="L321" s="2">
        <v>45716</v>
      </c>
    </row>
    <row r="322" spans="1:12">
      <c r="A322" t="s">
        <v>553</v>
      </c>
      <c r="B322" t="s">
        <v>175</v>
      </c>
      <c r="C322" t="s">
        <v>14</v>
      </c>
      <c r="D322" t="s">
        <v>32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 s="8">
        <v>0.55000000000000004</v>
      </c>
      <c r="K322">
        <v>50000</v>
      </c>
      <c r="L322" s="2">
        <v>45798</v>
      </c>
    </row>
    <row r="323" spans="1:12">
      <c r="A323" t="s">
        <v>554</v>
      </c>
      <c r="B323" t="s">
        <v>555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>
        <v>16.940000000000001</v>
      </c>
      <c r="J323" s="8">
        <v>0.67400000000000004</v>
      </c>
      <c r="K323">
        <v>60000</v>
      </c>
      <c r="L323" s="2">
        <v>45887</v>
      </c>
    </row>
    <row r="324" spans="1:12">
      <c r="A324" t="s">
        <v>556</v>
      </c>
      <c r="B324" t="s">
        <v>557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>
        <v>16.63</v>
      </c>
      <c r="J324" s="8">
        <v>0.8901</v>
      </c>
      <c r="K324">
        <v>110000</v>
      </c>
      <c r="L324" s="2">
        <v>45570</v>
      </c>
    </row>
    <row r="325" spans="1:12">
      <c r="A325" t="s">
        <v>558</v>
      </c>
      <c r="B325" t="s">
        <v>182</v>
      </c>
      <c r="C325" t="s">
        <v>19</v>
      </c>
      <c r="D325" t="s">
        <v>36</v>
      </c>
      <c r="E325" t="s">
        <v>29</v>
      </c>
      <c r="F325">
        <v>12.32</v>
      </c>
      <c r="G325">
        <v>16.18</v>
      </c>
      <c r="H325">
        <v>16.87</v>
      </c>
      <c r="I325">
        <v>8.7200000000000006</v>
      </c>
      <c r="J325" s="8">
        <v>0.66690000000000005</v>
      </c>
      <c r="K325">
        <v>90000</v>
      </c>
      <c r="L325" s="2">
        <v>45642</v>
      </c>
    </row>
    <row r="326" spans="1:12">
      <c r="A326" t="s">
        <v>559</v>
      </c>
      <c r="B326" t="s">
        <v>79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>
        <v>9.6999999999999993</v>
      </c>
      <c r="J326" s="8">
        <v>0.92649999999999999</v>
      </c>
      <c r="K326">
        <v>90000</v>
      </c>
      <c r="L326" s="2">
        <v>46072</v>
      </c>
    </row>
    <row r="327" spans="1:12">
      <c r="A327" t="s">
        <v>560</v>
      </c>
      <c r="B327" t="s">
        <v>69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>
        <v>13.32</v>
      </c>
      <c r="J327" s="8">
        <v>0.9254</v>
      </c>
      <c r="K327">
        <v>130000</v>
      </c>
      <c r="L327" s="2">
        <v>45782</v>
      </c>
    </row>
    <row r="328" spans="1:12">
      <c r="A328" t="s">
        <v>561</v>
      </c>
      <c r="B328" t="s">
        <v>562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>
        <v>4.55</v>
      </c>
      <c r="J328" s="8">
        <v>0.89339999999999997</v>
      </c>
      <c r="K328">
        <v>70000</v>
      </c>
      <c r="L328" s="2">
        <v>45961</v>
      </c>
    </row>
    <row r="329" spans="1:12">
      <c r="A329" t="s">
        <v>563</v>
      </c>
      <c r="B329" t="s">
        <v>564</v>
      </c>
      <c r="C329" t="s">
        <v>14</v>
      </c>
      <c r="D329" t="s">
        <v>53</v>
      </c>
      <c r="E329" t="s">
        <v>21</v>
      </c>
      <c r="F329">
        <v>15.32</v>
      </c>
      <c r="G329">
        <v>16.940000000000001</v>
      </c>
      <c r="H329">
        <v>13.33</v>
      </c>
      <c r="I329">
        <v>15.06</v>
      </c>
      <c r="J329" s="8">
        <v>0.80220000000000002</v>
      </c>
      <c r="K329">
        <v>120000</v>
      </c>
      <c r="L329" s="2">
        <v>45932</v>
      </c>
    </row>
    <row r="330" spans="1:12">
      <c r="A330" t="s">
        <v>565</v>
      </c>
      <c r="B330" t="s">
        <v>382</v>
      </c>
      <c r="C330" t="s">
        <v>14</v>
      </c>
      <c r="D330" t="s">
        <v>53</v>
      </c>
      <c r="E330" t="s">
        <v>29</v>
      </c>
      <c r="F330">
        <v>14.49</v>
      </c>
      <c r="G330">
        <v>16.98</v>
      </c>
      <c r="H330">
        <v>20</v>
      </c>
      <c r="I330">
        <v>17.760000000000002</v>
      </c>
      <c r="J330" s="8">
        <v>0.67269999999999996</v>
      </c>
      <c r="K330">
        <v>75000</v>
      </c>
      <c r="L330" s="2">
        <v>45921</v>
      </c>
    </row>
    <row r="331" spans="1:12">
      <c r="A331" t="s">
        <v>566</v>
      </c>
      <c r="B331" t="s">
        <v>552</v>
      </c>
      <c r="C331" t="s">
        <v>19</v>
      </c>
      <c r="D331" t="s">
        <v>36</v>
      </c>
      <c r="E331" t="s">
        <v>29</v>
      </c>
      <c r="F331">
        <v>12.31</v>
      </c>
      <c r="G331">
        <v>7.56</v>
      </c>
      <c r="H331">
        <v>9.82</v>
      </c>
      <c r="I331">
        <v>7.89</v>
      </c>
      <c r="J331" s="8">
        <v>0.85360000000000003</v>
      </c>
      <c r="K331">
        <v>130000</v>
      </c>
      <c r="L331" s="2">
        <v>45825</v>
      </c>
    </row>
    <row r="332" spans="1:12">
      <c r="A332" t="s">
        <v>567</v>
      </c>
      <c r="B332" t="s">
        <v>270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>
        <v>9.42</v>
      </c>
      <c r="J332" s="8">
        <v>0.78349999999999997</v>
      </c>
      <c r="K332">
        <v>110000</v>
      </c>
      <c r="L332" s="2">
        <v>45874</v>
      </c>
    </row>
    <row r="333" spans="1:12">
      <c r="A333" t="s">
        <v>568</v>
      </c>
      <c r="B333" t="s">
        <v>453</v>
      </c>
      <c r="C333" t="s">
        <v>14</v>
      </c>
      <c r="D333" t="s">
        <v>15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 s="8">
        <v>0.83299999999999996</v>
      </c>
      <c r="K333">
        <v>70000</v>
      </c>
      <c r="L333" s="2">
        <v>46112</v>
      </c>
    </row>
    <row r="334" spans="1:12">
      <c r="A334" t="s">
        <v>569</v>
      </c>
      <c r="B334" t="s">
        <v>220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>
        <v>8.57</v>
      </c>
      <c r="J334" s="8">
        <v>0.95879999999999999</v>
      </c>
      <c r="K334">
        <v>70000</v>
      </c>
      <c r="L334" s="2">
        <v>46211</v>
      </c>
    </row>
    <row r="335" spans="1:12">
      <c r="A335" t="s">
        <v>570</v>
      </c>
      <c r="B335" t="s">
        <v>111</v>
      </c>
      <c r="C335" t="s">
        <v>19</v>
      </c>
      <c r="D335" t="s">
        <v>53</v>
      </c>
      <c r="E335" t="s">
        <v>29</v>
      </c>
      <c r="F335">
        <v>9.61</v>
      </c>
      <c r="G335">
        <v>17.3</v>
      </c>
      <c r="H335">
        <v>12.59</v>
      </c>
      <c r="I335">
        <v>13.33</v>
      </c>
      <c r="J335" s="8">
        <v>0.95950000000000002</v>
      </c>
      <c r="K335">
        <v>85000</v>
      </c>
      <c r="L335" s="2">
        <v>45715</v>
      </c>
    </row>
    <row r="336" spans="1:12">
      <c r="A336" t="s">
        <v>571</v>
      </c>
      <c r="B336" t="s">
        <v>320</v>
      </c>
      <c r="C336" t="s">
        <v>14</v>
      </c>
      <c r="D336" t="s">
        <v>53</v>
      </c>
      <c r="E336" t="s">
        <v>21</v>
      </c>
      <c r="F336">
        <v>5.92</v>
      </c>
      <c r="G336">
        <v>9.7899999999999991</v>
      </c>
      <c r="H336">
        <v>8.35</v>
      </c>
      <c r="I336">
        <v>7.79</v>
      </c>
      <c r="J336" s="8">
        <v>0.93059999999999998</v>
      </c>
      <c r="K336">
        <v>85000</v>
      </c>
      <c r="L336" s="2">
        <v>46004</v>
      </c>
    </row>
    <row r="337" spans="1:12">
      <c r="A337" t="s">
        <v>572</v>
      </c>
      <c r="B337" t="s">
        <v>477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>
        <v>14.45</v>
      </c>
      <c r="J337" s="8">
        <v>0.84789999999999999</v>
      </c>
      <c r="K337">
        <v>70000</v>
      </c>
      <c r="L337" s="2">
        <v>46214</v>
      </c>
    </row>
    <row r="338" spans="1:12">
      <c r="A338" t="s">
        <v>573</v>
      </c>
      <c r="B338" t="s">
        <v>485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>
        <v>19.190000000000001</v>
      </c>
      <c r="J338" s="8">
        <v>0.8589</v>
      </c>
      <c r="K338">
        <v>70000</v>
      </c>
      <c r="L338" s="2">
        <v>45541</v>
      </c>
    </row>
    <row r="339" spans="1:12">
      <c r="A339" t="s">
        <v>574</v>
      </c>
      <c r="B339" t="s">
        <v>575</v>
      </c>
      <c r="C339" t="s">
        <v>14</v>
      </c>
      <c r="D339" t="s">
        <v>36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 s="8">
        <v>0.73309999999999997</v>
      </c>
      <c r="K339">
        <v>120000</v>
      </c>
      <c r="L339" s="2">
        <v>46085</v>
      </c>
    </row>
    <row r="340" spans="1:12">
      <c r="A340" t="s">
        <v>576</v>
      </c>
      <c r="B340" t="s">
        <v>170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>
        <v>9.52</v>
      </c>
      <c r="J340" s="8">
        <v>0.80679999999999996</v>
      </c>
      <c r="K340">
        <v>110000</v>
      </c>
      <c r="L340" s="2">
        <v>45883</v>
      </c>
    </row>
    <row r="341" spans="1:12">
      <c r="A341" t="s">
        <v>577</v>
      </c>
      <c r="B341" t="s">
        <v>578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>
        <v>8.32</v>
      </c>
      <c r="J341" s="8">
        <v>0.95840000000000003</v>
      </c>
      <c r="K341">
        <v>70000</v>
      </c>
      <c r="L341" s="2">
        <v>46213</v>
      </c>
    </row>
    <row r="342" spans="1:12">
      <c r="A342" t="s">
        <v>579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>
        <v>17.010000000000002</v>
      </c>
      <c r="J342" s="8">
        <v>0.93799999999999994</v>
      </c>
      <c r="K342">
        <v>100000</v>
      </c>
      <c r="L342" s="2">
        <v>45940</v>
      </c>
    </row>
    <row r="343" spans="1:12">
      <c r="A343" t="s">
        <v>580</v>
      </c>
      <c r="B343" t="s">
        <v>581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>
        <v>8.2200000000000006</v>
      </c>
      <c r="J343" s="8">
        <v>0.81640000000000001</v>
      </c>
      <c r="K343">
        <v>60000</v>
      </c>
      <c r="L343" s="2">
        <v>46122</v>
      </c>
    </row>
    <row r="344" spans="1:12">
      <c r="A344" t="s">
        <v>582</v>
      </c>
      <c r="B344" t="s">
        <v>243</v>
      </c>
      <c r="C344" t="s">
        <v>19</v>
      </c>
      <c r="D344" t="s">
        <v>20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 s="8">
        <v>0.67269999999999996</v>
      </c>
      <c r="K344">
        <v>80000</v>
      </c>
      <c r="L344" s="2">
        <v>45652</v>
      </c>
    </row>
    <row r="345" spans="1:12">
      <c r="A345" t="s">
        <v>583</v>
      </c>
      <c r="B345" t="s">
        <v>539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>
        <v>9.17</v>
      </c>
      <c r="J345" s="8">
        <v>0.82779999999999998</v>
      </c>
      <c r="K345">
        <v>50000</v>
      </c>
      <c r="L345" s="2">
        <v>45635</v>
      </c>
    </row>
    <row r="346" spans="1:12">
      <c r="A346" t="s">
        <v>584</v>
      </c>
      <c r="B346" t="s">
        <v>585</v>
      </c>
      <c r="C346" t="s">
        <v>19</v>
      </c>
      <c r="D346" t="s">
        <v>53</v>
      </c>
      <c r="E346" t="s">
        <v>16</v>
      </c>
      <c r="F346">
        <v>14.28</v>
      </c>
      <c r="G346">
        <v>13.99</v>
      </c>
      <c r="H346">
        <v>16.07</v>
      </c>
      <c r="I346">
        <v>16.87</v>
      </c>
      <c r="J346" s="8">
        <v>0.79369999999999996</v>
      </c>
      <c r="K346">
        <v>100000</v>
      </c>
      <c r="L346" s="2">
        <v>46184</v>
      </c>
    </row>
    <row r="347" spans="1:12">
      <c r="A347" t="s">
        <v>586</v>
      </c>
      <c r="B347" t="s">
        <v>378</v>
      </c>
      <c r="C347" t="s">
        <v>14</v>
      </c>
      <c r="D347" t="s">
        <v>53</v>
      </c>
      <c r="E347" t="s">
        <v>16</v>
      </c>
      <c r="F347">
        <v>10.56</v>
      </c>
      <c r="G347">
        <v>11.78</v>
      </c>
      <c r="H347">
        <v>9.2899999999999991</v>
      </c>
      <c r="I347">
        <v>12.44</v>
      </c>
      <c r="J347" s="8">
        <v>0.85799999999999998</v>
      </c>
      <c r="K347">
        <v>70000</v>
      </c>
      <c r="L347" s="2">
        <v>45904</v>
      </c>
    </row>
    <row r="348" spans="1:12">
      <c r="A348" t="s">
        <v>587</v>
      </c>
      <c r="B348" t="s">
        <v>310</v>
      </c>
      <c r="C348" t="s">
        <v>19</v>
      </c>
      <c r="D348" t="s">
        <v>36</v>
      </c>
      <c r="E348" t="s">
        <v>21</v>
      </c>
      <c r="F348">
        <v>12.87</v>
      </c>
      <c r="G348">
        <v>11.72</v>
      </c>
      <c r="H348">
        <v>15.77</v>
      </c>
      <c r="I348">
        <v>13.34</v>
      </c>
      <c r="J348" s="8">
        <v>0.86880000000000002</v>
      </c>
      <c r="K348">
        <v>70000</v>
      </c>
      <c r="L348" s="2">
        <v>45926</v>
      </c>
    </row>
    <row r="349" spans="1:12">
      <c r="A349" t="s">
        <v>588</v>
      </c>
      <c r="B349" t="s">
        <v>589</v>
      </c>
      <c r="C349" t="s">
        <v>19</v>
      </c>
      <c r="D349" t="s">
        <v>53</v>
      </c>
      <c r="E349" t="s">
        <v>16</v>
      </c>
      <c r="F349">
        <v>15.84</v>
      </c>
      <c r="G349">
        <v>11.08</v>
      </c>
      <c r="H349">
        <v>17.77</v>
      </c>
      <c r="I349">
        <v>16.34</v>
      </c>
      <c r="J349" s="8">
        <v>0.80469999999999997</v>
      </c>
      <c r="K349">
        <v>70000</v>
      </c>
      <c r="L349" s="2">
        <v>45654</v>
      </c>
    </row>
    <row r="350" spans="1:12">
      <c r="A350" t="s">
        <v>590</v>
      </c>
      <c r="B350" t="s">
        <v>45</v>
      </c>
      <c r="C350" t="s">
        <v>14</v>
      </c>
      <c r="D350" t="s">
        <v>36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 s="8">
        <v>0.9738</v>
      </c>
      <c r="K350">
        <v>70000</v>
      </c>
      <c r="L350" s="2">
        <v>45694</v>
      </c>
    </row>
    <row r="351" spans="1:12">
      <c r="A351" t="s">
        <v>591</v>
      </c>
      <c r="B351" t="s">
        <v>202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>
        <v>13.87</v>
      </c>
      <c r="J351" s="8">
        <v>0.58009999999999995</v>
      </c>
      <c r="K351">
        <v>50000</v>
      </c>
      <c r="L351" s="2">
        <v>46108</v>
      </c>
    </row>
    <row r="352" spans="1:12">
      <c r="A352" t="s">
        <v>592</v>
      </c>
      <c r="B352" t="s">
        <v>479</v>
      </c>
      <c r="C352" t="s">
        <v>19</v>
      </c>
      <c r="D352" t="s">
        <v>53</v>
      </c>
      <c r="E352" t="s">
        <v>29</v>
      </c>
      <c r="F352">
        <v>11.76</v>
      </c>
      <c r="G352">
        <v>16.87</v>
      </c>
      <c r="H352">
        <v>15.57</v>
      </c>
      <c r="I352">
        <v>15.7</v>
      </c>
      <c r="J352" s="8">
        <v>0.83930000000000005</v>
      </c>
      <c r="K352">
        <v>90000</v>
      </c>
      <c r="L352" s="2">
        <v>45748</v>
      </c>
    </row>
    <row r="353" spans="1:12">
      <c r="A353" t="s">
        <v>593</v>
      </c>
      <c r="B353" t="s">
        <v>594</v>
      </c>
      <c r="C353" t="s">
        <v>14</v>
      </c>
      <c r="D353" t="s">
        <v>36</v>
      </c>
      <c r="E353" t="s">
        <v>21</v>
      </c>
      <c r="F353">
        <v>6.96</v>
      </c>
      <c r="G353">
        <v>12.18</v>
      </c>
      <c r="H353">
        <v>5.08</v>
      </c>
      <c r="I353">
        <v>10.72</v>
      </c>
      <c r="J353" s="8">
        <v>0.85319999999999996</v>
      </c>
      <c r="K353">
        <v>120000</v>
      </c>
      <c r="L353" s="2">
        <v>45944</v>
      </c>
    </row>
    <row r="354" spans="1:12">
      <c r="A354" t="s">
        <v>595</v>
      </c>
      <c r="B354" t="s">
        <v>65</v>
      </c>
      <c r="C354" t="s">
        <v>14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 s="8">
        <v>0.84409999999999996</v>
      </c>
      <c r="K354">
        <v>75000</v>
      </c>
      <c r="L354" s="2">
        <v>45757</v>
      </c>
    </row>
    <row r="355" spans="1:12">
      <c r="A355" t="s">
        <v>596</v>
      </c>
      <c r="B355" t="s">
        <v>378</v>
      </c>
      <c r="C355" t="s">
        <v>14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 s="8">
        <v>0.83609999999999995</v>
      </c>
      <c r="K355">
        <v>110000</v>
      </c>
      <c r="L355" s="2">
        <v>45720</v>
      </c>
    </row>
    <row r="356" spans="1:12">
      <c r="A356" t="s">
        <v>597</v>
      </c>
      <c r="B356" t="s">
        <v>256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>
        <v>9.59</v>
      </c>
      <c r="J356" s="8">
        <v>0.82279999999999998</v>
      </c>
      <c r="K356">
        <v>85000</v>
      </c>
      <c r="L356" s="2">
        <v>45652</v>
      </c>
    </row>
    <row r="357" spans="1:12">
      <c r="A357" t="s">
        <v>598</v>
      </c>
      <c r="B357" t="s">
        <v>113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>
        <v>12.04</v>
      </c>
      <c r="J357" s="8">
        <v>0.90110000000000001</v>
      </c>
      <c r="K357">
        <v>70000</v>
      </c>
      <c r="L357" s="2">
        <v>46186</v>
      </c>
    </row>
    <row r="358" spans="1:12">
      <c r="A358" t="s">
        <v>599</v>
      </c>
      <c r="B358" t="s">
        <v>600</v>
      </c>
      <c r="C358" t="s">
        <v>14</v>
      </c>
      <c r="D358" t="s">
        <v>32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 s="8">
        <v>0.84319999999999995</v>
      </c>
      <c r="K358">
        <v>50000</v>
      </c>
      <c r="L358" s="2">
        <v>46194</v>
      </c>
    </row>
    <row r="359" spans="1:12">
      <c r="A359" t="s">
        <v>601</v>
      </c>
      <c r="B359" t="s">
        <v>119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>
        <v>13.48</v>
      </c>
      <c r="J359" s="8">
        <v>0.94010000000000005</v>
      </c>
      <c r="K359">
        <v>110000</v>
      </c>
      <c r="L359" s="2">
        <v>45616</v>
      </c>
    </row>
    <row r="360" spans="1:12">
      <c r="A360" t="s">
        <v>602</v>
      </c>
      <c r="B360" t="s">
        <v>340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>
        <v>14.48</v>
      </c>
      <c r="J360" s="8">
        <v>0.87829999999999997</v>
      </c>
      <c r="K360">
        <v>50000</v>
      </c>
      <c r="L360" s="2">
        <v>45783</v>
      </c>
    </row>
    <row r="361" spans="1:12">
      <c r="A361" t="s">
        <v>603</v>
      </c>
      <c r="B361" t="s">
        <v>146</v>
      </c>
      <c r="C361" t="s">
        <v>19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 s="8">
        <v>0.9587</v>
      </c>
      <c r="K361">
        <v>80000</v>
      </c>
      <c r="L361" s="2">
        <v>45930</v>
      </c>
    </row>
    <row r="362" spans="1:12">
      <c r="A362" t="s">
        <v>604</v>
      </c>
      <c r="B362" t="s">
        <v>233</v>
      </c>
      <c r="C362" t="s">
        <v>19</v>
      </c>
      <c r="D362" t="s">
        <v>32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 s="8">
        <v>0.76790000000000003</v>
      </c>
      <c r="K362">
        <v>50000</v>
      </c>
      <c r="L362" s="2">
        <v>45804</v>
      </c>
    </row>
    <row r="363" spans="1:12">
      <c r="A363" t="s">
        <v>605</v>
      </c>
      <c r="B363" t="s">
        <v>81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>
        <v>12.07</v>
      </c>
      <c r="J363" s="8">
        <v>0.80830000000000002</v>
      </c>
      <c r="K363">
        <v>110000</v>
      </c>
      <c r="L363" s="2">
        <v>46040</v>
      </c>
    </row>
    <row r="364" spans="1:12">
      <c r="A364" t="s">
        <v>606</v>
      </c>
      <c r="B364" t="s">
        <v>607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>
        <v>18.23</v>
      </c>
      <c r="J364" s="8">
        <v>0.87450000000000006</v>
      </c>
      <c r="K364">
        <v>130000</v>
      </c>
      <c r="L364" s="2">
        <v>45718</v>
      </c>
    </row>
    <row r="365" spans="1:12">
      <c r="A365" t="s">
        <v>608</v>
      </c>
      <c r="B365" t="s">
        <v>464</v>
      </c>
      <c r="C365" t="s">
        <v>19</v>
      </c>
      <c r="D365" t="s">
        <v>20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 s="8">
        <v>0.79049999999999998</v>
      </c>
      <c r="K365">
        <v>75000</v>
      </c>
      <c r="L365" s="2">
        <v>45577</v>
      </c>
    </row>
    <row r="366" spans="1:12">
      <c r="A366" t="s">
        <v>609</v>
      </c>
      <c r="B366" t="s">
        <v>357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>
        <v>6.96</v>
      </c>
      <c r="J366" s="8">
        <v>0.75980000000000003</v>
      </c>
      <c r="K366">
        <v>75000</v>
      </c>
      <c r="L366" s="2">
        <v>45771</v>
      </c>
    </row>
    <row r="367" spans="1:12">
      <c r="A367" t="s">
        <v>610</v>
      </c>
      <c r="B367" t="s">
        <v>611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>
        <v>17.05</v>
      </c>
      <c r="J367" s="8">
        <v>0.80969999999999998</v>
      </c>
      <c r="K367">
        <v>90000</v>
      </c>
      <c r="L367" s="2">
        <v>45954</v>
      </c>
    </row>
    <row r="368" spans="1:12">
      <c r="A368" t="s">
        <v>612</v>
      </c>
      <c r="B368" t="s">
        <v>600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>
        <v>13.28</v>
      </c>
      <c r="J368" s="8">
        <v>0.8569</v>
      </c>
      <c r="K368">
        <v>85000</v>
      </c>
      <c r="L368" s="2">
        <v>45662</v>
      </c>
    </row>
    <row r="369" spans="1:12">
      <c r="A369" t="s">
        <v>613</v>
      </c>
      <c r="B369" t="s">
        <v>65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>
        <v>17.940000000000001</v>
      </c>
      <c r="J369" s="8">
        <v>0.93240000000000001</v>
      </c>
      <c r="K369">
        <v>80000</v>
      </c>
      <c r="L369" s="2">
        <v>46107</v>
      </c>
    </row>
    <row r="370" spans="1:12">
      <c r="A370" t="s">
        <v>614</v>
      </c>
      <c r="B370" t="s">
        <v>188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>
        <v>17.27</v>
      </c>
      <c r="J370" s="8">
        <v>0.72989999999999999</v>
      </c>
      <c r="K370">
        <v>80000</v>
      </c>
      <c r="L370" s="2">
        <v>45544</v>
      </c>
    </row>
    <row r="371" spans="1:12">
      <c r="A371" t="s">
        <v>615</v>
      </c>
      <c r="B371" t="s">
        <v>272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>
        <v>17.02</v>
      </c>
      <c r="J371" s="8">
        <v>0.98099999999999998</v>
      </c>
      <c r="K371">
        <v>70000</v>
      </c>
      <c r="L371" s="2">
        <v>45583</v>
      </c>
    </row>
    <row r="372" spans="1:12">
      <c r="A372" t="s">
        <v>616</v>
      </c>
      <c r="B372" t="s">
        <v>194</v>
      </c>
      <c r="C372" t="s">
        <v>14</v>
      </c>
      <c r="D372" t="s">
        <v>28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 s="8">
        <v>0.66879999999999995</v>
      </c>
      <c r="K372">
        <v>70000</v>
      </c>
      <c r="L372" s="2">
        <v>45892</v>
      </c>
    </row>
    <row r="373" spans="1:12">
      <c r="A373" t="s">
        <v>617</v>
      </c>
      <c r="B373" t="s">
        <v>618</v>
      </c>
      <c r="C373" t="s">
        <v>19</v>
      </c>
      <c r="D373" t="s">
        <v>53</v>
      </c>
      <c r="E373" t="s">
        <v>16</v>
      </c>
      <c r="F373">
        <v>17.63</v>
      </c>
      <c r="G373">
        <v>19.52</v>
      </c>
      <c r="H373">
        <v>20</v>
      </c>
      <c r="I373">
        <v>19.12</v>
      </c>
      <c r="J373" s="8">
        <v>0.88249999999999995</v>
      </c>
      <c r="K373">
        <v>90000</v>
      </c>
      <c r="L373" s="2">
        <v>45894</v>
      </c>
    </row>
    <row r="374" spans="1:12">
      <c r="A374" t="s">
        <v>619</v>
      </c>
      <c r="B374" t="s">
        <v>620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>
        <v>12.38</v>
      </c>
      <c r="J374" s="8">
        <v>0.69179999999999997</v>
      </c>
      <c r="K374">
        <v>110000</v>
      </c>
      <c r="L374" s="2">
        <v>45742</v>
      </c>
    </row>
    <row r="375" spans="1:12">
      <c r="A375" t="s">
        <v>621</v>
      </c>
      <c r="B375" t="s">
        <v>444</v>
      </c>
      <c r="C375" t="s">
        <v>14</v>
      </c>
      <c r="D375" t="s">
        <v>53</v>
      </c>
      <c r="E375" t="s">
        <v>16</v>
      </c>
      <c r="F375">
        <v>14.08</v>
      </c>
      <c r="G375">
        <v>17.010000000000002</v>
      </c>
      <c r="H375">
        <v>10.24</v>
      </c>
      <c r="I375">
        <v>12.02</v>
      </c>
      <c r="J375" s="8">
        <v>0.89070000000000005</v>
      </c>
      <c r="K375">
        <v>110000</v>
      </c>
      <c r="L375" s="2">
        <v>45716</v>
      </c>
    </row>
    <row r="376" spans="1:12">
      <c r="A376" t="s">
        <v>622</v>
      </c>
      <c r="B376" t="s">
        <v>623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>
        <v>12.71</v>
      </c>
      <c r="J376" s="8">
        <v>0.64280000000000004</v>
      </c>
      <c r="K376">
        <v>85000</v>
      </c>
      <c r="L376" s="2">
        <v>45584</v>
      </c>
    </row>
    <row r="377" spans="1:12">
      <c r="A377" t="s">
        <v>624</v>
      </c>
      <c r="B377" t="s">
        <v>625</v>
      </c>
      <c r="C377" t="s">
        <v>14</v>
      </c>
      <c r="D377" t="s">
        <v>36</v>
      </c>
      <c r="E377" t="s">
        <v>29</v>
      </c>
      <c r="F377">
        <v>15.72</v>
      </c>
      <c r="G377">
        <v>18.350000000000001</v>
      </c>
      <c r="H377">
        <v>10.81</v>
      </c>
      <c r="I377">
        <v>15.22</v>
      </c>
      <c r="J377" s="8">
        <v>0.95150000000000001</v>
      </c>
      <c r="K377">
        <v>110000</v>
      </c>
      <c r="L377" s="2">
        <v>46000</v>
      </c>
    </row>
    <row r="378" spans="1:12">
      <c r="A378" t="s">
        <v>626</v>
      </c>
      <c r="B378" t="s">
        <v>627</v>
      </c>
      <c r="C378" t="s">
        <v>19</v>
      </c>
      <c r="D378" t="s">
        <v>28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 s="8">
        <v>0.90229999999999999</v>
      </c>
      <c r="K378">
        <v>90000</v>
      </c>
      <c r="L378" s="2">
        <v>45801</v>
      </c>
    </row>
    <row r="379" spans="1:12">
      <c r="A379" t="s">
        <v>628</v>
      </c>
      <c r="B379" t="s">
        <v>589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>
        <v>9.9700000000000006</v>
      </c>
      <c r="J379" s="8">
        <v>0.84560000000000002</v>
      </c>
      <c r="K379">
        <v>75000</v>
      </c>
      <c r="L379" s="2">
        <v>45619</v>
      </c>
    </row>
    <row r="380" spans="1:12">
      <c r="A380" t="s">
        <v>629</v>
      </c>
      <c r="B380" t="s">
        <v>630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>
        <v>19.98</v>
      </c>
      <c r="J380" s="8">
        <v>0.96209999999999996</v>
      </c>
      <c r="K380">
        <v>75000</v>
      </c>
      <c r="L380" s="2">
        <v>45815</v>
      </c>
    </row>
    <row r="381" spans="1:12">
      <c r="A381" t="s">
        <v>631</v>
      </c>
      <c r="B381" t="s">
        <v>632</v>
      </c>
      <c r="C381" t="s">
        <v>14</v>
      </c>
      <c r="D381" t="s">
        <v>36</v>
      </c>
      <c r="E381" t="s">
        <v>16</v>
      </c>
      <c r="F381">
        <v>14</v>
      </c>
      <c r="G381">
        <v>15.69</v>
      </c>
      <c r="H381">
        <v>13.38</v>
      </c>
      <c r="I381">
        <v>14.47</v>
      </c>
      <c r="J381" s="8">
        <v>0.67779999999999996</v>
      </c>
      <c r="K381">
        <v>85000</v>
      </c>
      <c r="L381" s="2">
        <v>46191</v>
      </c>
    </row>
    <row r="382" spans="1:12">
      <c r="A382" t="s">
        <v>633</v>
      </c>
      <c r="B382" t="s">
        <v>135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>
        <v>11.71</v>
      </c>
      <c r="J382" s="8">
        <v>0.9073</v>
      </c>
      <c r="K382">
        <v>75000</v>
      </c>
      <c r="L382" s="2">
        <v>45718</v>
      </c>
    </row>
    <row r="383" spans="1:12">
      <c r="A383" t="s">
        <v>634</v>
      </c>
      <c r="B383" t="s">
        <v>509</v>
      </c>
      <c r="C383" t="s">
        <v>19</v>
      </c>
      <c r="D383" t="s">
        <v>36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 s="8">
        <v>0.65949999999999998</v>
      </c>
      <c r="K383">
        <v>110000</v>
      </c>
      <c r="L383" s="2">
        <v>46162</v>
      </c>
    </row>
    <row r="384" spans="1:12">
      <c r="A384" t="s">
        <v>635</v>
      </c>
      <c r="B384" t="s">
        <v>636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>
        <v>11.87</v>
      </c>
      <c r="J384" s="8">
        <v>0.80689999999999995</v>
      </c>
      <c r="K384">
        <v>70000</v>
      </c>
      <c r="L384" s="2">
        <v>45717</v>
      </c>
    </row>
    <row r="385" spans="1:12">
      <c r="A385" t="s">
        <v>637</v>
      </c>
      <c r="B385" t="s">
        <v>75</v>
      </c>
      <c r="C385" t="s">
        <v>14</v>
      </c>
      <c r="D385" t="s">
        <v>28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 s="8">
        <v>0.87890000000000001</v>
      </c>
      <c r="K385">
        <v>50000</v>
      </c>
      <c r="L385" s="2">
        <v>45666</v>
      </c>
    </row>
    <row r="386" spans="1:12">
      <c r="A386" t="s">
        <v>638</v>
      </c>
      <c r="B386" t="s">
        <v>157</v>
      </c>
      <c r="C386" t="s">
        <v>14</v>
      </c>
      <c r="D386" t="s">
        <v>28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 s="8">
        <v>0.73029999999999995</v>
      </c>
      <c r="K386">
        <v>85000</v>
      </c>
      <c r="L386" s="2">
        <v>45718</v>
      </c>
    </row>
    <row r="387" spans="1:12">
      <c r="A387" t="s">
        <v>639</v>
      </c>
      <c r="B387" t="s">
        <v>640</v>
      </c>
      <c r="C387" t="s">
        <v>14</v>
      </c>
      <c r="D387" t="s">
        <v>36</v>
      </c>
      <c r="E387" t="s">
        <v>16</v>
      </c>
      <c r="F387">
        <v>9.8800000000000008</v>
      </c>
      <c r="G387">
        <v>14.25</v>
      </c>
      <c r="H387">
        <v>14.7</v>
      </c>
      <c r="I387">
        <v>8.82</v>
      </c>
      <c r="J387" s="8">
        <v>0.9486</v>
      </c>
      <c r="K387">
        <v>50000</v>
      </c>
      <c r="L387" s="2">
        <v>45762</v>
      </c>
    </row>
    <row r="388" spans="1:12">
      <c r="A388" t="s">
        <v>641</v>
      </c>
      <c r="B388" t="s">
        <v>248</v>
      </c>
      <c r="C388" t="s">
        <v>14</v>
      </c>
      <c r="D388" t="s">
        <v>36</v>
      </c>
      <c r="E388" t="s">
        <v>16</v>
      </c>
      <c r="F388">
        <v>15.06</v>
      </c>
      <c r="G388">
        <v>15.18</v>
      </c>
      <c r="H388">
        <v>10.81</v>
      </c>
      <c r="I388">
        <v>15.1</v>
      </c>
      <c r="J388" s="8">
        <v>0.60780000000000001</v>
      </c>
      <c r="K388">
        <v>70000</v>
      </c>
      <c r="L388" s="2">
        <v>45620</v>
      </c>
    </row>
    <row r="389" spans="1:12">
      <c r="A389" t="s">
        <v>642</v>
      </c>
      <c r="B389" t="s">
        <v>552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>
        <v>14.76</v>
      </c>
      <c r="J389" s="8">
        <v>0.86929999999999996</v>
      </c>
      <c r="K389">
        <v>80000</v>
      </c>
      <c r="L389" s="2">
        <v>45947</v>
      </c>
    </row>
    <row r="390" spans="1:12">
      <c r="A390" t="s">
        <v>643</v>
      </c>
      <c r="B390" t="s">
        <v>262</v>
      </c>
      <c r="C390" t="s">
        <v>19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 s="8">
        <v>0.9224</v>
      </c>
      <c r="K390">
        <v>50000</v>
      </c>
      <c r="L390" s="2">
        <v>45769</v>
      </c>
    </row>
    <row r="391" spans="1:12">
      <c r="A391" t="s">
        <v>644</v>
      </c>
      <c r="B391" t="s">
        <v>370</v>
      </c>
      <c r="C391" t="s">
        <v>14</v>
      </c>
      <c r="D391" t="s">
        <v>53</v>
      </c>
      <c r="E391" t="s">
        <v>29</v>
      </c>
      <c r="F391">
        <v>7.21</v>
      </c>
      <c r="G391">
        <v>14.42</v>
      </c>
      <c r="H391">
        <v>9.4600000000000009</v>
      </c>
      <c r="I391">
        <v>11.73</v>
      </c>
      <c r="J391" s="8">
        <v>0.78449999999999998</v>
      </c>
      <c r="K391">
        <v>70000</v>
      </c>
      <c r="L391" s="2">
        <v>46038</v>
      </c>
    </row>
    <row r="392" spans="1:12">
      <c r="A392" t="s">
        <v>645</v>
      </c>
      <c r="B392" t="s">
        <v>646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>
        <v>10.1</v>
      </c>
      <c r="J392" s="8">
        <v>0.92059999999999997</v>
      </c>
      <c r="K392">
        <v>85000</v>
      </c>
      <c r="L392" s="2">
        <v>45879</v>
      </c>
    </row>
    <row r="393" spans="1:12">
      <c r="A393" t="s">
        <v>647</v>
      </c>
      <c r="B393" t="s">
        <v>202</v>
      </c>
      <c r="C393" t="s">
        <v>14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 s="8">
        <v>0.82630000000000003</v>
      </c>
      <c r="K393">
        <v>80000</v>
      </c>
      <c r="L393" s="2">
        <v>45845</v>
      </c>
    </row>
    <row r="394" spans="1:12">
      <c r="A394" t="s">
        <v>648</v>
      </c>
      <c r="B394" t="s">
        <v>649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>
        <v>12.73</v>
      </c>
      <c r="J394" s="8">
        <v>0.94930000000000003</v>
      </c>
      <c r="K394">
        <v>120000</v>
      </c>
      <c r="L394" s="2">
        <v>45865</v>
      </c>
    </row>
    <row r="395" spans="1:12">
      <c r="A395" t="s">
        <v>650</v>
      </c>
      <c r="B395" t="s">
        <v>651</v>
      </c>
      <c r="C395" t="s">
        <v>19</v>
      </c>
      <c r="D395" t="s">
        <v>53</v>
      </c>
      <c r="E395" t="s">
        <v>29</v>
      </c>
      <c r="F395">
        <v>12.98</v>
      </c>
      <c r="G395">
        <v>12.45</v>
      </c>
      <c r="H395">
        <v>13.85</v>
      </c>
      <c r="I395">
        <v>12.73</v>
      </c>
      <c r="J395" s="8">
        <v>0.55000000000000004</v>
      </c>
      <c r="K395">
        <v>60000</v>
      </c>
      <c r="L395" s="2">
        <v>45645</v>
      </c>
    </row>
    <row r="396" spans="1:12">
      <c r="A396" t="s">
        <v>652</v>
      </c>
      <c r="B396" t="s">
        <v>653</v>
      </c>
      <c r="C396" t="s">
        <v>19</v>
      </c>
      <c r="D396" t="s">
        <v>36</v>
      </c>
      <c r="E396" t="s">
        <v>21</v>
      </c>
      <c r="F396">
        <v>16</v>
      </c>
      <c r="G396">
        <v>16.41</v>
      </c>
      <c r="H396">
        <v>20</v>
      </c>
      <c r="I396">
        <v>14.9</v>
      </c>
      <c r="J396" s="8">
        <v>0.89339999999999997</v>
      </c>
      <c r="K396">
        <v>100000</v>
      </c>
      <c r="L396" s="2">
        <v>46035</v>
      </c>
    </row>
    <row r="397" spans="1:12">
      <c r="A397" t="s">
        <v>654</v>
      </c>
      <c r="B397" t="s">
        <v>655</v>
      </c>
      <c r="C397" t="s">
        <v>19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 s="8">
        <v>0.95520000000000005</v>
      </c>
      <c r="K397">
        <v>90000</v>
      </c>
      <c r="L397" s="2">
        <v>45608</v>
      </c>
    </row>
    <row r="398" spans="1:12">
      <c r="A398" t="s">
        <v>656</v>
      </c>
      <c r="B398" t="s">
        <v>657</v>
      </c>
      <c r="C398" t="s">
        <v>14</v>
      </c>
      <c r="D398" t="s">
        <v>28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 s="8">
        <v>0.81210000000000004</v>
      </c>
      <c r="K398">
        <v>100000</v>
      </c>
      <c r="L398" s="2">
        <v>46041</v>
      </c>
    </row>
    <row r="399" spans="1:12">
      <c r="A399" t="s">
        <v>658</v>
      </c>
      <c r="B399" t="s">
        <v>659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>
        <v>11.96</v>
      </c>
      <c r="J399" s="8">
        <v>0.86140000000000005</v>
      </c>
      <c r="K399">
        <v>100000</v>
      </c>
      <c r="L399" s="2">
        <v>46235</v>
      </c>
    </row>
    <row r="400" spans="1:12">
      <c r="A400" t="s">
        <v>660</v>
      </c>
      <c r="B400" t="s">
        <v>514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>
        <v>12.39</v>
      </c>
      <c r="J400" s="8">
        <v>0.76500000000000001</v>
      </c>
      <c r="K400">
        <v>50000</v>
      </c>
      <c r="L400" s="2">
        <v>46070</v>
      </c>
    </row>
    <row r="401" spans="1:12">
      <c r="A401" t="s">
        <v>661</v>
      </c>
      <c r="B401" t="s">
        <v>662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>
        <v>9.6300000000000008</v>
      </c>
      <c r="J401" s="8">
        <v>0.94640000000000002</v>
      </c>
      <c r="K401">
        <v>110000</v>
      </c>
      <c r="L401" s="2">
        <v>45854</v>
      </c>
    </row>
    <row r="402" spans="1:12">
      <c r="A402" t="s">
        <v>663</v>
      </c>
      <c r="B402" t="s">
        <v>79</v>
      </c>
      <c r="C402" t="s">
        <v>19</v>
      </c>
      <c r="D402" t="s">
        <v>36</v>
      </c>
      <c r="E402" t="s">
        <v>21</v>
      </c>
      <c r="F402">
        <v>15.65</v>
      </c>
      <c r="G402">
        <v>19.149999999999999</v>
      </c>
      <c r="H402">
        <v>14.4</v>
      </c>
      <c r="I402">
        <v>11.49</v>
      </c>
      <c r="J402" s="8">
        <v>0.96989999999999998</v>
      </c>
      <c r="K402">
        <v>75000</v>
      </c>
      <c r="L402" s="2">
        <v>45756</v>
      </c>
    </row>
    <row r="403" spans="1:12">
      <c r="A403" t="s">
        <v>664</v>
      </c>
      <c r="B403" t="s">
        <v>362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>
        <v>14.41</v>
      </c>
      <c r="J403" s="8">
        <v>0.84499999999999997</v>
      </c>
      <c r="K403">
        <v>100000</v>
      </c>
      <c r="L403" s="2">
        <v>46146</v>
      </c>
    </row>
    <row r="404" spans="1:12">
      <c r="A404" t="s">
        <v>665</v>
      </c>
      <c r="B404" t="s">
        <v>258</v>
      </c>
      <c r="C404" t="s">
        <v>14</v>
      </c>
      <c r="D404" t="s">
        <v>36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 s="8">
        <v>0.91410000000000002</v>
      </c>
      <c r="K404">
        <v>75000</v>
      </c>
      <c r="L404" s="2">
        <v>45716</v>
      </c>
    </row>
    <row r="405" spans="1:12">
      <c r="A405" t="s">
        <v>666</v>
      </c>
      <c r="B405" t="s">
        <v>667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>
        <v>10.99</v>
      </c>
      <c r="J405" s="8">
        <v>0.66739999999999999</v>
      </c>
      <c r="K405">
        <v>80000</v>
      </c>
      <c r="L405" s="2">
        <v>45873</v>
      </c>
    </row>
    <row r="406" spans="1:12">
      <c r="A406" t="s">
        <v>668</v>
      </c>
      <c r="B406" t="s">
        <v>669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>
        <v>18.62</v>
      </c>
      <c r="J406" s="8">
        <v>0.80230000000000001</v>
      </c>
      <c r="K406">
        <v>100000</v>
      </c>
      <c r="L406" s="2">
        <v>46075</v>
      </c>
    </row>
    <row r="407" spans="1:12">
      <c r="A407" t="s">
        <v>670</v>
      </c>
      <c r="B407" t="s">
        <v>671</v>
      </c>
      <c r="C407" t="s">
        <v>19</v>
      </c>
      <c r="D407" t="s">
        <v>53</v>
      </c>
      <c r="E407" t="s">
        <v>21</v>
      </c>
      <c r="F407">
        <v>13.66</v>
      </c>
      <c r="G407">
        <v>18.61</v>
      </c>
      <c r="H407">
        <v>20</v>
      </c>
      <c r="I407">
        <v>17.59</v>
      </c>
      <c r="J407" s="8">
        <v>0.92069999999999996</v>
      </c>
      <c r="K407">
        <v>130000</v>
      </c>
      <c r="L407" s="2">
        <v>46181</v>
      </c>
    </row>
    <row r="408" spans="1:12">
      <c r="A408" t="s">
        <v>672</v>
      </c>
      <c r="B408" t="s">
        <v>337</v>
      </c>
      <c r="C408" t="s">
        <v>14</v>
      </c>
      <c r="D408" t="s">
        <v>36</v>
      </c>
      <c r="E408" t="s">
        <v>21</v>
      </c>
      <c r="F408">
        <v>11.3</v>
      </c>
      <c r="G408">
        <v>13.85</v>
      </c>
      <c r="H408">
        <v>8.94</v>
      </c>
      <c r="I408">
        <v>10.39</v>
      </c>
      <c r="J408" s="8">
        <v>0.87849999999999995</v>
      </c>
      <c r="K408">
        <v>120000</v>
      </c>
      <c r="L408" s="2">
        <v>46180</v>
      </c>
    </row>
    <row r="409" spans="1:12">
      <c r="A409" t="s">
        <v>673</v>
      </c>
      <c r="B409" t="s">
        <v>291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>
        <v>12.34</v>
      </c>
      <c r="J409" s="8">
        <v>0.66169999999999995</v>
      </c>
      <c r="K409">
        <v>100000</v>
      </c>
      <c r="L409" s="2">
        <v>45597</v>
      </c>
    </row>
    <row r="410" spans="1:12">
      <c r="A410" t="s">
        <v>674</v>
      </c>
      <c r="B410" t="s">
        <v>675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>
        <v>12.14</v>
      </c>
      <c r="J410" s="8">
        <v>0.86729999999999996</v>
      </c>
      <c r="K410">
        <v>85000</v>
      </c>
      <c r="L410" s="2">
        <v>46164</v>
      </c>
    </row>
    <row r="411" spans="1:12">
      <c r="A411" t="s">
        <v>676</v>
      </c>
      <c r="B411" t="s">
        <v>417</v>
      </c>
      <c r="C411" t="s">
        <v>14</v>
      </c>
      <c r="D411" t="s">
        <v>15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 s="8">
        <v>0.80100000000000005</v>
      </c>
      <c r="K411">
        <v>85000</v>
      </c>
      <c r="L411" s="2">
        <v>45615</v>
      </c>
    </row>
    <row r="412" spans="1:12">
      <c r="A412" t="s">
        <v>677</v>
      </c>
      <c r="B412" t="s">
        <v>564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>
        <v>14.04</v>
      </c>
      <c r="J412" s="8">
        <v>0.77969999999999995</v>
      </c>
      <c r="K412">
        <v>130000</v>
      </c>
      <c r="L412" s="2">
        <v>45945</v>
      </c>
    </row>
    <row r="413" spans="1:12">
      <c r="A413" t="s">
        <v>678</v>
      </c>
      <c r="B413" t="s">
        <v>679</v>
      </c>
      <c r="C413" t="s">
        <v>14</v>
      </c>
      <c r="D413" t="s">
        <v>53</v>
      </c>
      <c r="E413" t="s">
        <v>21</v>
      </c>
      <c r="F413">
        <v>11.69</v>
      </c>
      <c r="G413">
        <v>15.59</v>
      </c>
      <c r="H413">
        <v>14.88</v>
      </c>
      <c r="I413">
        <v>19.7</v>
      </c>
      <c r="J413" s="8">
        <v>0.6956</v>
      </c>
      <c r="K413">
        <v>70000</v>
      </c>
      <c r="L413" s="2">
        <v>46186</v>
      </c>
    </row>
    <row r="414" spans="1:12">
      <c r="A414" t="s">
        <v>680</v>
      </c>
      <c r="B414" t="s">
        <v>555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>
        <v>16.72</v>
      </c>
      <c r="J414" s="8">
        <v>0.95930000000000004</v>
      </c>
      <c r="K414">
        <v>130000</v>
      </c>
      <c r="L414" s="2">
        <v>45994</v>
      </c>
    </row>
    <row r="415" spans="1:12">
      <c r="A415" t="s">
        <v>681</v>
      </c>
      <c r="B415" t="s">
        <v>117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>
        <v>20</v>
      </c>
      <c r="J415" s="8">
        <v>0.72550000000000003</v>
      </c>
      <c r="K415">
        <v>100000</v>
      </c>
      <c r="L415" s="2">
        <v>46199</v>
      </c>
    </row>
    <row r="416" spans="1:12">
      <c r="A416" t="s">
        <v>682</v>
      </c>
      <c r="B416" t="s">
        <v>683</v>
      </c>
      <c r="C416" t="s">
        <v>14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 s="8">
        <v>0.77539999999999998</v>
      </c>
      <c r="K416">
        <v>90000</v>
      </c>
      <c r="L416" s="2">
        <v>45777</v>
      </c>
    </row>
    <row r="417" spans="1:12">
      <c r="A417" t="s">
        <v>684</v>
      </c>
      <c r="B417" t="s">
        <v>148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>
        <v>15.45</v>
      </c>
      <c r="J417" s="8">
        <v>0.80400000000000005</v>
      </c>
      <c r="K417">
        <v>90000</v>
      </c>
      <c r="L417" s="2">
        <v>45756</v>
      </c>
    </row>
    <row r="418" spans="1:12">
      <c r="A418" t="s">
        <v>685</v>
      </c>
      <c r="B418" t="s">
        <v>346</v>
      </c>
      <c r="C418" t="s">
        <v>19</v>
      </c>
      <c r="D418" t="s">
        <v>36</v>
      </c>
      <c r="E418" t="s">
        <v>16</v>
      </c>
      <c r="F418">
        <v>13.37</v>
      </c>
      <c r="G418">
        <v>15.19</v>
      </c>
      <c r="H418">
        <v>14.07</v>
      </c>
      <c r="I418">
        <v>16.670000000000002</v>
      </c>
      <c r="J418" s="8">
        <v>0.88229999999999997</v>
      </c>
      <c r="K418">
        <v>110000</v>
      </c>
      <c r="L418" s="2">
        <v>45764</v>
      </c>
    </row>
    <row r="419" spans="1:12">
      <c r="A419" t="s">
        <v>686</v>
      </c>
      <c r="B419" t="s">
        <v>251</v>
      </c>
      <c r="C419" t="s">
        <v>14</v>
      </c>
      <c r="D419" t="s">
        <v>32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 s="8">
        <v>0.61419999999999997</v>
      </c>
      <c r="K419">
        <v>100000</v>
      </c>
      <c r="L419" s="2">
        <v>45784</v>
      </c>
    </row>
    <row r="420" spans="1:12">
      <c r="A420" t="s">
        <v>687</v>
      </c>
      <c r="B420" t="s">
        <v>372</v>
      </c>
      <c r="C420" t="s">
        <v>14</v>
      </c>
      <c r="D420" t="s">
        <v>28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 s="8">
        <v>0.75819999999999999</v>
      </c>
      <c r="K420">
        <v>60000</v>
      </c>
      <c r="L420" s="2">
        <v>46013</v>
      </c>
    </row>
    <row r="421" spans="1:12">
      <c r="A421" t="s">
        <v>688</v>
      </c>
      <c r="B421" t="s">
        <v>270</v>
      </c>
      <c r="C421" t="s">
        <v>19</v>
      </c>
      <c r="D421" t="s">
        <v>20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 s="8">
        <v>0.89410000000000001</v>
      </c>
      <c r="K421">
        <v>110000</v>
      </c>
      <c r="L421" s="2">
        <v>45852</v>
      </c>
    </row>
    <row r="422" spans="1:12">
      <c r="A422" t="s">
        <v>689</v>
      </c>
      <c r="B422" t="s">
        <v>690</v>
      </c>
      <c r="C422" t="s">
        <v>19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 s="8">
        <v>0.6915</v>
      </c>
      <c r="K422">
        <v>110000</v>
      </c>
      <c r="L422" s="2">
        <v>46052</v>
      </c>
    </row>
    <row r="423" spans="1:12">
      <c r="A423" t="s">
        <v>691</v>
      </c>
      <c r="B423" t="s">
        <v>477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>
        <v>15.81</v>
      </c>
      <c r="J423" s="8">
        <v>0.8911</v>
      </c>
      <c r="K423">
        <v>130000</v>
      </c>
      <c r="L423" s="2">
        <v>45827</v>
      </c>
    </row>
    <row r="424" spans="1:12">
      <c r="A424" t="s">
        <v>692</v>
      </c>
      <c r="B424" t="s">
        <v>655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>
        <v>10.4</v>
      </c>
      <c r="J424" s="8">
        <v>0.83109999999999995</v>
      </c>
      <c r="K424">
        <v>130000</v>
      </c>
      <c r="L424" s="2">
        <v>45751</v>
      </c>
    </row>
    <row r="425" spans="1:12">
      <c r="A425" t="s">
        <v>693</v>
      </c>
      <c r="B425" t="s">
        <v>455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>
        <v>11.63</v>
      </c>
      <c r="J425" s="8">
        <v>0.75629999999999997</v>
      </c>
      <c r="K425">
        <v>130000</v>
      </c>
      <c r="L425" s="2">
        <v>45669</v>
      </c>
    </row>
    <row r="426" spans="1:12">
      <c r="A426" t="s">
        <v>694</v>
      </c>
      <c r="B426" t="s">
        <v>555</v>
      </c>
      <c r="C426" t="s">
        <v>14</v>
      </c>
      <c r="D426" t="s">
        <v>32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 s="8">
        <v>0.61680000000000001</v>
      </c>
      <c r="K426">
        <v>50000</v>
      </c>
      <c r="L426" s="2">
        <v>45921</v>
      </c>
    </row>
    <row r="427" spans="1:12">
      <c r="A427" t="s">
        <v>695</v>
      </c>
      <c r="B427" t="s">
        <v>264</v>
      </c>
      <c r="C427" t="s">
        <v>14</v>
      </c>
      <c r="D427" t="s">
        <v>53</v>
      </c>
      <c r="E427" t="s">
        <v>21</v>
      </c>
      <c r="F427">
        <v>12.77</v>
      </c>
      <c r="G427">
        <v>10.91</v>
      </c>
      <c r="H427">
        <v>14.8</v>
      </c>
      <c r="I427">
        <v>7.79</v>
      </c>
      <c r="J427" s="8">
        <v>0.90069999999999995</v>
      </c>
      <c r="K427">
        <v>90000</v>
      </c>
      <c r="L427" s="2">
        <v>46164</v>
      </c>
    </row>
    <row r="428" spans="1:12">
      <c r="A428" t="s">
        <v>696</v>
      </c>
      <c r="B428" t="s">
        <v>697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>
        <v>17.53</v>
      </c>
      <c r="J428" s="8">
        <v>0.89200000000000002</v>
      </c>
      <c r="K428">
        <v>130000</v>
      </c>
      <c r="L428" s="2">
        <v>46137</v>
      </c>
    </row>
    <row r="429" spans="1:12">
      <c r="A429" t="s">
        <v>698</v>
      </c>
      <c r="B429" t="s">
        <v>699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>
        <v>7.39</v>
      </c>
      <c r="J429" s="8">
        <v>0.89590000000000003</v>
      </c>
      <c r="K429">
        <v>130000</v>
      </c>
      <c r="L429" s="2">
        <v>45713</v>
      </c>
    </row>
    <row r="430" spans="1:12">
      <c r="A430" t="s">
        <v>700</v>
      </c>
      <c r="B430" t="s">
        <v>258</v>
      </c>
      <c r="C430" t="s">
        <v>14</v>
      </c>
      <c r="D430" t="s">
        <v>36</v>
      </c>
      <c r="E430" t="s">
        <v>21</v>
      </c>
      <c r="F430">
        <v>19.61</v>
      </c>
      <c r="G430">
        <v>20</v>
      </c>
      <c r="H430">
        <v>20</v>
      </c>
      <c r="I430">
        <v>19.79</v>
      </c>
      <c r="J430" s="8">
        <v>0.74160000000000004</v>
      </c>
      <c r="K430">
        <v>90000</v>
      </c>
      <c r="L430" s="2">
        <v>45870</v>
      </c>
    </row>
    <row r="431" spans="1:12">
      <c r="A431" t="s">
        <v>701</v>
      </c>
      <c r="B431" t="s">
        <v>380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>
        <v>16.45</v>
      </c>
      <c r="J431" s="8">
        <v>0.626</v>
      </c>
      <c r="K431">
        <v>130000</v>
      </c>
      <c r="L431" s="2">
        <v>46029</v>
      </c>
    </row>
    <row r="432" spans="1:12">
      <c r="A432" t="s">
        <v>702</v>
      </c>
      <c r="B432" t="s">
        <v>467</v>
      </c>
      <c r="C432" t="s">
        <v>14</v>
      </c>
      <c r="D432" t="s">
        <v>15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 s="8">
        <v>0.67689999999999995</v>
      </c>
      <c r="K432">
        <v>120000</v>
      </c>
      <c r="L432" s="2">
        <v>45964</v>
      </c>
    </row>
    <row r="433" spans="1:12">
      <c r="A433" t="s">
        <v>703</v>
      </c>
      <c r="B433" t="s">
        <v>412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>
        <v>14.78</v>
      </c>
      <c r="J433" s="8">
        <v>0.76980000000000004</v>
      </c>
      <c r="K433">
        <v>50000</v>
      </c>
      <c r="L433" s="2">
        <v>45583</v>
      </c>
    </row>
    <row r="434" spans="1:12">
      <c r="A434" t="s">
        <v>704</v>
      </c>
      <c r="B434" t="s">
        <v>412</v>
      </c>
      <c r="C434" t="s">
        <v>19</v>
      </c>
      <c r="D434" t="s">
        <v>32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 s="8">
        <v>0.55000000000000004</v>
      </c>
      <c r="K434">
        <v>120000</v>
      </c>
      <c r="L434" s="2">
        <v>45949</v>
      </c>
    </row>
    <row r="435" spans="1:12">
      <c r="A435" t="s">
        <v>705</v>
      </c>
      <c r="B435" t="s">
        <v>683</v>
      </c>
      <c r="C435" t="s">
        <v>14</v>
      </c>
      <c r="D435" t="s">
        <v>28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 s="8">
        <v>0.877</v>
      </c>
      <c r="K435">
        <v>100000</v>
      </c>
      <c r="L435" s="2">
        <v>45563</v>
      </c>
    </row>
    <row r="436" spans="1:12">
      <c r="A436" t="s">
        <v>706</v>
      </c>
      <c r="B436" t="s">
        <v>157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>
        <v>12.93</v>
      </c>
      <c r="J436" s="8">
        <v>0.77610000000000001</v>
      </c>
      <c r="K436">
        <v>90000</v>
      </c>
      <c r="L436" s="2">
        <v>45617</v>
      </c>
    </row>
    <row r="437" spans="1:12">
      <c r="A437" t="s">
        <v>707</v>
      </c>
      <c r="B437" t="s">
        <v>92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>
        <v>10.55</v>
      </c>
      <c r="J437" s="8">
        <v>0.7661</v>
      </c>
      <c r="K437">
        <v>60000</v>
      </c>
      <c r="L437" s="2">
        <v>45993</v>
      </c>
    </row>
    <row r="438" spans="1:12">
      <c r="A438" t="s">
        <v>708</v>
      </c>
      <c r="B438" t="s">
        <v>408</v>
      </c>
      <c r="C438" t="s">
        <v>19</v>
      </c>
      <c r="D438" t="s">
        <v>32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 s="8">
        <v>0.55000000000000004</v>
      </c>
      <c r="K438">
        <v>130000</v>
      </c>
      <c r="L438" s="2">
        <v>45607</v>
      </c>
    </row>
    <row r="439" spans="1:12">
      <c r="A439" t="s">
        <v>709</v>
      </c>
      <c r="B439" t="s">
        <v>710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>
        <v>10.98</v>
      </c>
      <c r="J439" s="8">
        <v>0.71079999999999999</v>
      </c>
      <c r="K439">
        <v>75000</v>
      </c>
      <c r="L439" s="2">
        <v>45773</v>
      </c>
    </row>
    <row r="440" spans="1:12">
      <c r="A440" t="s">
        <v>711</v>
      </c>
      <c r="B440" t="s">
        <v>712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>
        <v>12.39</v>
      </c>
      <c r="J440" s="8">
        <v>0.89910000000000001</v>
      </c>
      <c r="K440">
        <v>80000</v>
      </c>
      <c r="L440" s="2">
        <v>45947</v>
      </c>
    </row>
    <row r="441" spans="1:12">
      <c r="A441" t="s">
        <v>713</v>
      </c>
      <c r="B441" t="s">
        <v>378</v>
      </c>
      <c r="C441" t="s">
        <v>14</v>
      </c>
      <c r="D441" t="s">
        <v>53</v>
      </c>
      <c r="E441" t="s">
        <v>21</v>
      </c>
      <c r="F441">
        <v>18.52</v>
      </c>
      <c r="G441">
        <v>14.32</v>
      </c>
      <c r="H441">
        <v>12.57</v>
      </c>
      <c r="I441">
        <v>15.59</v>
      </c>
      <c r="J441" s="8">
        <v>0.98099999999999998</v>
      </c>
      <c r="K441">
        <v>75000</v>
      </c>
      <c r="L441" s="2">
        <v>45994</v>
      </c>
    </row>
    <row r="442" spans="1:12">
      <c r="A442" t="s">
        <v>714</v>
      </c>
      <c r="B442" t="s">
        <v>52</v>
      </c>
      <c r="C442" t="s">
        <v>19</v>
      </c>
      <c r="D442" t="s">
        <v>53</v>
      </c>
      <c r="E442" t="s">
        <v>29</v>
      </c>
      <c r="F442">
        <v>16.100000000000001</v>
      </c>
      <c r="G442">
        <v>14.62</v>
      </c>
      <c r="H442">
        <v>17.89</v>
      </c>
      <c r="I442">
        <v>13.98</v>
      </c>
      <c r="J442" s="8">
        <v>0.55000000000000004</v>
      </c>
      <c r="K442">
        <v>130000</v>
      </c>
      <c r="L442" s="2">
        <v>45848</v>
      </c>
    </row>
    <row r="443" spans="1:12">
      <c r="A443" t="s">
        <v>715</v>
      </c>
      <c r="B443" t="s">
        <v>632</v>
      </c>
      <c r="C443" t="s">
        <v>14</v>
      </c>
      <c r="D443" t="s">
        <v>28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 s="8">
        <v>0.84509999999999996</v>
      </c>
      <c r="K443">
        <v>85000</v>
      </c>
      <c r="L443" s="2">
        <v>45601</v>
      </c>
    </row>
    <row r="444" spans="1:12">
      <c r="A444" t="s">
        <v>716</v>
      </c>
      <c r="B444" t="s">
        <v>135</v>
      </c>
      <c r="C444" t="s">
        <v>14</v>
      </c>
      <c r="D444" t="s">
        <v>15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 s="8">
        <v>0.69399999999999995</v>
      </c>
      <c r="K444">
        <v>60000</v>
      </c>
      <c r="L444" s="2">
        <v>46095</v>
      </c>
    </row>
    <row r="445" spans="1:12">
      <c r="A445" t="s">
        <v>717</v>
      </c>
      <c r="B445" t="s">
        <v>718</v>
      </c>
      <c r="C445" t="s">
        <v>14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 s="8">
        <v>0.89570000000000005</v>
      </c>
      <c r="K445">
        <v>50000</v>
      </c>
      <c r="L445" s="2">
        <v>46200</v>
      </c>
    </row>
    <row r="446" spans="1:12">
      <c r="A446" t="s">
        <v>719</v>
      </c>
      <c r="B446" t="s">
        <v>720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>
        <v>19.55</v>
      </c>
      <c r="J446" s="8">
        <v>0.87239999999999995</v>
      </c>
      <c r="K446">
        <v>130000</v>
      </c>
      <c r="L446" s="2">
        <v>46158</v>
      </c>
    </row>
    <row r="447" spans="1:12">
      <c r="A447" t="s">
        <v>721</v>
      </c>
      <c r="B447" t="s">
        <v>98</v>
      </c>
      <c r="C447" t="s">
        <v>19</v>
      </c>
      <c r="D447" t="s">
        <v>53</v>
      </c>
      <c r="E447" t="s">
        <v>16</v>
      </c>
      <c r="F447">
        <v>11.24</v>
      </c>
      <c r="G447">
        <v>13.9</v>
      </c>
      <c r="H447">
        <v>8.5500000000000007</v>
      </c>
      <c r="I447">
        <v>9.18</v>
      </c>
      <c r="J447" s="8">
        <v>0.71199999999999997</v>
      </c>
      <c r="K447">
        <v>70000</v>
      </c>
      <c r="L447" s="2">
        <v>46059</v>
      </c>
    </row>
    <row r="448" spans="1:12">
      <c r="A448" t="s">
        <v>722</v>
      </c>
      <c r="B448" t="s">
        <v>410</v>
      </c>
      <c r="C448" t="s">
        <v>14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 s="8">
        <v>0.72119999999999995</v>
      </c>
      <c r="K448">
        <v>110000</v>
      </c>
      <c r="L448" s="2">
        <v>45817</v>
      </c>
    </row>
    <row r="449" spans="1:12">
      <c r="A449" t="s">
        <v>723</v>
      </c>
      <c r="B449" t="s">
        <v>724</v>
      </c>
      <c r="C449" t="s">
        <v>19</v>
      </c>
      <c r="D449" t="s">
        <v>53</v>
      </c>
      <c r="E449" t="s">
        <v>21</v>
      </c>
      <c r="F449">
        <v>16.940000000000001</v>
      </c>
      <c r="G449">
        <v>20</v>
      </c>
      <c r="H449">
        <v>15.32</v>
      </c>
      <c r="I449">
        <v>18.25</v>
      </c>
      <c r="J449" s="8">
        <v>0.82889999999999997</v>
      </c>
      <c r="K449">
        <v>50000</v>
      </c>
      <c r="L449" s="2">
        <v>46149</v>
      </c>
    </row>
    <row r="450" spans="1:12">
      <c r="A450" t="s">
        <v>725</v>
      </c>
      <c r="B450" t="s">
        <v>380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>
        <v>13.98</v>
      </c>
      <c r="J450" s="8">
        <v>0.6764</v>
      </c>
      <c r="K450">
        <v>120000</v>
      </c>
      <c r="L450" s="2">
        <v>45877</v>
      </c>
    </row>
    <row r="451" spans="1:12">
      <c r="A451" t="s">
        <v>726</v>
      </c>
      <c r="B451" t="s">
        <v>581</v>
      </c>
      <c r="C451" t="s">
        <v>14</v>
      </c>
      <c r="D451" t="s">
        <v>36</v>
      </c>
      <c r="E451" t="s">
        <v>29</v>
      </c>
      <c r="F451">
        <v>20</v>
      </c>
      <c r="G451">
        <v>20</v>
      </c>
      <c r="H451">
        <v>20</v>
      </c>
      <c r="I451">
        <v>20</v>
      </c>
      <c r="J451" s="8">
        <v>0.55000000000000004</v>
      </c>
      <c r="K451">
        <v>100000</v>
      </c>
      <c r="L451" s="2">
        <v>45631</v>
      </c>
    </row>
    <row r="452" spans="1:12">
      <c r="A452" t="s">
        <v>727</v>
      </c>
      <c r="B452" t="s">
        <v>50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>
        <v>17.7</v>
      </c>
      <c r="J452" s="8">
        <v>0.91100000000000003</v>
      </c>
      <c r="K452">
        <v>70000</v>
      </c>
      <c r="L452" s="2">
        <v>46131</v>
      </c>
    </row>
    <row r="453" spans="1:12">
      <c r="A453" t="s">
        <v>728</v>
      </c>
      <c r="B453" t="s">
        <v>729</v>
      </c>
      <c r="C453" t="s">
        <v>19</v>
      </c>
      <c r="D453" t="s">
        <v>32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 s="8">
        <v>0.9627</v>
      </c>
      <c r="K453">
        <v>120000</v>
      </c>
      <c r="L453" s="2">
        <v>45760</v>
      </c>
    </row>
    <row r="454" spans="1:12">
      <c r="A454" t="s">
        <v>730</v>
      </c>
      <c r="B454" t="s">
        <v>731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>
        <v>10.44</v>
      </c>
      <c r="J454" s="8">
        <v>0.68140000000000001</v>
      </c>
      <c r="K454">
        <v>75000</v>
      </c>
      <c r="L454" s="2">
        <v>46193</v>
      </c>
    </row>
    <row r="455" spans="1:12">
      <c r="A455" t="s">
        <v>732</v>
      </c>
      <c r="B455" t="s">
        <v>640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>
        <v>10.86</v>
      </c>
      <c r="J455" s="8">
        <v>0.86570000000000003</v>
      </c>
      <c r="K455">
        <v>130000</v>
      </c>
      <c r="L455" s="2">
        <v>45793</v>
      </c>
    </row>
    <row r="456" spans="1:12">
      <c r="A456" t="s">
        <v>733</v>
      </c>
      <c r="B456" t="s">
        <v>734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>
        <v>12.36</v>
      </c>
      <c r="J456" s="8">
        <v>0.93779999999999997</v>
      </c>
      <c r="K456">
        <v>90000</v>
      </c>
      <c r="L456" s="2">
        <v>46144</v>
      </c>
    </row>
    <row r="457" spans="1:12">
      <c r="A457" t="s">
        <v>735</v>
      </c>
      <c r="B457" t="s">
        <v>104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>
        <v>12.9</v>
      </c>
      <c r="J457" s="8">
        <v>0.68189999999999995</v>
      </c>
      <c r="K457">
        <v>80000</v>
      </c>
      <c r="L457" s="2">
        <v>45912</v>
      </c>
    </row>
    <row r="458" spans="1:12">
      <c r="A458" t="s">
        <v>736</v>
      </c>
      <c r="B458" t="s">
        <v>737</v>
      </c>
      <c r="C458" t="s">
        <v>14</v>
      </c>
      <c r="D458" t="s">
        <v>28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 s="8">
        <v>0.67410000000000003</v>
      </c>
      <c r="K458">
        <v>50000</v>
      </c>
      <c r="L458" s="2">
        <v>45863</v>
      </c>
    </row>
    <row r="459" spans="1:12">
      <c r="A459" t="s">
        <v>738</v>
      </c>
      <c r="B459" t="s">
        <v>218</v>
      </c>
      <c r="C459" t="s">
        <v>19</v>
      </c>
      <c r="D459" t="s">
        <v>36</v>
      </c>
      <c r="E459" t="s">
        <v>16</v>
      </c>
      <c r="F459">
        <v>13.72</v>
      </c>
      <c r="G459">
        <v>13.71</v>
      </c>
      <c r="H459">
        <v>15.71</v>
      </c>
      <c r="I459">
        <v>9.7899999999999991</v>
      </c>
      <c r="J459" s="8">
        <v>0.86150000000000004</v>
      </c>
      <c r="K459">
        <v>70000</v>
      </c>
      <c r="L459" s="2">
        <v>45743</v>
      </c>
    </row>
    <row r="460" spans="1:12">
      <c r="A460" t="s">
        <v>739</v>
      </c>
      <c r="B460" t="s">
        <v>471</v>
      </c>
      <c r="C460" t="s">
        <v>19</v>
      </c>
      <c r="D460" t="s">
        <v>36</v>
      </c>
      <c r="E460" t="s">
        <v>29</v>
      </c>
      <c r="F460">
        <v>9.91</v>
      </c>
      <c r="G460">
        <v>10.8</v>
      </c>
      <c r="H460">
        <v>11.86</v>
      </c>
      <c r="I460">
        <v>7.89</v>
      </c>
      <c r="J460" s="8">
        <v>0.55000000000000004</v>
      </c>
      <c r="K460">
        <v>50000</v>
      </c>
      <c r="L460" s="2">
        <v>46120</v>
      </c>
    </row>
    <row r="461" spans="1:12">
      <c r="A461" t="s">
        <v>740</v>
      </c>
      <c r="B461" t="s">
        <v>285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>
        <v>15.14</v>
      </c>
      <c r="J461" s="8">
        <v>0.99160000000000004</v>
      </c>
      <c r="K461">
        <v>120000</v>
      </c>
      <c r="L461" s="2">
        <v>45578</v>
      </c>
    </row>
    <row r="462" spans="1:12">
      <c r="A462" t="s">
        <v>741</v>
      </c>
      <c r="B462" t="s">
        <v>148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>
        <v>15.83</v>
      </c>
      <c r="J462" s="8">
        <v>0.55000000000000004</v>
      </c>
      <c r="K462">
        <v>60000</v>
      </c>
      <c r="L462" s="2">
        <v>45864</v>
      </c>
    </row>
    <row r="463" spans="1:12">
      <c r="A463" t="s">
        <v>742</v>
      </c>
      <c r="B463" t="s">
        <v>600</v>
      </c>
      <c r="C463" t="s">
        <v>14</v>
      </c>
      <c r="D463" t="s">
        <v>36</v>
      </c>
      <c r="E463" t="s">
        <v>21</v>
      </c>
      <c r="F463">
        <v>16.02</v>
      </c>
      <c r="G463">
        <v>14.27</v>
      </c>
      <c r="H463">
        <v>13.56</v>
      </c>
      <c r="I463">
        <v>13.49</v>
      </c>
      <c r="J463" s="8">
        <v>0.83799999999999997</v>
      </c>
      <c r="K463">
        <v>60000</v>
      </c>
      <c r="L463" s="2">
        <v>45794</v>
      </c>
    </row>
    <row r="464" spans="1:12">
      <c r="A464" t="s">
        <v>743</v>
      </c>
      <c r="B464" t="s">
        <v>744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>
        <v>15.66</v>
      </c>
      <c r="J464" s="8">
        <v>0.98150000000000004</v>
      </c>
      <c r="K464">
        <v>60000</v>
      </c>
      <c r="L464" s="2">
        <v>45916</v>
      </c>
    </row>
    <row r="465" spans="1:12">
      <c r="A465" t="s">
        <v>745</v>
      </c>
      <c r="B465" t="s">
        <v>137</v>
      </c>
      <c r="C465" t="s">
        <v>14</v>
      </c>
      <c r="D465" t="s">
        <v>32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 s="8">
        <v>0.89729999999999999</v>
      </c>
      <c r="K465">
        <v>130000</v>
      </c>
      <c r="L465" s="2">
        <v>45714</v>
      </c>
    </row>
    <row r="466" spans="1:12">
      <c r="A466" t="s">
        <v>746</v>
      </c>
      <c r="B466" t="s">
        <v>13</v>
      </c>
      <c r="C466" t="s">
        <v>14</v>
      </c>
      <c r="D466" t="s">
        <v>53</v>
      </c>
      <c r="E466" t="s">
        <v>16</v>
      </c>
      <c r="F466">
        <v>12.49</v>
      </c>
      <c r="G466">
        <v>14.66</v>
      </c>
      <c r="H466">
        <v>12.23</v>
      </c>
      <c r="I466">
        <v>13.2</v>
      </c>
      <c r="J466" s="8">
        <v>0.82530000000000003</v>
      </c>
      <c r="K466">
        <v>130000</v>
      </c>
      <c r="L466" s="2">
        <v>46001</v>
      </c>
    </row>
    <row r="467" spans="1:12">
      <c r="A467" t="s">
        <v>747</v>
      </c>
      <c r="B467" t="s">
        <v>748</v>
      </c>
      <c r="C467" t="s">
        <v>19</v>
      </c>
      <c r="D467" t="s">
        <v>53</v>
      </c>
      <c r="E467" t="s">
        <v>16</v>
      </c>
      <c r="F467">
        <v>10.23</v>
      </c>
      <c r="G467">
        <v>13.99</v>
      </c>
      <c r="H467">
        <v>15.83</v>
      </c>
      <c r="I467">
        <v>10.61</v>
      </c>
      <c r="J467" s="8">
        <v>0.78610000000000002</v>
      </c>
      <c r="K467">
        <v>100000</v>
      </c>
      <c r="L467" s="2">
        <v>45806</v>
      </c>
    </row>
    <row r="468" spans="1:12">
      <c r="A468" t="s">
        <v>749</v>
      </c>
      <c r="B468" t="s">
        <v>532</v>
      </c>
      <c r="C468" t="s">
        <v>14</v>
      </c>
      <c r="D468" t="s">
        <v>36</v>
      </c>
      <c r="E468" t="s">
        <v>16</v>
      </c>
      <c r="F468">
        <v>8.3000000000000007</v>
      </c>
      <c r="G468">
        <v>6.57</v>
      </c>
      <c r="H468">
        <v>12.39</v>
      </c>
      <c r="I468">
        <v>10.35</v>
      </c>
      <c r="J468" s="8">
        <v>0.74929999999999997</v>
      </c>
      <c r="K468">
        <v>50000</v>
      </c>
      <c r="L468" s="2">
        <v>45667</v>
      </c>
    </row>
    <row r="469" spans="1:12">
      <c r="A469" t="s">
        <v>750</v>
      </c>
      <c r="B469" t="s">
        <v>751</v>
      </c>
      <c r="C469" t="s">
        <v>19</v>
      </c>
      <c r="D469" t="s">
        <v>28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 s="8">
        <v>0.94889999999999997</v>
      </c>
      <c r="K469">
        <v>85000</v>
      </c>
      <c r="L469" s="2">
        <v>45673</v>
      </c>
    </row>
    <row r="470" spans="1:12">
      <c r="A470" t="s">
        <v>752</v>
      </c>
      <c r="B470" t="s">
        <v>155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>
        <v>10.08</v>
      </c>
      <c r="J470" s="8">
        <v>0.93579999999999997</v>
      </c>
      <c r="K470">
        <v>130000</v>
      </c>
      <c r="L470" s="2">
        <v>46023</v>
      </c>
    </row>
    <row r="471" spans="1:12">
      <c r="A471" t="s">
        <v>753</v>
      </c>
      <c r="B471" t="s">
        <v>744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>
        <v>11.97</v>
      </c>
      <c r="J471" s="8">
        <v>0.97750000000000004</v>
      </c>
      <c r="K471">
        <v>60000</v>
      </c>
      <c r="L471" s="2">
        <v>45719</v>
      </c>
    </row>
    <row r="472" spans="1:12">
      <c r="A472" t="s">
        <v>754</v>
      </c>
      <c r="B472" t="s">
        <v>310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>
        <v>2.41</v>
      </c>
      <c r="J472" s="8">
        <v>0.72319999999999995</v>
      </c>
      <c r="K472">
        <v>110000</v>
      </c>
      <c r="L472" s="2">
        <v>45751</v>
      </c>
    </row>
    <row r="473" spans="1:12">
      <c r="A473" t="s">
        <v>755</v>
      </c>
      <c r="B473" t="s">
        <v>125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>
        <v>9.67</v>
      </c>
      <c r="J473" s="8">
        <v>0.86040000000000005</v>
      </c>
      <c r="K473">
        <v>50000</v>
      </c>
      <c r="L473" s="2">
        <v>45974</v>
      </c>
    </row>
    <row r="474" spans="1:12">
      <c r="A474" t="s">
        <v>756</v>
      </c>
      <c r="B474" t="s">
        <v>757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>
        <v>14.9</v>
      </c>
      <c r="J474" s="8">
        <v>0.93049999999999999</v>
      </c>
      <c r="K474">
        <v>110000</v>
      </c>
      <c r="L474" s="2">
        <v>45766</v>
      </c>
    </row>
    <row r="475" spans="1:12">
      <c r="A475" t="s">
        <v>758</v>
      </c>
      <c r="B475" t="s">
        <v>759</v>
      </c>
      <c r="C475" t="s">
        <v>14</v>
      </c>
      <c r="D475" t="s">
        <v>36</v>
      </c>
      <c r="E475" t="s">
        <v>29</v>
      </c>
      <c r="F475">
        <v>9.61</v>
      </c>
      <c r="G475">
        <v>10.220000000000001</v>
      </c>
      <c r="H475">
        <v>11.82</v>
      </c>
      <c r="I475">
        <v>12.38</v>
      </c>
      <c r="J475" s="8">
        <v>0.85699999999999998</v>
      </c>
      <c r="K475">
        <v>85000</v>
      </c>
      <c r="L475" s="2">
        <v>45807</v>
      </c>
    </row>
    <row r="476" spans="1:12">
      <c r="A476" t="s">
        <v>760</v>
      </c>
      <c r="B476" t="s">
        <v>761</v>
      </c>
      <c r="C476" t="s">
        <v>19</v>
      </c>
      <c r="D476" t="s">
        <v>32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 s="8">
        <v>0.70750000000000002</v>
      </c>
      <c r="K476">
        <v>120000</v>
      </c>
      <c r="L476" s="2">
        <v>45707</v>
      </c>
    </row>
    <row r="477" spans="1:12">
      <c r="A477" t="s">
        <v>762</v>
      </c>
      <c r="B477" t="s">
        <v>618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>
        <v>9.5399999999999991</v>
      </c>
      <c r="J477" s="8">
        <v>0.9546</v>
      </c>
      <c r="K477">
        <v>80000</v>
      </c>
      <c r="L477" s="2">
        <v>45777</v>
      </c>
    </row>
    <row r="478" spans="1:12">
      <c r="A478" t="s">
        <v>763</v>
      </c>
      <c r="B478" t="s">
        <v>173</v>
      </c>
      <c r="C478" t="s">
        <v>19</v>
      </c>
      <c r="D478" t="s">
        <v>53</v>
      </c>
      <c r="E478" t="s">
        <v>21</v>
      </c>
      <c r="F478">
        <v>17.670000000000002</v>
      </c>
      <c r="G478">
        <v>18.89</v>
      </c>
      <c r="H478">
        <v>20</v>
      </c>
      <c r="I478">
        <v>18.690000000000001</v>
      </c>
      <c r="J478" s="8">
        <v>0.74709999999999999</v>
      </c>
      <c r="K478">
        <v>110000</v>
      </c>
      <c r="L478" s="2">
        <v>46020</v>
      </c>
    </row>
    <row r="479" spans="1:12">
      <c r="A479" t="s">
        <v>764</v>
      </c>
      <c r="B479" t="s">
        <v>607</v>
      </c>
      <c r="C479" t="s">
        <v>14</v>
      </c>
      <c r="D479" t="s">
        <v>36</v>
      </c>
      <c r="E479" t="s">
        <v>16</v>
      </c>
      <c r="F479">
        <v>12.08</v>
      </c>
      <c r="G479">
        <v>16.079999999999998</v>
      </c>
      <c r="H479">
        <v>10.51</v>
      </c>
      <c r="I479">
        <v>14.99</v>
      </c>
      <c r="J479" s="8">
        <v>0.75880000000000003</v>
      </c>
      <c r="K479">
        <v>120000</v>
      </c>
      <c r="L479" s="2">
        <v>45909</v>
      </c>
    </row>
    <row r="480" spans="1:12">
      <c r="A480" t="s">
        <v>765</v>
      </c>
      <c r="B480" t="s">
        <v>50</v>
      </c>
      <c r="C480" t="s">
        <v>19</v>
      </c>
      <c r="D480" t="s">
        <v>28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 s="8">
        <v>0.8881</v>
      </c>
      <c r="K480">
        <v>75000</v>
      </c>
      <c r="L480" s="2">
        <v>46234</v>
      </c>
    </row>
    <row r="481" spans="1:12">
      <c r="A481" t="s">
        <v>766</v>
      </c>
      <c r="B481" t="s">
        <v>220</v>
      </c>
      <c r="C481" t="s">
        <v>14</v>
      </c>
      <c r="D481" t="s">
        <v>28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 s="8">
        <v>0.87219999999999998</v>
      </c>
      <c r="K481">
        <v>100000</v>
      </c>
      <c r="L481" s="2">
        <v>46076</v>
      </c>
    </row>
    <row r="482" spans="1:12">
      <c r="A482" t="s">
        <v>767</v>
      </c>
      <c r="B482" t="s">
        <v>178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>
        <v>18.05</v>
      </c>
      <c r="J482" s="8">
        <v>0.89580000000000004</v>
      </c>
      <c r="K482">
        <v>85000</v>
      </c>
      <c r="L482" s="2">
        <v>45547</v>
      </c>
    </row>
    <row r="483" spans="1:12">
      <c r="A483" t="s">
        <v>768</v>
      </c>
      <c r="B483" t="s">
        <v>611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>
        <v>15.95</v>
      </c>
      <c r="J483" s="8">
        <v>0.83789999999999998</v>
      </c>
      <c r="K483">
        <v>80000</v>
      </c>
      <c r="L483" s="2">
        <v>45801</v>
      </c>
    </row>
    <row r="484" spans="1:12">
      <c r="A484" t="s">
        <v>769</v>
      </c>
      <c r="B484" t="s">
        <v>770</v>
      </c>
      <c r="C484" t="s">
        <v>14</v>
      </c>
      <c r="D484" t="s">
        <v>36</v>
      </c>
      <c r="E484" t="s">
        <v>16</v>
      </c>
      <c r="F484">
        <v>10.33</v>
      </c>
      <c r="G484">
        <v>9.33</v>
      </c>
      <c r="H484">
        <v>12.09</v>
      </c>
      <c r="I484">
        <v>8.48</v>
      </c>
      <c r="J484" s="8">
        <v>0.61839999999999995</v>
      </c>
      <c r="K484">
        <v>110000</v>
      </c>
      <c r="L484" s="2">
        <v>45738</v>
      </c>
    </row>
    <row r="485" spans="1:12">
      <c r="A485" t="s">
        <v>771</v>
      </c>
      <c r="B485" t="s">
        <v>243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>
        <v>10.48</v>
      </c>
      <c r="J485" s="8">
        <v>0.68830000000000002</v>
      </c>
      <c r="K485">
        <v>70000</v>
      </c>
      <c r="L485" s="2">
        <v>45947</v>
      </c>
    </row>
    <row r="486" spans="1:12">
      <c r="A486" t="s">
        <v>772</v>
      </c>
      <c r="B486" t="s">
        <v>106</v>
      </c>
      <c r="C486" t="s">
        <v>14</v>
      </c>
      <c r="D486" t="s">
        <v>20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 s="8">
        <v>0.73089999999999999</v>
      </c>
      <c r="K486">
        <v>60000</v>
      </c>
      <c r="L486" s="2">
        <v>45721</v>
      </c>
    </row>
    <row r="487" spans="1:12">
      <c r="A487" t="s">
        <v>773</v>
      </c>
      <c r="B487" t="s">
        <v>372</v>
      </c>
      <c r="C487" t="s">
        <v>14</v>
      </c>
      <c r="D487" t="s">
        <v>53</v>
      </c>
      <c r="E487" t="s">
        <v>29</v>
      </c>
      <c r="F487">
        <v>16</v>
      </c>
      <c r="G487">
        <v>16.149999999999999</v>
      </c>
      <c r="H487">
        <v>15.25</v>
      </c>
      <c r="I487">
        <v>12.5</v>
      </c>
      <c r="J487" s="8">
        <v>0.97099999999999997</v>
      </c>
      <c r="K487">
        <v>85000</v>
      </c>
      <c r="L487" s="2">
        <v>46212</v>
      </c>
    </row>
    <row r="488" spans="1:12">
      <c r="A488" t="s">
        <v>774</v>
      </c>
      <c r="B488" t="s">
        <v>340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>
        <v>8.1300000000000008</v>
      </c>
      <c r="J488" s="8">
        <v>0.55000000000000004</v>
      </c>
      <c r="K488">
        <v>120000</v>
      </c>
      <c r="L488" s="2">
        <v>45745</v>
      </c>
    </row>
    <row r="489" spans="1:12">
      <c r="A489" t="s">
        <v>775</v>
      </c>
      <c r="B489" t="s">
        <v>71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>
        <v>16.23</v>
      </c>
      <c r="J489" s="8">
        <v>0.87280000000000002</v>
      </c>
      <c r="K489">
        <v>60000</v>
      </c>
      <c r="L489" s="2">
        <v>45901</v>
      </c>
    </row>
    <row r="490" spans="1:12">
      <c r="A490" t="s">
        <v>776</v>
      </c>
      <c r="B490" t="s">
        <v>777</v>
      </c>
      <c r="C490" t="s">
        <v>19</v>
      </c>
      <c r="D490" t="s">
        <v>53</v>
      </c>
      <c r="E490" t="s">
        <v>29</v>
      </c>
      <c r="F490">
        <v>13.06</v>
      </c>
      <c r="G490">
        <v>11.19</v>
      </c>
      <c r="H490">
        <v>10.89</v>
      </c>
      <c r="I490">
        <v>6.99</v>
      </c>
      <c r="J490" s="8">
        <v>0.55000000000000004</v>
      </c>
      <c r="K490">
        <v>75000</v>
      </c>
      <c r="L490" s="2">
        <v>45622</v>
      </c>
    </row>
    <row r="491" spans="1:12">
      <c r="A491" t="s">
        <v>778</v>
      </c>
      <c r="B491" t="s">
        <v>43</v>
      </c>
      <c r="C491" t="s">
        <v>19</v>
      </c>
      <c r="D491" t="s">
        <v>53</v>
      </c>
      <c r="E491" t="s">
        <v>29</v>
      </c>
      <c r="F491">
        <v>16.2</v>
      </c>
      <c r="G491">
        <v>20</v>
      </c>
      <c r="H491">
        <v>18.71</v>
      </c>
      <c r="I491">
        <v>20</v>
      </c>
      <c r="J491" s="8">
        <v>0.75860000000000005</v>
      </c>
      <c r="K491">
        <v>100000</v>
      </c>
      <c r="L491" s="2">
        <v>46172</v>
      </c>
    </row>
    <row r="492" spans="1:12">
      <c r="A492" t="s">
        <v>779</v>
      </c>
      <c r="B492" t="s">
        <v>653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>
        <v>15.44</v>
      </c>
      <c r="J492" s="8">
        <v>0.59540000000000004</v>
      </c>
      <c r="K492">
        <v>85000</v>
      </c>
      <c r="L492" s="2">
        <v>46174</v>
      </c>
    </row>
    <row r="493" spans="1:12">
      <c r="A493" t="s">
        <v>780</v>
      </c>
      <c r="B493" t="s">
        <v>781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>
        <v>16.39</v>
      </c>
      <c r="J493" s="8">
        <v>0.89380000000000004</v>
      </c>
      <c r="K493">
        <v>90000</v>
      </c>
      <c r="L493" s="2">
        <v>46091</v>
      </c>
    </row>
    <row r="494" spans="1:12">
      <c r="A494" t="s">
        <v>782</v>
      </c>
      <c r="B494" t="s">
        <v>729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>
        <v>13.36</v>
      </c>
      <c r="J494" s="8">
        <v>0.81130000000000002</v>
      </c>
      <c r="K494">
        <v>85000</v>
      </c>
      <c r="L494" s="2">
        <v>45782</v>
      </c>
    </row>
    <row r="495" spans="1:12">
      <c r="A495" t="s">
        <v>783</v>
      </c>
      <c r="B495" t="s">
        <v>224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>
        <v>18.13</v>
      </c>
      <c r="J495" s="8">
        <v>0.92859999999999998</v>
      </c>
      <c r="K495">
        <v>110000</v>
      </c>
      <c r="L495" s="2">
        <v>45577</v>
      </c>
    </row>
    <row r="496" spans="1:12">
      <c r="A496" t="s">
        <v>784</v>
      </c>
      <c r="B496" t="s">
        <v>106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>
        <v>7.52</v>
      </c>
      <c r="J496" s="8">
        <v>0.81899999999999995</v>
      </c>
      <c r="K496">
        <v>120000</v>
      </c>
      <c r="L496" s="2">
        <v>46033</v>
      </c>
    </row>
    <row r="497" spans="1:12">
      <c r="A497" t="s">
        <v>785</v>
      </c>
      <c r="B497" t="s">
        <v>251</v>
      </c>
      <c r="C497" t="s">
        <v>14</v>
      </c>
      <c r="D497" t="s">
        <v>53</v>
      </c>
      <c r="E497" t="s">
        <v>16</v>
      </c>
      <c r="F497">
        <v>9.1999999999999993</v>
      </c>
      <c r="G497">
        <v>7.89</v>
      </c>
      <c r="H497">
        <v>9.08</v>
      </c>
      <c r="I497">
        <v>8.1</v>
      </c>
      <c r="J497" s="8">
        <v>0.80289999999999995</v>
      </c>
      <c r="K497">
        <v>80000</v>
      </c>
      <c r="L497" s="2">
        <v>45836</v>
      </c>
    </row>
    <row r="498" spans="1:12">
      <c r="A498" t="s">
        <v>786</v>
      </c>
      <c r="B498" t="s">
        <v>683</v>
      </c>
      <c r="C498" t="s">
        <v>14</v>
      </c>
      <c r="D498" t="s">
        <v>53</v>
      </c>
      <c r="E498" t="s">
        <v>16</v>
      </c>
      <c r="F498">
        <v>17.510000000000002</v>
      </c>
      <c r="G498">
        <v>16.53</v>
      </c>
      <c r="H498">
        <v>17.98</v>
      </c>
      <c r="I498">
        <v>14.19</v>
      </c>
      <c r="J498" s="8">
        <v>0.80859999999999999</v>
      </c>
      <c r="K498">
        <v>80000</v>
      </c>
      <c r="L498" s="2">
        <v>46229</v>
      </c>
    </row>
    <row r="499" spans="1:12">
      <c r="A499" t="s">
        <v>787</v>
      </c>
      <c r="B499" t="s">
        <v>100</v>
      </c>
      <c r="C499" t="s">
        <v>14</v>
      </c>
      <c r="D499" t="s">
        <v>53</v>
      </c>
      <c r="E499" t="s">
        <v>21</v>
      </c>
      <c r="F499">
        <v>16.95</v>
      </c>
      <c r="G499">
        <v>18.78</v>
      </c>
      <c r="H499">
        <v>16.149999999999999</v>
      </c>
      <c r="I499">
        <v>14.51</v>
      </c>
      <c r="J499" s="8">
        <v>0.95950000000000002</v>
      </c>
      <c r="K499">
        <v>75000</v>
      </c>
      <c r="L499" s="2">
        <v>46024</v>
      </c>
    </row>
    <row r="500" spans="1:12">
      <c r="A500" t="s">
        <v>788</v>
      </c>
      <c r="B500" t="s">
        <v>270</v>
      </c>
      <c r="C500" t="s">
        <v>19</v>
      </c>
      <c r="D500" t="s">
        <v>53</v>
      </c>
      <c r="E500" t="s">
        <v>29</v>
      </c>
      <c r="F500">
        <v>14.42</v>
      </c>
      <c r="G500">
        <v>13.44</v>
      </c>
      <c r="H500">
        <v>17.97</v>
      </c>
      <c r="I500">
        <v>12.87</v>
      </c>
      <c r="J500" s="8">
        <v>0.90559999999999996</v>
      </c>
      <c r="K500">
        <v>80000</v>
      </c>
      <c r="L500" s="2">
        <v>45913</v>
      </c>
    </row>
    <row r="501" spans="1:12">
      <c r="A501" t="s">
        <v>789</v>
      </c>
      <c r="B501" t="s">
        <v>372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>
        <v>7.02</v>
      </c>
      <c r="J501" s="8">
        <v>0.86729999999999996</v>
      </c>
      <c r="K501">
        <v>120000</v>
      </c>
      <c r="L501" s="2">
        <v>46226</v>
      </c>
    </row>
    <row r="502" spans="1:12">
      <c r="A502" t="s">
        <v>790</v>
      </c>
      <c r="B502" t="s">
        <v>295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>
        <v>10.06</v>
      </c>
      <c r="J502" s="8">
        <v>0.85519999999999996</v>
      </c>
      <c r="K502">
        <v>85000</v>
      </c>
      <c r="L502" s="2">
        <v>46096</v>
      </c>
    </row>
    <row r="503" spans="1:12">
      <c r="A503" t="s">
        <v>791</v>
      </c>
      <c r="B503" t="s">
        <v>237</v>
      </c>
      <c r="C503" t="s">
        <v>19</v>
      </c>
      <c r="D503" t="s">
        <v>53</v>
      </c>
      <c r="E503" t="s">
        <v>16</v>
      </c>
      <c r="F503">
        <v>11.19</v>
      </c>
      <c r="G503">
        <v>7.27</v>
      </c>
      <c r="H503">
        <v>11.11</v>
      </c>
      <c r="I503">
        <v>9.08</v>
      </c>
      <c r="J503" s="8">
        <v>0.75849999999999995</v>
      </c>
      <c r="K503">
        <v>100000</v>
      </c>
      <c r="L503" s="2">
        <v>45856</v>
      </c>
    </row>
    <row r="504" spans="1:12">
      <c r="A504" t="s">
        <v>792</v>
      </c>
      <c r="B504" t="s">
        <v>793</v>
      </c>
      <c r="C504" t="s">
        <v>19</v>
      </c>
      <c r="D504" t="s">
        <v>53</v>
      </c>
      <c r="E504" t="s">
        <v>29</v>
      </c>
      <c r="F504">
        <v>5.42</v>
      </c>
      <c r="G504">
        <v>8.56</v>
      </c>
      <c r="H504">
        <v>2.87</v>
      </c>
      <c r="I504">
        <v>9.66</v>
      </c>
      <c r="J504" s="8">
        <v>0.71250000000000002</v>
      </c>
      <c r="K504">
        <v>80000</v>
      </c>
      <c r="L504" s="2">
        <v>45549</v>
      </c>
    </row>
    <row r="505" spans="1:12">
      <c r="A505" t="s">
        <v>794</v>
      </c>
      <c r="B505" t="s">
        <v>63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>
        <v>14.15</v>
      </c>
      <c r="J505" s="8">
        <v>0.55000000000000004</v>
      </c>
      <c r="K505">
        <v>100000</v>
      </c>
      <c r="L505" s="2">
        <v>45600</v>
      </c>
    </row>
    <row r="506" spans="1:12">
      <c r="A506" t="s">
        <v>795</v>
      </c>
      <c r="B506" t="s">
        <v>248</v>
      </c>
      <c r="C506" t="s">
        <v>14</v>
      </c>
      <c r="D506" t="s">
        <v>36</v>
      </c>
      <c r="E506" t="s">
        <v>21</v>
      </c>
      <c r="F506">
        <v>14.44</v>
      </c>
      <c r="G506">
        <v>18.62</v>
      </c>
      <c r="H506">
        <v>16.739999999999998</v>
      </c>
      <c r="I506">
        <v>17</v>
      </c>
      <c r="J506" s="8">
        <v>0.73099999999999998</v>
      </c>
      <c r="K506">
        <v>100000</v>
      </c>
      <c r="L506" s="2">
        <v>45846</v>
      </c>
    </row>
    <row r="507" spans="1:12">
      <c r="A507" t="s">
        <v>796</v>
      </c>
      <c r="B507" t="s">
        <v>770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>
        <v>10.18</v>
      </c>
      <c r="J507" s="8">
        <v>0.55000000000000004</v>
      </c>
      <c r="K507">
        <v>85000</v>
      </c>
      <c r="L507" s="2">
        <v>45929</v>
      </c>
    </row>
    <row r="508" spans="1:12">
      <c r="A508" t="s">
        <v>797</v>
      </c>
      <c r="B508" t="s">
        <v>404</v>
      </c>
      <c r="C508" t="s">
        <v>19</v>
      </c>
      <c r="D508" t="s">
        <v>53</v>
      </c>
      <c r="E508" t="s">
        <v>29</v>
      </c>
      <c r="F508">
        <v>7.55</v>
      </c>
      <c r="G508">
        <v>6.06</v>
      </c>
      <c r="H508">
        <v>9.49</v>
      </c>
      <c r="I508">
        <v>8.15</v>
      </c>
      <c r="J508" s="8">
        <v>0.79430000000000001</v>
      </c>
      <c r="K508">
        <v>130000</v>
      </c>
      <c r="L508" s="2">
        <v>45557</v>
      </c>
    </row>
    <row r="509" spans="1:12">
      <c r="A509" t="s">
        <v>798</v>
      </c>
      <c r="B509" t="s">
        <v>620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>
        <v>12.14</v>
      </c>
      <c r="J509" s="8">
        <v>0.87590000000000001</v>
      </c>
      <c r="K509">
        <v>120000</v>
      </c>
      <c r="L509" s="2">
        <v>45624</v>
      </c>
    </row>
    <row r="510" spans="1:12">
      <c r="A510" t="s">
        <v>799</v>
      </c>
      <c r="B510" t="s">
        <v>194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>
        <v>12.58</v>
      </c>
      <c r="J510" s="8">
        <v>0.89390000000000003</v>
      </c>
      <c r="K510">
        <v>60000</v>
      </c>
      <c r="L510" s="2">
        <v>46029</v>
      </c>
    </row>
    <row r="511" spans="1:12">
      <c r="A511" t="s">
        <v>800</v>
      </c>
      <c r="B511" t="s">
        <v>532</v>
      </c>
      <c r="C511" t="s">
        <v>14</v>
      </c>
      <c r="D511" t="s">
        <v>32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 s="8">
        <v>0.90200000000000002</v>
      </c>
      <c r="K511">
        <v>70000</v>
      </c>
      <c r="L511" s="2">
        <v>46062</v>
      </c>
    </row>
    <row r="512" spans="1:12">
      <c r="A512" t="s">
        <v>801</v>
      </c>
      <c r="B512" t="s">
        <v>541</v>
      </c>
      <c r="C512" t="s">
        <v>19</v>
      </c>
      <c r="D512" t="s">
        <v>36</v>
      </c>
      <c r="E512" t="s">
        <v>16</v>
      </c>
      <c r="F512">
        <v>9.3000000000000007</v>
      </c>
      <c r="G512">
        <v>6.5</v>
      </c>
      <c r="H512">
        <v>7.63</v>
      </c>
      <c r="I512">
        <v>7.74</v>
      </c>
      <c r="J512" s="8">
        <v>0.84670000000000001</v>
      </c>
      <c r="K512">
        <v>130000</v>
      </c>
      <c r="L512" s="2">
        <v>45556</v>
      </c>
    </row>
    <row r="513" spans="1:12">
      <c r="A513" t="s">
        <v>802</v>
      </c>
      <c r="B513" t="s">
        <v>803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>
        <v>15.28</v>
      </c>
      <c r="J513" s="8">
        <v>0.95030000000000003</v>
      </c>
      <c r="K513">
        <v>80000</v>
      </c>
      <c r="L513" s="2">
        <v>45891</v>
      </c>
    </row>
    <row r="514" spans="1:12">
      <c r="A514" t="s">
        <v>804</v>
      </c>
      <c r="B514" t="s">
        <v>805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>
        <v>20</v>
      </c>
      <c r="J514" s="8">
        <v>0.64149999999999996</v>
      </c>
      <c r="K514">
        <v>75000</v>
      </c>
      <c r="L514" s="2">
        <v>45592</v>
      </c>
    </row>
    <row r="515" spans="1:12">
      <c r="A515" t="s">
        <v>806</v>
      </c>
      <c r="B515" t="s">
        <v>96</v>
      </c>
      <c r="C515" t="s">
        <v>19</v>
      </c>
      <c r="D515" t="s">
        <v>36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 s="8">
        <v>0.79949999999999999</v>
      </c>
      <c r="K515">
        <v>110000</v>
      </c>
      <c r="L515" s="2">
        <v>46042</v>
      </c>
    </row>
    <row r="516" spans="1:12">
      <c r="A516" t="s">
        <v>807</v>
      </c>
      <c r="B516" t="s">
        <v>342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>
        <v>12.82</v>
      </c>
      <c r="J516" s="8">
        <v>0.90680000000000005</v>
      </c>
      <c r="K516">
        <v>90000</v>
      </c>
      <c r="L516" s="2">
        <v>46119</v>
      </c>
    </row>
    <row r="517" spans="1:12">
      <c r="A517" t="s">
        <v>808</v>
      </c>
      <c r="B517" t="s">
        <v>737</v>
      </c>
      <c r="C517" t="s">
        <v>14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 s="8">
        <v>0.81320000000000003</v>
      </c>
      <c r="K517">
        <v>60000</v>
      </c>
      <c r="L517" s="2">
        <v>46144</v>
      </c>
    </row>
    <row r="518" spans="1:12">
      <c r="A518" t="s">
        <v>809</v>
      </c>
      <c r="B518" t="s">
        <v>204</v>
      </c>
      <c r="C518" t="s">
        <v>19</v>
      </c>
      <c r="D518" t="s">
        <v>36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 s="8">
        <v>0.86909999999999998</v>
      </c>
      <c r="K518">
        <v>60000</v>
      </c>
      <c r="L518" s="2">
        <v>45954</v>
      </c>
    </row>
    <row r="519" spans="1:12">
      <c r="A519" t="s">
        <v>810</v>
      </c>
      <c r="B519" t="s">
        <v>492</v>
      </c>
      <c r="C519" t="s">
        <v>14</v>
      </c>
      <c r="D519" t="s">
        <v>36</v>
      </c>
      <c r="E519" t="s">
        <v>21</v>
      </c>
      <c r="F519">
        <v>17.48</v>
      </c>
      <c r="G519">
        <v>15.91</v>
      </c>
      <c r="H519">
        <v>18.28</v>
      </c>
      <c r="I519">
        <v>15.82</v>
      </c>
      <c r="J519" s="8">
        <v>0.94379999999999997</v>
      </c>
      <c r="K519">
        <v>110000</v>
      </c>
      <c r="L519" s="2">
        <v>45976</v>
      </c>
    </row>
    <row r="520" spans="1:12">
      <c r="A520" t="s">
        <v>811</v>
      </c>
      <c r="B520" t="s">
        <v>467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>
        <v>9.49</v>
      </c>
      <c r="J520" s="8">
        <v>0.71540000000000004</v>
      </c>
      <c r="K520">
        <v>110000</v>
      </c>
      <c r="L520" s="2">
        <v>46184</v>
      </c>
    </row>
    <row r="521" spans="1:12">
      <c r="A521" t="s">
        <v>812</v>
      </c>
      <c r="B521" t="s">
        <v>270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>
        <v>18.440000000000001</v>
      </c>
      <c r="J521" s="8">
        <v>0.58179999999999998</v>
      </c>
      <c r="K521">
        <v>75000</v>
      </c>
      <c r="L521" s="2">
        <v>45964</v>
      </c>
    </row>
    <row r="522" spans="1:12">
      <c r="A522" t="s">
        <v>813</v>
      </c>
      <c r="B522" t="s">
        <v>291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>
        <v>7.66</v>
      </c>
      <c r="J522" s="8">
        <v>0.92800000000000005</v>
      </c>
      <c r="K522">
        <v>120000</v>
      </c>
      <c r="L522" s="2">
        <v>45848</v>
      </c>
    </row>
    <row r="523" spans="1:12">
      <c r="A523" t="s">
        <v>814</v>
      </c>
      <c r="B523" t="s">
        <v>274</v>
      </c>
      <c r="C523" t="s">
        <v>14</v>
      </c>
      <c r="D523" t="s">
        <v>28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 s="8">
        <v>0.94699999999999995</v>
      </c>
      <c r="K523">
        <v>60000</v>
      </c>
      <c r="L523" s="2">
        <v>46064</v>
      </c>
    </row>
    <row r="524" spans="1:12">
      <c r="A524" t="s">
        <v>815</v>
      </c>
      <c r="B524" t="s">
        <v>581</v>
      </c>
      <c r="C524" t="s">
        <v>14</v>
      </c>
      <c r="D524" t="s">
        <v>20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 s="8">
        <v>0.82799999999999996</v>
      </c>
      <c r="K524">
        <v>120000</v>
      </c>
      <c r="L524" s="2">
        <v>45949</v>
      </c>
    </row>
    <row r="525" spans="1:12">
      <c r="A525" t="s">
        <v>816</v>
      </c>
      <c r="B525" t="s">
        <v>200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>
        <v>9.2200000000000006</v>
      </c>
      <c r="J525" s="8">
        <v>0.91100000000000003</v>
      </c>
      <c r="K525">
        <v>50000</v>
      </c>
      <c r="L525" s="2">
        <v>46125</v>
      </c>
    </row>
    <row r="526" spans="1:12">
      <c r="A526" t="s">
        <v>817</v>
      </c>
      <c r="B526" t="s">
        <v>562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>
        <v>13.1</v>
      </c>
      <c r="J526" s="8">
        <v>0.75600000000000001</v>
      </c>
      <c r="K526">
        <v>90000</v>
      </c>
      <c r="L526" s="2">
        <v>45903</v>
      </c>
    </row>
    <row r="527" spans="1:12">
      <c r="A527" t="s">
        <v>818</v>
      </c>
      <c r="B527" t="s">
        <v>137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>
        <v>14.05</v>
      </c>
      <c r="J527" s="8">
        <v>0.92679999999999996</v>
      </c>
      <c r="K527">
        <v>120000</v>
      </c>
      <c r="L527" s="2">
        <v>46144</v>
      </c>
    </row>
    <row r="528" spans="1:12">
      <c r="A528" t="s">
        <v>819</v>
      </c>
      <c r="B528" t="s">
        <v>820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>
        <v>10.86</v>
      </c>
      <c r="J528" s="8">
        <v>0.89890000000000003</v>
      </c>
      <c r="K528">
        <v>90000</v>
      </c>
      <c r="L528" s="2">
        <v>45567</v>
      </c>
    </row>
    <row r="529" spans="1:12">
      <c r="A529" t="s">
        <v>821</v>
      </c>
      <c r="B529" t="s">
        <v>822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>
        <v>15.15</v>
      </c>
      <c r="J529" s="8">
        <v>0.84360000000000002</v>
      </c>
      <c r="K529">
        <v>110000</v>
      </c>
      <c r="L529" s="2">
        <v>45561</v>
      </c>
    </row>
    <row r="530" spans="1:12">
      <c r="A530" t="s">
        <v>823</v>
      </c>
      <c r="B530" t="s">
        <v>344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>
        <v>12.8</v>
      </c>
      <c r="J530" s="8">
        <v>0.68110000000000004</v>
      </c>
      <c r="K530">
        <v>75000</v>
      </c>
      <c r="L530" s="2">
        <v>45605</v>
      </c>
    </row>
    <row r="531" spans="1:12">
      <c r="A531" t="s">
        <v>824</v>
      </c>
      <c r="B531" t="s">
        <v>825</v>
      </c>
      <c r="C531" t="s">
        <v>19</v>
      </c>
      <c r="D531" t="s">
        <v>15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 s="8">
        <v>0.81059999999999999</v>
      </c>
      <c r="K531">
        <v>75000</v>
      </c>
      <c r="L531" s="2">
        <v>45925</v>
      </c>
    </row>
    <row r="532" spans="1:12">
      <c r="A532" t="s">
        <v>826</v>
      </c>
      <c r="B532" t="s">
        <v>729</v>
      </c>
      <c r="C532" t="s">
        <v>19</v>
      </c>
      <c r="D532" t="s">
        <v>15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 s="8">
        <v>0.61350000000000005</v>
      </c>
      <c r="K532">
        <v>70000</v>
      </c>
      <c r="L532" s="2">
        <v>46032</v>
      </c>
    </row>
    <row r="533" spans="1:12">
      <c r="A533" t="s">
        <v>827</v>
      </c>
      <c r="B533" t="s">
        <v>564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>
        <v>12.96</v>
      </c>
      <c r="J533" s="8">
        <v>0.89029999999999998</v>
      </c>
      <c r="K533">
        <v>60000</v>
      </c>
      <c r="L533" s="2">
        <v>45687</v>
      </c>
    </row>
    <row r="534" spans="1:12">
      <c r="A534" t="s">
        <v>828</v>
      </c>
      <c r="B534" t="s">
        <v>329</v>
      </c>
      <c r="C534" t="s">
        <v>14</v>
      </c>
      <c r="D534" t="s">
        <v>53</v>
      </c>
      <c r="E534" t="s">
        <v>21</v>
      </c>
      <c r="F534">
        <v>7.23</v>
      </c>
      <c r="G534">
        <v>14.46</v>
      </c>
      <c r="H534">
        <v>9.68</v>
      </c>
      <c r="I534">
        <v>11.77</v>
      </c>
      <c r="J534" s="8">
        <v>0.9899</v>
      </c>
      <c r="K534">
        <v>75000</v>
      </c>
      <c r="L534" s="2">
        <v>45645</v>
      </c>
    </row>
    <row r="535" spans="1:12">
      <c r="A535" t="s">
        <v>829</v>
      </c>
      <c r="B535" t="s">
        <v>175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>
        <v>8.4</v>
      </c>
      <c r="J535" s="8">
        <v>0.64270000000000005</v>
      </c>
      <c r="K535">
        <v>70000</v>
      </c>
      <c r="L535" s="2">
        <v>46138</v>
      </c>
    </row>
    <row r="536" spans="1:12">
      <c r="A536" t="s">
        <v>830</v>
      </c>
      <c r="B536" t="s">
        <v>262</v>
      </c>
      <c r="C536" t="s">
        <v>19</v>
      </c>
      <c r="D536" t="s">
        <v>36</v>
      </c>
      <c r="E536" t="s">
        <v>16</v>
      </c>
      <c r="F536">
        <v>13.05</v>
      </c>
      <c r="G536">
        <v>10.56</v>
      </c>
      <c r="H536">
        <v>11.9</v>
      </c>
      <c r="I536">
        <v>10.93</v>
      </c>
      <c r="J536" s="8">
        <v>0.55000000000000004</v>
      </c>
      <c r="K536">
        <v>110000</v>
      </c>
      <c r="L536" s="2">
        <v>46061</v>
      </c>
    </row>
    <row r="537" spans="1:12">
      <c r="A537" t="s">
        <v>831</v>
      </c>
      <c r="B537" t="s">
        <v>492</v>
      </c>
      <c r="C537" t="s">
        <v>14</v>
      </c>
      <c r="D537" t="s">
        <v>53</v>
      </c>
      <c r="E537" t="s">
        <v>21</v>
      </c>
      <c r="F537">
        <v>20</v>
      </c>
      <c r="G537">
        <v>18.86</v>
      </c>
      <c r="H537">
        <v>15.95</v>
      </c>
      <c r="I537">
        <v>17.86</v>
      </c>
      <c r="J537" s="8">
        <v>0.97529999999999994</v>
      </c>
      <c r="K537">
        <v>70000</v>
      </c>
      <c r="L537" s="2">
        <v>45989</v>
      </c>
    </row>
    <row r="538" spans="1:12">
      <c r="A538" t="s">
        <v>832</v>
      </c>
      <c r="B538" t="s">
        <v>833</v>
      </c>
      <c r="C538" t="s">
        <v>14</v>
      </c>
      <c r="D538" t="s">
        <v>28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 s="8">
        <v>0.55000000000000004</v>
      </c>
      <c r="K538">
        <v>60000</v>
      </c>
      <c r="L538" s="2">
        <v>45877</v>
      </c>
    </row>
    <row r="539" spans="1:12">
      <c r="A539" t="s">
        <v>834</v>
      </c>
      <c r="B539" t="s">
        <v>354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>
        <v>11.54</v>
      </c>
      <c r="J539" s="8">
        <v>0.86860000000000004</v>
      </c>
      <c r="K539">
        <v>110000</v>
      </c>
      <c r="L539" s="2">
        <v>45830</v>
      </c>
    </row>
    <row r="540" spans="1:12">
      <c r="A540" t="s">
        <v>835</v>
      </c>
      <c r="B540" t="s">
        <v>380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>
        <v>13.38</v>
      </c>
      <c r="J540" s="8">
        <v>0.97550000000000003</v>
      </c>
      <c r="K540">
        <v>85000</v>
      </c>
      <c r="L540" s="2">
        <v>45550</v>
      </c>
    </row>
    <row r="541" spans="1:12">
      <c r="A541" t="s">
        <v>836</v>
      </c>
      <c r="B541" t="s">
        <v>382</v>
      </c>
      <c r="C541" t="s">
        <v>14</v>
      </c>
      <c r="D541" t="s">
        <v>53</v>
      </c>
      <c r="E541" t="s">
        <v>21</v>
      </c>
      <c r="F541">
        <v>8.07</v>
      </c>
      <c r="G541">
        <v>9.98</v>
      </c>
      <c r="H541">
        <v>9.7899999999999991</v>
      </c>
      <c r="I541">
        <v>7.38</v>
      </c>
      <c r="J541" s="8">
        <v>0.92479999999999996</v>
      </c>
      <c r="K541">
        <v>70000</v>
      </c>
      <c r="L541" s="2">
        <v>45667</v>
      </c>
    </row>
    <row r="542" spans="1:12">
      <c r="A542" t="s">
        <v>837</v>
      </c>
      <c r="B542" t="s">
        <v>218</v>
      </c>
      <c r="C542" t="s">
        <v>19</v>
      </c>
      <c r="D542" t="s">
        <v>53</v>
      </c>
      <c r="E542" t="s">
        <v>29</v>
      </c>
      <c r="F542">
        <v>14.22</v>
      </c>
      <c r="G542">
        <v>15.01</v>
      </c>
      <c r="H542">
        <v>16.41</v>
      </c>
      <c r="I542">
        <v>14.05</v>
      </c>
      <c r="J542" s="8">
        <v>0.88629999999999998</v>
      </c>
      <c r="K542">
        <v>100000</v>
      </c>
      <c r="L542" s="2">
        <v>46163</v>
      </c>
    </row>
    <row r="543" spans="1:12">
      <c r="A543" t="s">
        <v>838</v>
      </c>
      <c r="B543" t="s">
        <v>241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>
        <v>18.649999999999999</v>
      </c>
      <c r="J543" s="8">
        <v>0.88</v>
      </c>
      <c r="K543">
        <v>70000</v>
      </c>
      <c r="L543" s="2">
        <v>45773</v>
      </c>
    </row>
    <row r="544" spans="1:12">
      <c r="A544" t="s">
        <v>839</v>
      </c>
      <c r="B544" t="s">
        <v>451</v>
      </c>
      <c r="C544" t="s">
        <v>14</v>
      </c>
      <c r="D544" t="s">
        <v>53</v>
      </c>
      <c r="E544" t="s">
        <v>29</v>
      </c>
      <c r="F544">
        <v>16.260000000000002</v>
      </c>
      <c r="G544">
        <v>11.93</v>
      </c>
      <c r="H544">
        <v>13.46</v>
      </c>
      <c r="I544">
        <v>16.079999999999998</v>
      </c>
      <c r="J544" s="8">
        <v>0.91969999999999996</v>
      </c>
      <c r="K544">
        <v>110000</v>
      </c>
      <c r="L544" s="2">
        <v>46029</v>
      </c>
    </row>
    <row r="545" spans="1:12">
      <c r="A545" t="s">
        <v>840</v>
      </c>
      <c r="B545" t="s">
        <v>133</v>
      </c>
      <c r="C545" t="s">
        <v>14</v>
      </c>
      <c r="D545" t="s">
        <v>53</v>
      </c>
      <c r="E545" t="s">
        <v>16</v>
      </c>
      <c r="F545">
        <v>12.33</v>
      </c>
      <c r="G545">
        <v>13.78</v>
      </c>
      <c r="H545">
        <v>15.55</v>
      </c>
      <c r="I545">
        <v>11.83</v>
      </c>
      <c r="J545" s="8">
        <v>0.96040000000000003</v>
      </c>
      <c r="K545">
        <v>50000</v>
      </c>
      <c r="L545" s="2">
        <v>46028</v>
      </c>
    </row>
    <row r="546" spans="1:12">
      <c r="A546" t="s">
        <v>841</v>
      </c>
      <c r="B546" t="s">
        <v>191</v>
      </c>
      <c r="C546" t="s">
        <v>19</v>
      </c>
      <c r="D546" t="s">
        <v>53</v>
      </c>
      <c r="E546" t="s">
        <v>29</v>
      </c>
      <c r="F546">
        <v>17.2</v>
      </c>
      <c r="G546">
        <v>13.29</v>
      </c>
      <c r="H546">
        <v>15.41</v>
      </c>
      <c r="I546">
        <v>15.2</v>
      </c>
      <c r="J546" s="8">
        <v>0.65920000000000001</v>
      </c>
      <c r="K546">
        <v>90000</v>
      </c>
      <c r="L546" s="2">
        <v>45752</v>
      </c>
    </row>
    <row r="547" spans="1:12">
      <c r="A547" t="s">
        <v>842</v>
      </c>
      <c r="B547" t="s">
        <v>202</v>
      </c>
      <c r="C547" t="s">
        <v>14</v>
      </c>
      <c r="D547" t="s">
        <v>32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 s="8">
        <v>0.87029999999999996</v>
      </c>
      <c r="K547">
        <v>90000</v>
      </c>
      <c r="L547" s="2">
        <v>45679</v>
      </c>
    </row>
    <row r="548" spans="1:12">
      <c r="A548" t="s">
        <v>843</v>
      </c>
      <c r="B548" t="s">
        <v>657</v>
      </c>
      <c r="C548" t="s">
        <v>14</v>
      </c>
      <c r="D548" t="s">
        <v>36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 s="8">
        <v>0.86019999999999996</v>
      </c>
      <c r="K548">
        <v>80000</v>
      </c>
      <c r="L548" s="2">
        <v>46020</v>
      </c>
    </row>
    <row r="549" spans="1:12">
      <c r="A549" t="s">
        <v>844</v>
      </c>
      <c r="B549" t="s">
        <v>111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>
        <v>10.54</v>
      </c>
      <c r="J549" s="8">
        <v>0.89280000000000004</v>
      </c>
      <c r="K549">
        <v>100000</v>
      </c>
      <c r="L549" s="2">
        <v>45601</v>
      </c>
    </row>
    <row r="550" spans="1:12">
      <c r="A550" t="s">
        <v>845</v>
      </c>
      <c r="B550" t="s">
        <v>180</v>
      </c>
      <c r="C550" t="s">
        <v>19</v>
      </c>
      <c r="D550" t="s">
        <v>53</v>
      </c>
      <c r="E550" t="s">
        <v>16</v>
      </c>
      <c r="F550">
        <v>19.43</v>
      </c>
      <c r="G550">
        <v>15.31</v>
      </c>
      <c r="H550">
        <v>19.989999999999998</v>
      </c>
      <c r="I550">
        <v>14.32</v>
      </c>
      <c r="J550" s="8">
        <v>0.96479999999999999</v>
      </c>
      <c r="K550">
        <v>80000</v>
      </c>
      <c r="L550" s="2">
        <v>45882</v>
      </c>
    </row>
    <row r="551" spans="1:12">
      <c r="A551" t="s">
        <v>846</v>
      </c>
      <c r="B551" t="s">
        <v>344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>
        <v>13.13</v>
      </c>
      <c r="J551" s="8">
        <v>0.71599999999999997</v>
      </c>
      <c r="K551">
        <v>100000</v>
      </c>
      <c r="L551" s="2">
        <v>46157</v>
      </c>
    </row>
    <row r="552" spans="1:12">
      <c r="A552" t="s">
        <v>847</v>
      </c>
      <c r="B552" t="s">
        <v>458</v>
      </c>
      <c r="C552" t="s">
        <v>19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 s="8">
        <v>0.94040000000000001</v>
      </c>
      <c r="K552">
        <v>70000</v>
      </c>
      <c r="L552" s="2">
        <v>46033</v>
      </c>
    </row>
    <row r="553" spans="1:12">
      <c r="A553" t="s">
        <v>848</v>
      </c>
      <c r="B553" t="s">
        <v>194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>
        <v>13.35</v>
      </c>
      <c r="J553" s="8">
        <v>0.86550000000000005</v>
      </c>
      <c r="K553">
        <v>90000</v>
      </c>
      <c r="L553" s="2">
        <v>46070</v>
      </c>
    </row>
    <row r="554" spans="1:12">
      <c r="A554" t="s">
        <v>849</v>
      </c>
      <c r="B554" t="s">
        <v>539</v>
      </c>
      <c r="C554" t="s">
        <v>19</v>
      </c>
      <c r="D554" t="s">
        <v>53</v>
      </c>
      <c r="E554" t="s">
        <v>21</v>
      </c>
      <c r="F554">
        <v>12.01</v>
      </c>
      <c r="G554">
        <v>9.5299999999999994</v>
      </c>
      <c r="H554">
        <v>8.64</v>
      </c>
      <c r="I554">
        <v>6.59</v>
      </c>
      <c r="J554" s="8">
        <v>0.75460000000000005</v>
      </c>
      <c r="K554">
        <v>110000</v>
      </c>
      <c r="L554" s="2">
        <v>45594</v>
      </c>
    </row>
    <row r="555" spans="1:12">
      <c r="A555" t="s">
        <v>850</v>
      </c>
      <c r="B555" t="s">
        <v>406</v>
      </c>
      <c r="C555" t="s">
        <v>14</v>
      </c>
      <c r="D555" t="s">
        <v>53</v>
      </c>
      <c r="E555" t="s">
        <v>29</v>
      </c>
      <c r="F555">
        <v>11.9</v>
      </c>
      <c r="G555">
        <v>9.5</v>
      </c>
      <c r="H555">
        <v>7.94</v>
      </c>
      <c r="I555">
        <v>8.4600000000000009</v>
      </c>
      <c r="J555" s="8">
        <v>0.88370000000000004</v>
      </c>
      <c r="K555">
        <v>130000</v>
      </c>
      <c r="L555" s="2">
        <v>45675</v>
      </c>
    </row>
    <row r="556" spans="1:12">
      <c r="A556" t="s">
        <v>851</v>
      </c>
      <c r="B556" t="s">
        <v>376</v>
      </c>
      <c r="C556" t="s">
        <v>19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 s="8">
        <v>0.89329999999999998</v>
      </c>
      <c r="K556">
        <v>75000</v>
      </c>
      <c r="L556" s="2">
        <v>45728</v>
      </c>
    </row>
    <row r="557" spans="1:12">
      <c r="A557" t="s">
        <v>852</v>
      </c>
      <c r="B557" t="s">
        <v>853</v>
      </c>
      <c r="C557" t="s">
        <v>19</v>
      </c>
      <c r="D557" t="s">
        <v>15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 s="8">
        <v>0.80640000000000001</v>
      </c>
      <c r="K557">
        <v>85000</v>
      </c>
      <c r="L557" s="2">
        <v>45740</v>
      </c>
    </row>
    <row r="558" spans="1:12">
      <c r="A558" t="s">
        <v>854</v>
      </c>
      <c r="B558" t="s">
        <v>262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>
        <v>10.62</v>
      </c>
      <c r="J558" s="8">
        <v>0.85580000000000001</v>
      </c>
      <c r="K558">
        <v>85000</v>
      </c>
      <c r="L558" s="2">
        <v>45671</v>
      </c>
    </row>
    <row r="559" spans="1:12">
      <c r="A559" t="s">
        <v>855</v>
      </c>
      <c r="B559" t="s">
        <v>392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>
        <v>12.61</v>
      </c>
      <c r="J559" s="8">
        <v>0.93220000000000003</v>
      </c>
      <c r="K559">
        <v>120000</v>
      </c>
      <c r="L559" s="2">
        <v>46216</v>
      </c>
    </row>
    <row r="560" spans="1:12">
      <c r="A560" t="s">
        <v>856</v>
      </c>
      <c r="B560" t="s">
        <v>699</v>
      </c>
      <c r="C560" t="s">
        <v>19</v>
      </c>
      <c r="D560" t="s">
        <v>28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 s="8">
        <v>0.86670000000000003</v>
      </c>
      <c r="K560">
        <v>130000</v>
      </c>
      <c r="L560" s="2">
        <v>45651</v>
      </c>
    </row>
    <row r="561" spans="1:12">
      <c r="A561" t="s">
        <v>857</v>
      </c>
      <c r="B561" t="s">
        <v>858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>
        <v>15.49</v>
      </c>
      <c r="J561" s="8">
        <v>0.8669</v>
      </c>
      <c r="K561">
        <v>100000</v>
      </c>
      <c r="L561" s="2">
        <v>46031</v>
      </c>
    </row>
    <row r="562" spans="1:12">
      <c r="A562" t="s">
        <v>859</v>
      </c>
      <c r="B562" t="s">
        <v>256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>
        <v>15.04</v>
      </c>
      <c r="J562" s="8">
        <v>0.91290000000000004</v>
      </c>
      <c r="K562">
        <v>120000</v>
      </c>
      <c r="L562" s="2">
        <v>45946</v>
      </c>
    </row>
    <row r="563" spans="1:12">
      <c r="A563" t="s">
        <v>860</v>
      </c>
      <c r="B563" t="s">
        <v>640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>
        <v>7.15</v>
      </c>
      <c r="J563" s="8">
        <v>0.7671</v>
      </c>
      <c r="K563">
        <v>50000</v>
      </c>
      <c r="L563" s="2">
        <v>45963</v>
      </c>
    </row>
    <row r="564" spans="1:12">
      <c r="A564" t="s">
        <v>861</v>
      </c>
      <c r="B564" t="s">
        <v>662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>
        <v>15.39</v>
      </c>
      <c r="J564" s="8">
        <v>0.76170000000000004</v>
      </c>
      <c r="K564">
        <v>110000</v>
      </c>
      <c r="L564" s="2">
        <v>45686</v>
      </c>
    </row>
    <row r="565" spans="1:12">
      <c r="A565" t="s">
        <v>862</v>
      </c>
      <c r="B565" t="s">
        <v>737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>
        <v>8.32</v>
      </c>
      <c r="J565" s="8">
        <v>0.90059999999999996</v>
      </c>
      <c r="K565">
        <v>110000</v>
      </c>
      <c r="L565" s="2">
        <v>45751</v>
      </c>
    </row>
    <row r="566" spans="1:12">
      <c r="A566" t="s">
        <v>863</v>
      </c>
      <c r="B566" t="s">
        <v>315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>
        <v>13.4</v>
      </c>
      <c r="J566" s="8">
        <v>0.76729999999999998</v>
      </c>
      <c r="K566">
        <v>100000</v>
      </c>
      <c r="L566" s="2">
        <v>45960</v>
      </c>
    </row>
    <row r="567" spans="1:12">
      <c r="A567" t="s">
        <v>864</v>
      </c>
      <c r="B567" t="s">
        <v>865</v>
      </c>
      <c r="C567" t="s">
        <v>14</v>
      </c>
      <c r="D567" t="s">
        <v>15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 s="8">
        <v>0.89539999999999997</v>
      </c>
      <c r="K567">
        <v>90000</v>
      </c>
      <c r="L567" s="2">
        <v>45745</v>
      </c>
    </row>
    <row r="568" spans="1:12">
      <c r="A568" t="s">
        <v>866</v>
      </c>
      <c r="B568" t="s">
        <v>329</v>
      </c>
      <c r="C568" t="s">
        <v>14</v>
      </c>
      <c r="D568" t="s">
        <v>53</v>
      </c>
      <c r="E568" t="s">
        <v>16</v>
      </c>
      <c r="F568">
        <v>13.96</v>
      </c>
      <c r="G568">
        <v>14.84</v>
      </c>
      <c r="H568">
        <v>10.29</v>
      </c>
      <c r="I568">
        <v>11.16</v>
      </c>
      <c r="J568" s="8">
        <v>0.91439999999999999</v>
      </c>
      <c r="K568">
        <v>120000</v>
      </c>
      <c r="L568" s="2">
        <v>46021</v>
      </c>
    </row>
    <row r="569" spans="1:12">
      <c r="A569" t="s">
        <v>867</v>
      </c>
      <c r="B569" t="s">
        <v>528</v>
      </c>
      <c r="C569" t="s">
        <v>14</v>
      </c>
      <c r="D569" t="s">
        <v>36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 s="8">
        <v>0.6361</v>
      </c>
      <c r="K569">
        <v>100000</v>
      </c>
      <c r="L569" s="2">
        <v>45563</v>
      </c>
    </row>
    <row r="570" spans="1:12">
      <c r="A570" t="s">
        <v>868</v>
      </c>
      <c r="B570" t="s">
        <v>102</v>
      </c>
      <c r="C570" t="s">
        <v>19</v>
      </c>
      <c r="D570" t="s">
        <v>15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 s="8">
        <v>0.79779999999999995</v>
      </c>
      <c r="K570">
        <v>120000</v>
      </c>
      <c r="L570" s="2">
        <v>45586</v>
      </c>
    </row>
    <row r="571" spans="1:12">
      <c r="A571" t="s">
        <v>869</v>
      </c>
      <c r="B571" t="s">
        <v>825</v>
      </c>
      <c r="C571" t="s">
        <v>19</v>
      </c>
      <c r="D571" t="s">
        <v>20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 s="8">
        <v>0.91149999999999998</v>
      </c>
      <c r="K571">
        <v>60000</v>
      </c>
      <c r="L571" s="2">
        <v>46045</v>
      </c>
    </row>
    <row r="572" spans="1:12">
      <c r="A572" t="s">
        <v>870</v>
      </c>
      <c r="B572" t="s">
        <v>611</v>
      </c>
      <c r="C572" t="s">
        <v>19</v>
      </c>
      <c r="D572" t="s">
        <v>36</v>
      </c>
      <c r="E572" t="s">
        <v>29</v>
      </c>
      <c r="F572">
        <v>12.65</v>
      </c>
      <c r="G572">
        <v>8.6199999999999992</v>
      </c>
      <c r="H572">
        <v>11.2</v>
      </c>
      <c r="I572">
        <v>5.74</v>
      </c>
      <c r="J572" s="8">
        <v>0.67059999999999997</v>
      </c>
      <c r="K572">
        <v>100000</v>
      </c>
      <c r="L572" s="2">
        <v>45967</v>
      </c>
    </row>
    <row r="573" spans="1:12">
      <c r="A573" t="s">
        <v>871</v>
      </c>
      <c r="B573" t="s">
        <v>872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>
        <v>10.35</v>
      </c>
      <c r="J573" s="8">
        <v>0.97309999999999997</v>
      </c>
      <c r="K573">
        <v>80000</v>
      </c>
      <c r="L573" s="2">
        <v>45566</v>
      </c>
    </row>
    <row r="574" spans="1:12">
      <c r="A574" t="s">
        <v>873</v>
      </c>
      <c r="B574" t="s">
        <v>109</v>
      </c>
      <c r="C574" t="s">
        <v>14</v>
      </c>
      <c r="D574" t="s">
        <v>36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 s="8">
        <v>0.84619999999999995</v>
      </c>
      <c r="K574">
        <v>120000</v>
      </c>
      <c r="L574" s="2">
        <v>46165</v>
      </c>
    </row>
    <row r="575" spans="1:12">
      <c r="A575" t="s">
        <v>874</v>
      </c>
      <c r="B575" t="s">
        <v>875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>
        <v>8.6</v>
      </c>
      <c r="J575" s="8">
        <v>0.78520000000000001</v>
      </c>
      <c r="K575">
        <v>120000</v>
      </c>
      <c r="L575" s="2">
        <v>45539</v>
      </c>
    </row>
    <row r="576" spans="1:12">
      <c r="A576" t="s">
        <v>876</v>
      </c>
      <c r="B576" t="s">
        <v>482</v>
      </c>
      <c r="C576" t="s">
        <v>14</v>
      </c>
      <c r="D576" t="s">
        <v>53</v>
      </c>
      <c r="E576" t="s">
        <v>16</v>
      </c>
      <c r="F576">
        <v>16.559999999999999</v>
      </c>
      <c r="G576">
        <v>17.98</v>
      </c>
      <c r="H576">
        <v>16.309999999999999</v>
      </c>
      <c r="I576">
        <v>13.36</v>
      </c>
      <c r="J576" s="8">
        <v>0.72130000000000005</v>
      </c>
      <c r="K576">
        <v>120000</v>
      </c>
      <c r="L576" s="2">
        <v>46204</v>
      </c>
    </row>
    <row r="577" spans="1:12">
      <c r="A577" t="s">
        <v>877</v>
      </c>
      <c r="B577" t="s">
        <v>878</v>
      </c>
      <c r="C577" t="s">
        <v>14</v>
      </c>
      <c r="D577" t="s">
        <v>53</v>
      </c>
      <c r="E577" t="s">
        <v>29</v>
      </c>
      <c r="F577">
        <v>11.14</v>
      </c>
      <c r="G577">
        <v>15.34</v>
      </c>
      <c r="H577">
        <v>10.02</v>
      </c>
      <c r="I577">
        <v>17.38</v>
      </c>
      <c r="J577" s="8">
        <v>0.72009999999999996</v>
      </c>
      <c r="K577">
        <v>70000</v>
      </c>
      <c r="L577" s="2">
        <v>46046</v>
      </c>
    </row>
    <row r="578" spans="1:12">
      <c r="A578" t="s">
        <v>879</v>
      </c>
      <c r="B578" t="s">
        <v>880</v>
      </c>
      <c r="C578" t="s">
        <v>19</v>
      </c>
      <c r="D578" t="s">
        <v>53</v>
      </c>
      <c r="E578" t="s">
        <v>16</v>
      </c>
      <c r="F578">
        <v>12.15</v>
      </c>
      <c r="G578">
        <v>12.28</v>
      </c>
      <c r="H578">
        <v>13.32</v>
      </c>
      <c r="I578">
        <v>12.51</v>
      </c>
      <c r="J578" s="8">
        <v>0.61860000000000004</v>
      </c>
      <c r="K578">
        <v>85000</v>
      </c>
      <c r="L578" s="2">
        <v>46227</v>
      </c>
    </row>
    <row r="579" spans="1:12">
      <c r="A579" t="s">
        <v>881</v>
      </c>
      <c r="B579" t="s">
        <v>490</v>
      </c>
      <c r="C579" t="s">
        <v>19</v>
      </c>
      <c r="D579" t="s">
        <v>36</v>
      </c>
      <c r="E579" t="s">
        <v>16</v>
      </c>
      <c r="F579">
        <v>12.58</v>
      </c>
      <c r="G579">
        <v>19.02</v>
      </c>
      <c r="H579">
        <v>19.43</v>
      </c>
      <c r="I579">
        <v>17.7</v>
      </c>
      <c r="J579" s="8">
        <v>0.88939999999999997</v>
      </c>
      <c r="K579">
        <v>50000</v>
      </c>
      <c r="L579" s="2">
        <v>46200</v>
      </c>
    </row>
    <row r="580" spans="1:12">
      <c r="A580" t="s">
        <v>882</v>
      </c>
      <c r="B580" t="s">
        <v>200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>
        <v>11.61</v>
      </c>
      <c r="J580" s="8">
        <v>0.99139999999999995</v>
      </c>
      <c r="K580">
        <v>130000</v>
      </c>
      <c r="L580" s="2">
        <v>45755</v>
      </c>
    </row>
    <row r="581" spans="1:12">
      <c r="A581" t="s">
        <v>883</v>
      </c>
      <c r="B581" t="s">
        <v>532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>
        <v>4.47</v>
      </c>
      <c r="J581" s="8">
        <v>0.75329999999999997</v>
      </c>
      <c r="K581">
        <v>70000</v>
      </c>
      <c r="L581" s="2">
        <v>46065</v>
      </c>
    </row>
    <row r="582" spans="1:12">
      <c r="A582" t="s">
        <v>884</v>
      </c>
      <c r="B582" t="s">
        <v>431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>
        <v>13.21</v>
      </c>
      <c r="J582" s="8">
        <v>0.68700000000000006</v>
      </c>
      <c r="K582">
        <v>90000</v>
      </c>
      <c r="L582" s="2">
        <v>45683</v>
      </c>
    </row>
    <row r="583" spans="1:12">
      <c r="A583" t="s">
        <v>885</v>
      </c>
      <c r="B583" t="s">
        <v>50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>
        <v>10.16</v>
      </c>
      <c r="J583" s="8">
        <v>0.61609999999999998</v>
      </c>
      <c r="K583">
        <v>85000</v>
      </c>
      <c r="L583" s="2">
        <v>45866</v>
      </c>
    </row>
    <row r="584" spans="1:12">
      <c r="A584" t="s">
        <v>886</v>
      </c>
      <c r="B584" t="s">
        <v>357</v>
      </c>
      <c r="C584" t="s">
        <v>14</v>
      </c>
      <c r="D584" t="s">
        <v>36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 s="8">
        <v>0.71809999999999996</v>
      </c>
      <c r="K584">
        <v>120000</v>
      </c>
      <c r="L584" s="2">
        <v>45704</v>
      </c>
    </row>
    <row r="585" spans="1:12">
      <c r="A585" t="s">
        <v>887</v>
      </c>
      <c r="B585" t="s">
        <v>106</v>
      </c>
      <c r="C585" t="s">
        <v>14</v>
      </c>
      <c r="D585" t="s">
        <v>36</v>
      </c>
      <c r="E585" t="s">
        <v>16</v>
      </c>
      <c r="F585">
        <v>10.87</v>
      </c>
      <c r="G585">
        <v>7.88</v>
      </c>
      <c r="H585">
        <v>10.98</v>
      </c>
      <c r="I585">
        <v>8.89</v>
      </c>
      <c r="J585" s="8">
        <v>0.78890000000000005</v>
      </c>
      <c r="K585">
        <v>120000</v>
      </c>
      <c r="L585" s="2">
        <v>45876</v>
      </c>
    </row>
    <row r="586" spans="1:12">
      <c r="A586" t="s">
        <v>888</v>
      </c>
      <c r="B586" t="s">
        <v>528</v>
      </c>
      <c r="C586" t="s">
        <v>14</v>
      </c>
      <c r="D586" t="s">
        <v>53</v>
      </c>
      <c r="E586" t="s">
        <v>29</v>
      </c>
      <c r="F586">
        <v>9.93</v>
      </c>
      <c r="G586">
        <v>12.04</v>
      </c>
      <c r="H586">
        <v>12.03</v>
      </c>
      <c r="I586">
        <v>11.88</v>
      </c>
      <c r="J586" s="8">
        <v>0.79039999999999999</v>
      </c>
      <c r="K586">
        <v>110000</v>
      </c>
      <c r="L586" s="2">
        <v>46146</v>
      </c>
    </row>
    <row r="587" spans="1:12">
      <c r="A587" t="s">
        <v>889</v>
      </c>
      <c r="B587" t="s">
        <v>541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>
        <v>10.17</v>
      </c>
      <c r="J587" s="8">
        <v>0.66379999999999995</v>
      </c>
      <c r="K587">
        <v>100000</v>
      </c>
      <c r="L587" s="2">
        <v>45841</v>
      </c>
    </row>
    <row r="588" spans="1:12">
      <c r="A588" t="s">
        <v>890</v>
      </c>
      <c r="B588" t="s">
        <v>79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>
        <v>8.33</v>
      </c>
      <c r="J588" s="8">
        <v>0.94240000000000002</v>
      </c>
      <c r="K588">
        <v>60000</v>
      </c>
      <c r="L588" s="2">
        <v>45600</v>
      </c>
    </row>
    <row r="589" spans="1:12">
      <c r="A589" t="s">
        <v>891</v>
      </c>
      <c r="B589" t="s">
        <v>451</v>
      </c>
      <c r="C589" t="s">
        <v>14</v>
      </c>
      <c r="D589" t="s">
        <v>53</v>
      </c>
      <c r="E589" t="s">
        <v>16</v>
      </c>
      <c r="F589">
        <v>7.43</v>
      </c>
      <c r="G589">
        <v>7.35</v>
      </c>
      <c r="H589">
        <v>10.08</v>
      </c>
      <c r="I589">
        <v>7.79</v>
      </c>
      <c r="J589" s="8">
        <v>0.86570000000000003</v>
      </c>
      <c r="K589">
        <v>130000</v>
      </c>
      <c r="L589" s="2">
        <v>45763</v>
      </c>
    </row>
    <row r="590" spans="1:12">
      <c r="A590" t="s">
        <v>892</v>
      </c>
      <c r="B590" t="s">
        <v>77</v>
      </c>
      <c r="C590" t="s">
        <v>19</v>
      </c>
      <c r="D590" t="s">
        <v>36</v>
      </c>
      <c r="E590" t="s">
        <v>29</v>
      </c>
      <c r="F590">
        <v>9.7200000000000006</v>
      </c>
      <c r="G590">
        <v>12.52</v>
      </c>
      <c r="H590">
        <v>10.52</v>
      </c>
      <c r="I590">
        <v>9.99</v>
      </c>
      <c r="J590" s="8">
        <v>0.62649999999999995</v>
      </c>
      <c r="K590">
        <v>50000</v>
      </c>
      <c r="L590" s="2">
        <v>46086</v>
      </c>
    </row>
    <row r="591" spans="1:12">
      <c r="A591" t="s">
        <v>893</v>
      </c>
      <c r="B591" t="s">
        <v>675</v>
      </c>
      <c r="C591" t="s">
        <v>19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 s="8">
        <v>0.91310000000000002</v>
      </c>
      <c r="K591">
        <v>85000</v>
      </c>
      <c r="L591" s="2">
        <v>45901</v>
      </c>
    </row>
    <row r="592" spans="1:12">
      <c r="A592" t="s">
        <v>894</v>
      </c>
      <c r="B592" t="s">
        <v>213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>
        <v>17.690000000000001</v>
      </c>
      <c r="J592" s="8">
        <v>0.75449999999999995</v>
      </c>
      <c r="K592">
        <v>80000</v>
      </c>
      <c r="L592" s="2">
        <v>45928</v>
      </c>
    </row>
    <row r="593" spans="1:12">
      <c r="A593" t="s">
        <v>895</v>
      </c>
      <c r="B593" t="s">
        <v>636</v>
      </c>
      <c r="C593" t="s">
        <v>19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 s="8">
        <v>0.8861</v>
      </c>
      <c r="K593">
        <v>80000</v>
      </c>
      <c r="L593" s="2">
        <v>45837</v>
      </c>
    </row>
    <row r="594" spans="1:12">
      <c r="A594" t="s">
        <v>896</v>
      </c>
      <c r="B594" t="s">
        <v>878</v>
      </c>
      <c r="C594" t="s">
        <v>14</v>
      </c>
      <c r="D594" t="s">
        <v>15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 s="8">
        <v>0.6996</v>
      </c>
      <c r="K594">
        <v>130000</v>
      </c>
      <c r="L594" s="2">
        <v>45740</v>
      </c>
    </row>
    <row r="595" spans="1:12">
      <c r="A595" t="s">
        <v>897</v>
      </c>
      <c r="B595" t="s">
        <v>898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>
        <v>12.65</v>
      </c>
      <c r="J595" s="8">
        <v>0.80689999999999995</v>
      </c>
      <c r="K595">
        <v>70000</v>
      </c>
      <c r="L595" s="2">
        <v>45954</v>
      </c>
    </row>
    <row r="596" spans="1:12">
      <c r="A596" t="s">
        <v>899</v>
      </c>
      <c r="B596" t="s">
        <v>274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>
        <v>15.9</v>
      </c>
      <c r="J596" s="8">
        <v>0.94950000000000001</v>
      </c>
      <c r="K596">
        <v>90000</v>
      </c>
      <c r="L596" s="2">
        <v>45979</v>
      </c>
    </row>
    <row r="597" spans="1:12">
      <c r="A597" t="s">
        <v>900</v>
      </c>
      <c r="B597" t="s">
        <v>412</v>
      </c>
      <c r="C597" t="s">
        <v>19</v>
      </c>
      <c r="D597" t="s">
        <v>53</v>
      </c>
      <c r="E597" t="s">
        <v>21</v>
      </c>
      <c r="F597">
        <v>13.31</v>
      </c>
      <c r="G597">
        <v>10.73</v>
      </c>
      <c r="H597">
        <v>8.2100000000000009</v>
      </c>
      <c r="I597">
        <v>10.82</v>
      </c>
      <c r="J597" s="8">
        <v>0.86019999999999996</v>
      </c>
      <c r="K597">
        <v>70000</v>
      </c>
      <c r="L597" s="2">
        <v>46164</v>
      </c>
    </row>
    <row r="598" spans="1:12">
      <c r="A598" t="s">
        <v>901</v>
      </c>
      <c r="B598" t="s">
        <v>710</v>
      </c>
      <c r="C598" t="s">
        <v>19</v>
      </c>
      <c r="D598" t="s">
        <v>53</v>
      </c>
      <c r="E598" t="s">
        <v>21</v>
      </c>
      <c r="F598">
        <v>12.07</v>
      </c>
      <c r="G598">
        <v>10.85</v>
      </c>
      <c r="H598">
        <v>7.96</v>
      </c>
      <c r="I598">
        <v>11.93</v>
      </c>
      <c r="J598" s="8">
        <v>0.59350000000000003</v>
      </c>
      <c r="K598">
        <v>130000</v>
      </c>
      <c r="L598" s="2">
        <v>45968</v>
      </c>
    </row>
    <row r="599" spans="1:12">
      <c r="A599" t="s">
        <v>902</v>
      </c>
      <c r="B599" t="s">
        <v>805</v>
      </c>
      <c r="C599" t="s">
        <v>19</v>
      </c>
      <c r="D599" t="s">
        <v>36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 s="8">
        <v>0.87170000000000003</v>
      </c>
      <c r="K599">
        <v>110000</v>
      </c>
      <c r="L599" s="2">
        <v>46232</v>
      </c>
    </row>
    <row r="600" spans="1:12">
      <c r="A600" t="s">
        <v>903</v>
      </c>
      <c r="B600" t="s">
        <v>61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>
        <v>12.58</v>
      </c>
      <c r="J600" s="8">
        <v>0.76070000000000004</v>
      </c>
      <c r="K600">
        <v>80000</v>
      </c>
      <c r="L600" s="2">
        <v>46114</v>
      </c>
    </row>
    <row r="601" spans="1:12">
      <c r="A601" t="s">
        <v>904</v>
      </c>
      <c r="B601" t="s">
        <v>392</v>
      </c>
      <c r="C601" t="s">
        <v>19</v>
      </c>
      <c r="D601" t="s">
        <v>36</v>
      </c>
      <c r="E601" t="s">
        <v>16</v>
      </c>
      <c r="F601">
        <v>6.42</v>
      </c>
      <c r="G601">
        <v>8.4700000000000006</v>
      </c>
      <c r="H601">
        <v>10.92</v>
      </c>
      <c r="I601">
        <v>6.84</v>
      </c>
      <c r="J601" s="8">
        <v>0.94220000000000004</v>
      </c>
      <c r="K601">
        <v>50000</v>
      </c>
      <c r="L601" s="2">
        <v>45591</v>
      </c>
    </row>
    <row r="602" spans="1:12">
      <c r="A602" t="s">
        <v>905</v>
      </c>
      <c r="B602" t="s">
        <v>301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>
        <v>8.0500000000000007</v>
      </c>
      <c r="J602" s="8">
        <v>0.89649999999999996</v>
      </c>
      <c r="K602">
        <v>60000</v>
      </c>
      <c r="L602" s="2">
        <v>45810</v>
      </c>
    </row>
    <row r="603" spans="1:12">
      <c r="A603" t="s">
        <v>906</v>
      </c>
      <c r="B603" t="s">
        <v>589</v>
      </c>
      <c r="C603" t="s">
        <v>19</v>
      </c>
      <c r="D603" t="s">
        <v>28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 s="8">
        <v>0.9133</v>
      </c>
      <c r="K603">
        <v>70000</v>
      </c>
      <c r="L603" s="2">
        <v>45805</v>
      </c>
    </row>
    <row r="604" spans="1:12">
      <c r="A604" t="s">
        <v>907</v>
      </c>
      <c r="B604" t="s">
        <v>908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>
        <v>9.9</v>
      </c>
      <c r="J604" s="8">
        <v>0.73009999999999997</v>
      </c>
      <c r="K604">
        <v>80000</v>
      </c>
      <c r="L604" s="2">
        <v>45538</v>
      </c>
    </row>
    <row r="605" spans="1:12">
      <c r="A605" t="s">
        <v>909</v>
      </c>
      <c r="B605" t="s">
        <v>115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>
        <v>14.52</v>
      </c>
      <c r="J605" s="8">
        <v>0.91159999999999997</v>
      </c>
      <c r="K605">
        <v>120000</v>
      </c>
      <c r="L605" s="2">
        <v>45662</v>
      </c>
    </row>
    <row r="606" spans="1:12">
      <c r="A606" t="s">
        <v>910</v>
      </c>
      <c r="B606" t="s">
        <v>239</v>
      </c>
      <c r="C606" t="s">
        <v>19</v>
      </c>
      <c r="D606" t="s">
        <v>15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 s="8">
        <v>0.55000000000000004</v>
      </c>
      <c r="K606">
        <v>60000</v>
      </c>
      <c r="L606" s="2">
        <v>46069</v>
      </c>
    </row>
    <row r="607" spans="1:12">
      <c r="A607" t="s">
        <v>911</v>
      </c>
      <c r="B607" t="s">
        <v>912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>
        <v>17.63</v>
      </c>
      <c r="J607" s="8">
        <v>0.9637</v>
      </c>
      <c r="K607">
        <v>90000</v>
      </c>
      <c r="L607" s="2">
        <v>45782</v>
      </c>
    </row>
    <row r="608" spans="1:12">
      <c r="A608" t="s">
        <v>913</v>
      </c>
      <c r="B608" t="s">
        <v>833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>
        <v>12.35</v>
      </c>
      <c r="J608" s="8">
        <v>0.66120000000000001</v>
      </c>
      <c r="K608">
        <v>75000</v>
      </c>
      <c r="L608" s="2">
        <v>45639</v>
      </c>
    </row>
    <row r="609" spans="1:12">
      <c r="A609" t="s">
        <v>914</v>
      </c>
      <c r="B609" t="s">
        <v>915</v>
      </c>
      <c r="C609" t="s">
        <v>19</v>
      </c>
      <c r="D609" t="s">
        <v>53</v>
      </c>
      <c r="E609" t="s">
        <v>29</v>
      </c>
      <c r="F609">
        <v>9.85</v>
      </c>
      <c r="G609">
        <v>10.31</v>
      </c>
      <c r="H609">
        <v>10.46</v>
      </c>
      <c r="I609">
        <v>10.26</v>
      </c>
      <c r="J609" s="8">
        <v>0.84309999999999996</v>
      </c>
      <c r="K609">
        <v>50000</v>
      </c>
      <c r="L609" s="2">
        <v>45737</v>
      </c>
    </row>
    <row r="610" spans="1:12">
      <c r="A610" t="s">
        <v>916</v>
      </c>
      <c r="B610" t="s">
        <v>653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>
        <v>11.17</v>
      </c>
      <c r="J610" s="8">
        <v>0.75800000000000001</v>
      </c>
      <c r="K610">
        <v>90000</v>
      </c>
      <c r="L610" s="2">
        <v>45728</v>
      </c>
    </row>
    <row r="611" spans="1:12">
      <c r="A611" t="s">
        <v>917</v>
      </c>
      <c r="B611" t="s">
        <v>323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>
        <v>17.260000000000002</v>
      </c>
      <c r="J611" s="8">
        <v>0.86609999999999998</v>
      </c>
      <c r="K611">
        <v>100000</v>
      </c>
      <c r="L611" s="2">
        <v>45658</v>
      </c>
    </row>
    <row r="612" spans="1:12">
      <c r="A612" t="s">
        <v>918</v>
      </c>
      <c r="B612" t="s">
        <v>380</v>
      </c>
      <c r="C612" t="s">
        <v>19</v>
      </c>
      <c r="D612" t="s">
        <v>36</v>
      </c>
      <c r="E612" t="s">
        <v>16</v>
      </c>
      <c r="F612">
        <v>18.38</v>
      </c>
      <c r="G612">
        <v>15.2</v>
      </c>
      <c r="H612">
        <v>15.94</v>
      </c>
      <c r="I612">
        <v>15.58</v>
      </c>
      <c r="J612" s="8">
        <v>0.55000000000000004</v>
      </c>
      <c r="K612">
        <v>130000</v>
      </c>
      <c r="L612" s="2">
        <v>45606</v>
      </c>
    </row>
    <row r="613" spans="1:12">
      <c r="A613" t="s">
        <v>919</v>
      </c>
      <c r="B613" t="s">
        <v>69</v>
      </c>
      <c r="C613" t="s">
        <v>14</v>
      </c>
      <c r="D613" t="s">
        <v>53</v>
      </c>
      <c r="E613" t="s">
        <v>29</v>
      </c>
      <c r="F613">
        <v>7.94</v>
      </c>
      <c r="G613">
        <v>9.0399999999999991</v>
      </c>
      <c r="H613">
        <v>6.83</v>
      </c>
      <c r="I613">
        <v>5.76</v>
      </c>
      <c r="J613" s="8">
        <v>0.74650000000000005</v>
      </c>
      <c r="K613">
        <v>85000</v>
      </c>
      <c r="L613" s="2">
        <v>46070</v>
      </c>
    </row>
    <row r="614" spans="1:12">
      <c r="A614" t="s">
        <v>920</v>
      </c>
      <c r="B614" t="s">
        <v>697</v>
      </c>
      <c r="C614" t="s">
        <v>19</v>
      </c>
      <c r="D614" t="s">
        <v>53</v>
      </c>
      <c r="E614" t="s">
        <v>16</v>
      </c>
      <c r="F614">
        <v>18.420000000000002</v>
      </c>
      <c r="G614">
        <v>14.77</v>
      </c>
      <c r="H614">
        <v>17.2</v>
      </c>
      <c r="I614">
        <v>11.07</v>
      </c>
      <c r="J614" s="8">
        <v>0.55000000000000004</v>
      </c>
      <c r="K614">
        <v>75000</v>
      </c>
      <c r="L614" s="2">
        <v>46113</v>
      </c>
    </row>
    <row r="615" spans="1:12">
      <c r="A615" t="s">
        <v>921</v>
      </c>
      <c r="B615" t="s">
        <v>161</v>
      </c>
      <c r="C615" t="s">
        <v>14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 s="8">
        <v>0.96399999999999997</v>
      </c>
      <c r="K615">
        <v>120000</v>
      </c>
      <c r="L615" s="2">
        <v>45883</v>
      </c>
    </row>
    <row r="616" spans="1:12">
      <c r="A616" t="s">
        <v>922</v>
      </c>
      <c r="B616" t="s">
        <v>923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>
        <v>13.9</v>
      </c>
      <c r="J616" s="8">
        <v>0.73899999999999999</v>
      </c>
      <c r="K616">
        <v>70000</v>
      </c>
      <c r="L616" s="2">
        <v>45966</v>
      </c>
    </row>
    <row r="617" spans="1:12">
      <c r="A617" t="s">
        <v>924</v>
      </c>
      <c r="B617" t="s">
        <v>777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>
        <v>15.94</v>
      </c>
      <c r="J617" s="8">
        <v>0.80759999999999998</v>
      </c>
      <c r="K617">
        <v>100000</v>
      </c>
      <c r="L617" s="2">
        <v>46179</v>
      </c>
    </row>
    <row r="618" spans="1:12">
      <c r="A618" t="s">
        <v>925</v>
      </c>
      <c r="B618" t="s">
        <v>926</v>
      </c>
      <c r="C618" t="s">
        <v>14</v>
      </c>
      <c r="D618" t="s">
        <v>32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 s="8">
        <v>0.85309999999999997</v>
      </c>
      <c r="K618">
        <v>130000</v>
      </c>
      <c r="L618" s="2">
        <v>46125</v>
      </c>
    </row>
    <row r="619" spans="1:12">
      <c r="A619" t="s">
        <v>927</v>
      </c>
      <c r="B619" t="s">
        <v>928</v>
      </c>
      <c r="C619" t="s">
        <v>14</v>
      </c>
      <c r="D619" t="s">
        <v>53</v>
      </c>
      <c r="E619" t="s">
        <v>21</v>
      </c>
      <c r="F619">
        <v>13.83</v>
      </c>
      <c r="G619">
        <v>8.6999999999999993</v>
      </c>
      <c r="H619">
        <v>10.86</v>
      </c>
      <c r="I619">
        <v>13.78</v>
      </c>
      <c r="J619" s="8">
        <v>0.77849999999999997</v>
      </c>
      <c r="K619">
        <v>50000</v>
      </c>
      <c r="L619" s="2">
        <v>45558</v>
      </c>
    </row>
    <row r="620" spans="1:12">
      <c r="A620" t="s">
        <v>929</v>
      </c>
      <c r="B620" t="s">
        <v>930</v>
      </c>
      <c r="C620" t="s">
        <v>14</v>
      </c>
      <c r="D620" t="s">
        <v>36</v>
      </c>
      <c r="E620" t="s">
        <v>29</v>
      </c>
      <c r="F620">
        <v>6.53</v>
      </c>
      <c r="G620">
        <v>10.6</v>
      </c>
      <c r="H620">
        <v>8.65</v>
      </c>
      <c r="I620">
        <v>6</v>
      </c>
      <c r="J620" s="8">
        <v>0.64100000000000001</v>
      </c>
      <c r="K620">
        <v>130000</v>
      </c>
      <c r="L620" s="2">
        <v>46203</v>
      </c>
    </row>
    <row r="621" spans="1:12">
      <c r="A621" t="s">
        <v>931</v>
      </c>
      <c r="B621" t="s">
        <v>186</v>
      </c>
      <c r="C621" t="s">
        <v>14</v>
      </c>
      <c r="D621" t="s">
        <v>15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 s="8">
        <v>0.92290000000000005</v>
      </c>
      <c r="K621">
        <v>70000</v>
      </c>
      <c r="L621" s="2">
        <v>45582</v>
      </c>
    </row>
    <row r="622" spans="1:12">
      <c r="A622" t="s">
        <v>932</v>
      </c>
      <c r="B622" t="s">
        <v>431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>
        <v>13.9</v>
      </c>
      <c r="J622" s="8">
        <v>0.88260000000000005</v>
      </c>
      <c r="K622">
        <v>85000</v>
      </c>
      <c r="L622" s="2">
        <v>45554</v>
      </c>
    </row>
    <row r="623" spans="1:12">
      <c r="A623" t="s">
        <v>933</v>
      </c>
      <c r="B623" t="s">
        <v>210</v>
      </c>
      <c r="C623" t="s">
        <v>14</v>
      </c>
      <c r="D623" t="s">
        <v>20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 s="8">
        <v>0.9829</v>
      </c>
      <c r="K623">
        <v>70000</v>
      </c>
      <c r="L623" s="2">
        <v>45818</v>
      </c>
    </row>
    <row r="624" spans="1:12">
      <c r="A624" t="s">
        <v>934</v>
      </c>
      <c r="B624" t="s">
        <v>370</v>
      </c>
      <c r="C624" t="s">
        <v>14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 s="8">
        <v>0.95050000000000001</v>
      </c>
      <c r="K624">
        <v>60000</v>
      </c>
      <c r="L624" s="2">
        <v>46058</v>
      </c>
    </row>
    <row r="625" spans="1:12">
      <c r="A625" t="s">
        <v>935</v>
      </c>
      <c r="B625" t="s">
        <v>164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>
        <v>8.23</v>
      </c>
      <c r="J625" s="8">
        <v>0.87350000000000005</v>
      </c>
      <c r="K625">
        <v>100000</v>
      </c>
      <c r="L625" s="2">
        <v>45592</v>
      </c>
    </row>
    <row r="626" spans="1:12">
      <c r="A626" t="s">
        <v>936</v>
      </c>
      <c r="B626" t="s">
        <v>59</v>
      </c>
      <c r="C626" t="s">
        <v>19</v>
      </c>
      <c r="D626" t="s">
        <v>28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 s="8">
        <v>0.75249999999999995</v>
      </c>
      <c r="K626">
        <v>85000</v>
      </c>
      <c r="L626" s="2">
        <v>45741</v>
      </c>
    </row>
    <row r="627" spans="1:12">
      <c r="A627" t="s">
        <v>937</v>
      </c>
      <c r="B627" t="s">
        <v>737</v>
      </c>
      <c r="C627" t="s">
        <v>14</v>
      </c>
      <c r="D627" t="s">
        <v>28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 s="8">
        <v>0.98350000000000004</v>
      </c>
      <c r="K627">
        <v>85000</v>
      </c>
      <c r="L627" s="2">
        <v>45719</v>
      </c>
    </row>
    <row r="628" spans="1:12">
      <c r="A628" t="s">
        <v>938</v>
      </c>
      <c r="B628" t="s">
        <v>939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>
        <v>12.01</v>
      </c>
      <c r="J628" s="8">
        <v>0.90610000000000002</v>
      </c>
      <c r="K628">
        <v>85000</v>
      </c>
      <c r="L628" s="2">
        <v>45814</v>
      </c>
    </row>
    <row r="629" spans="1:12">
      <c r="A629" t="s">
        <v>940</v>
      </c>
      <c r="B629" t="s">
        <v>460</v>
      </c>
      <c r="C629" t="s">
        <v>14</v>
      </c>
      <c r="D629" t="s">
        <v>36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 s="8">
        <v>0.93130000000000002</v>
      </c>
      <c r="K629">
        <v>110000</v>
      </c>
      <c r="L629" s="2">
        <v>46226</v>
      </c>
    </row>
    <row r="630" spans="1:12">
      <c r="A630" t="s">
        <v>941</v>
      </c>
      <c r="B630" t="s">
        <v>618</v>
      </c>
      <c r="C630" t="s">
        <v>19</v>
      </c>
      <c r="D630" t="s">
        <v>36</v>
      </c>
      <c r="E630" t="s">
        <v>29</v>
      </c>
      <c r="F630">
        <v>15.07</v>
      </c>
      <c r="G630">
        <v>15.91</v>
      </c>
      <c r="H630">
        <v>8.73</v>
      </c>
      <c r="I630">
        <v>16.329999999999998</v>
      </c>
      <c r="J630" s="8">
        <v>0.73860000000000003</v>
      </c>
      <c r="K630">
        <v>130000</v>
      </c>
      <c r="L630" s="2">
        <v>45767</v>
      </c>
    </row>
    <row r="631" spans="1:12">
      <c r="A631" t="s">
        <v>942</v>
      </c>
      <c r="B631" t="s">
        <v>833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>
        <v>15.33</v>
      </c>
      <c r="J631" s="8">
        <v>0.80720000000000003</v>
      </c>
      <c r="K631">
        <v>85000</v>
      </c>
      <c r="L631" s="2">
        <v>45682</v>
      </c>
    </row>
    <row r="632" spans="1:12">
      <c r="A632" t="s">
        <v>943</v>
      </c>
      <c r="B632" t="s">
        <v>518</v>
      </c>
      <c r="C632" t="s">
        <v>19</v>
      </c>
      <c r="D632" t="s">
        <v>53</v>
      </c>
      <c r="E632" t="s">
        <v>16</v>
      </c>
      <c r="F632">
        <v>16.36</v>
      </c>
      <c r="G632">
        <v>16.149999999999999</v>
      </c>
      <c r="H632">
        <v>14.38</v>
      </c>
      <c r="I632">
        <v>14.67</v>
      </c>
      <c r="J632" s="8">
        <v>0.70789999999999997</v>
      </c>
      <c r="K632">
        <v>60000</v>
      </c>
      <c r="L632" s="2">
        <v>45621</v>
      </c>
    </row>
    <row r="633" spans="1:12">
      <c r="A633" t="s">
        <v>944</v>
      </c>
      <c r="B633" t="s">
        <v>291</v>
      </c>
      <c r="C633" t="s">
        <v>14</v>
      </c>
      <c r="D633" t="s">
        <v>36</v>
      </c>
      <c r="E633" t="s">
        <v>29</v>
      </c>
      <c r="F633">
        <v>16.43</v>
      </c>
      <c r="G633">
        <v>17.97</v>
      </c>
      <c r="H633">
        <v>15.73</v>
      </c>
      <c r="I633">
        <v>19.32</v>
      </c>
      <c r="J633" s="8">
        <v>0.83879999999999999</v>
      </c>
      <c r="K633">
        <v>75000</v>
      </c>
      <c r="L633" s="2">
        <v>45674</v>
      </c>
    </row>
    <row r="634" spans="1:12">
      <c r="A634" t="s">
        <v>945</v>
      </c>
      <c r="B634" t="s">
        <v>474</v>
      </c>
      <c r="C634" t="s">
        <v>14</v>
      </c>
      <c r="D634" t="s">
        <v>36</v>
      </c>
      <c r="E634" t="s">
        <v>21</v>
      </c>
      <c r="F634">
        <v>9</v>
      </c>
      <c r="G634">
        <v>12.14</v>
      </c>
      <c r="H634">
        <v>10.14</v>
      </c>
      <c r="I634">
        <v>10.71</v>
      </c>
      <c r="J634" s="8">
        <v>0.59550000000000003</v>
      </c>
      <c r="K634">
        <v>85000</v>
      </c>
      <c r="L634" s="2">
        <v>45629</v>
      </c>
    </row>
    <row r="635" spans="1:12">
      <c r="A635" t="s">
        <v>946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>
        <v>14.72</v>
      </c>
      <c r="J635" s="8">
        <v>0.87860000000000005</v>
      </c>
      <c r="K635">
        <v>60000</v>
      </c>
      <c r="L635" s="2">
        <v>45937</v>
      </c>
    </row>
    <row r="636" spans="1:12">
      <c r="A636" t="s">
        <v>947</v>
      </c>
      <c r="B636" t="s">
        <v>251</v>
      </c>
      <c r="C636" t="s">
        <v>14</v>
      </c>
      <c r="D636" t="s">
        <v>28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 s="8">
        <v>0.71719999999999995</v>
      </c>
      <c r="K636">
        <v>70000</v>
      </c>
      <c r="L636" s="2">
        <v>45830</v>
      </c>
    </row>
    <row r="637" spans="1:12">
      <c r="A637" t="s">
        <v>948</v>
      </c>
      <c r="B637" t="s">
        <v>949</v>
      </c>
      <c r="C637" t="s">
        <v>19</v>
      </c>
      <c r="D637" t="s">
        <v>32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 s="8">
        <v>0.87719999999999998</v>
      </c>
      <c r="K637">
        <v>70000</v>
      </c>
      <c r="L637" s="2">
        <v>45884</v>
      </c>
    </row>
    <row r="638" spans="1:12">
      <c r="A638" t="s">
        <v>950</v>
      </c>
      <c r="B638" t="s">
        <v>581</v>
      </c>
      <c r="C638" t="s">
        <v>14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 s="8">
        <v>0.86419999999999997</v>
      </c>
      <c r="K638">
        <v>130000</v>
      </c>
      <c r="L638" s="2">
        <v>46118</v>
      </c>
    </row>
    <row r="639" spans="1:12">
      <c r="A639" t="s">
        <v>951</v>
      </c>
      <c r="B639" t="s">
        <v>562</v>
      </c>
      <c r="C639" t="s">
        <v>14</v>
      </c>
      <c r="D639" t="s">
        <v>36</v>
      </c>
      <c r="E639" t="s">
        <v>29</v>
      </c>
      <c r="F639">
        <v>13.64</v>
      </c>
      <c r="G639">
        <v>14.11</v>
      </c>
      <c r="H639">
        <v>12.31</v>
      </c>
      <c r="I639">
        <v>15.89</v>
      </c>
      <c r="J639" s="8">
        <v>0.76659999999999995</v>
      </c>
      <c r="K639">
        <v>80000</v>
      </c>
      <c r="L639" s="2">
        <v>45942</v>
      </c>
    </row>
    <row r="640" spans="1:12">
      <c r="A640" t="s">
        <v>952</v>
      </c>
      <c r="B640" t="s">
        <v>671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>
        <v>16.149999999999999</v>
      </c>
      <c r="J640" s="8">
        <v>0.85640000000000005</v>
      </c>
      <c r="K640">
        <v>120000</v>
      </c>
      <c r="L640" s="2">
        <v>45644</v>
      </c>
    </row>
    <row r="641" spans="1:12">
      <c r="A641" t="s">
        <v>953</v>
      </c>
      <c r="B641" t="s">
        <v>256</v>
      </c>
      <c r="C641" t="s">
        <v>19</v>
      </c>
      <c r="D641" t="s">
        <v>32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 s="8">
        <v>0.68010000000000004</v>
      </c>
      <c r="K641">
        <v>90000</v>
      </c>
      <c r="L641" s="2">
        <v>45799</v>
      </c>
    </row>
    <row r="642" spans="1:12">
      <c r="A642" t="s">
        <v>954</v>
      </c>
      <c r="B642" t="s">
        <v>148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>
        <v>14.86</v>
      </c>
      <c r="J642" s="8">
        <v>0.55000000000000004</v>
      </c>
      <c r="K642">
        <v>85000</v>
      </c>
      <c r="L642" s="2">
        <v>45754</v>
      </c>
    </row>
    <row r="643" spans="1:12">
      <c r="A643" t="s">
        <v>955</v>
      </c>
      <c r="B643" t="s">
        <v>433</v>
      </c>
      <c r="C643" t="s">
        <v>19</v>
      </c>
      <c r="D643" t="s">
        <v>53</v>
      </c>
      <c r="E643" t="s">
        <v>29</v>
      </c>
      <c r="F643">
        <v>11.28</v>
      </c>
      <c r="G643">
        <v>18.77</v>
      </c>
      <c r="H643">
        <v>9.26</v>
      </c>
      <c r="I643">
        <v>11.45</v>
      </c>
      <c r="J643" s="8">
        <v>0.91769999999999996</v>
      </c>
      <c r="K643">
        <v>130000</v>
      </c>
      <c r="L643" s="2">
        <v>46114</v>
      </c>
    </row>
    <row r="644" spans="1:12">
      <c r="A644" t="s">
        <v>956</v>
      </c>
      <c r="B644" t="s">
        <v>180</v>
      </c>
      <c r="C644" t="s">
        <v>19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 s="8">
        <v>0.85019999999999996</v>
      </c>
      <c r="K644">
        <v>100000</v>
      </c>
      <c r="L644" s="2">
        <v>45750</v>
      </c>
    </row>
    <row r="645" spans="1:12">
      <c r="A645" t="s">
        <v>957</v>
      </c>
      <c r="B645" t="s">
        <v>285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>
        <v>13.43</v>
      </c>
      <c r="J645" s="8">
        <v>0.92879999999999996</v>
      </c>
      <c r="K645">
        <v>70000</v>
      </c>
      <c r="L645" s="2">
        <v>45633</v>
      </c>
    </row>
    <row r="646" spans="1:12">
      <c r="A646" t="s">
        <v>958</v>
      </c>
      <c r="B646" t="s">
        <v>127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>
        <v>11.61</v>
      </c>
      <c r="J646" s="8">
        <v>0.97140000000000004</v>
      </c>
      <c r="K646">
        <v>75000</v>
      </c>
      <c r="L646" s="2">
        <v>46051</v>
      </c>
    </row>
    <row r="647" spans="1:12">
      <c r="A647" t="s">
        <v>959</v>
      </c>
      <c r="B647" t="s">
        <v>241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>
        <v>10.07</v>
      </c>
      <c r="J647" s="8">
        <v>0.94579999999999997</v>
      </c>
      <c r="K647">
        <v>100000</v>
      </c>
      <c r="L647" s="2">
        <v>45835</v>
      </c>
    </row>
    <row r="648" spans="1:12">
      <c r="A648" t="s">
        <v>960</v>
      </c>
      <c r="B648" t="s">
        <v>872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>
        <v>12.19</v>
      </c>
      <c r="J648" s="8">
        <v>0.80489999999999995</v>
      </c>
      <c r="K648">
        <v>50000</v>
      </c>
      <c r="L648" s="2">
        <v>45603</v>
      </c>
    </row>
    <row r="649" spans="1:12">
      <c r="A649" t="s">
        <v>961</v>
      </c>
      <c r="B649" t="s">
        <v>485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>
        <v>12.09</v>
      </c>
      <c r="J649" s="8">
        <v>0.9093</v>
      </c>
      <c r="K649">
        <v>60000</v>
      </c>
      <c r="L649" s="2">
        <v>46018</v>
      </c>
    </row>
    <row r="650" spans="1:12">
      <c r="A650" t="s">
        <v>962</v>
      </c>
      <c r="B650" t="s">
        <v>761</v>
      </c>
      <c r="C650" t="s">
        <v>19</v>
      </c>
      <c r="D650" t="s">
        <v>15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 s="8">
        <v>0.70750000000000002</v>
      </c>
      <c r="K650">
        <v>50000</v>
      </c>
      <c r="L650" s="2">
        <v>45683</v>
      </c>
    </row>
    <row r="651" spans="1:12">
      <c r="A651" t="s">
        <v>963</v>
      </c>
      <c r="B651" t="s">
        <v>77</v>
      </c>
      <c r="C651" t="s">
        <v>19</v>
      </c>
      <c r="D651" t="s">
        <v>28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 s="8">
        <v>0.89190000000000003</v>
      </c>
      <c r="K651">
        <v>100000</v>
      </c>
      <c r="L651" s="2">
        <v>46143</v>
      </c>
    </row>
    <row r="652" spans="1:12">
      <c r="A652" t="s">
        <v>964</v>
      </c>
      <c r="B652" t="s">
        <v>833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>
        <v>2.71</v>
      </c>
      <c r="J652" s="8">
        <v>0.94720000000000004</v>
      </c>
      <c r="K652">
        <v>80000</v>
      </c>
      <c r="L652" s="2">
        <v>46118</v>
      </c>
    </row>
    <row r="653" spans="1:12">
      <c r="A653" t="s">
        <v>965</v>
      </c>
      <c r="B653" t="s">
        <v>98</v>
      </c>
      <c r="C653" t="s">
        <v>19</v>
      </c>
      <c r="D653" t="s">
        <v>36</v>
      </c>
      <c r="E653" t="s">
        <v>16</v>
      </c>
      <c r="F653">
        <v>18.02</v>
      </c>
      <c r="G653">
        <v>14.05</v>
      </c>
      <c r="H653">
        <v>17.36</v>
      </c>
      <c r="I653">
        <v>15.72</v>
      </c>
      <c r="J653" s="8">
        <v>0.78739999999999999</v>
      </c>
      <c r="K653">
        <v>50000</v>
      </c>
      <c r="L653" s="2">
        <v>45794</v>
      </c>
    </row>
    <row r="654" spans="1:12">
      <c r="A654" t="s">
        <v>966</v>
      </c>
      <c r="B654" t="s">
        <v>564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>
        <v>10.039999999999999</v>
      </c>
      <c r="J654" s="8">
        <v>0.85770000000000002</v>
      </c>
      <c r="K654">
        <v>110000</v>
      </c>
      <c r="L654" s="2">
        <v>45924</v>
      </c>
    </row>
    <row r="655" spans="1:12">
      <c r="A655" t="s">
        <v>967</v>
      </c>
      <c r="B655" t="s">
        <v>880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>
        <v>16.010000000000002</v>
      </c>
      <c r="J655" s="8">
        <v>0.95340000000000003</v>
      </c>
      <c r="K655">
        <v>100000</v>
      </c>
      <c r="L655" s="2">
        <v>45933</v>
      </c>
    </row>
    <row r="656" spans="1:12">
      <c r="A656" t="s">
        <v>968</v>
      </c>
      <c r="B656" t="s">
        <v>226</v>
      </c>
      <c r="C656" t="s">
        <v>19</v>
      </c>
      <c r="D656" t="s">
        <v>36</v>
      </c>
      <c r="E656" t="s">
        <v>29</v>
      </c>
      <c r="F656">
        <v>15.93</v>
      </c>
      <c r="G656">
        <v>16.5</v>
      </c>
      <c r="H656">
        <v>12.82</v>
      </c>
      <c r="I656">
        <v>13.5</v>
      </c>
      <c r="J656" s="8">
        <v>0.93410000000000004</v>
      </c>
      <c r="K656">
        <v>100000</v>
      </c>
      <c r="L656" s="2">
        <v>45993</v>
      </c>
    </row>
    <row r="657" spans="1:12">
      <c r="A657" t="s">
        <v>969</v>
      </c>
      <c r="B657" t="s">
        <v>50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>
        <v>15.11</v>
      </c>
      <c r="J657" s="8">
        <v>0.88429999999999997</v>
      </c>
      <c r="K657">
        <v>60000</v>
      </c>
      <c r="L657" s="2">
        <v>45584</v>
      </c>
    </row>
    <row r="658" spans="1:12">
      <c r="A658" t="s">
        <v>970</v>
      </c>
      <c r="B658" t="s">
        <v>61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>
        <v>16.47</v>
      </c>
      <c r="J658" s="8">
        <v>0.86040000000000005</v>
      </c>
      <c r="K658">
        <v>120000</v>
      </c>
      <c r="L658" s="2">
        <v>45763</v>
      </c>
    </row>
    <row r="659" spans="1:12">
      <c r="A659" t="s">
        <v>971</v>
      </c>
      <c r="B659" t="s">
        <v>310</v>
      </c>
      <c r="C659" t="s">
        <v>19</v>
      </c>
      <c r="D659" t="s">
        <v>15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 s="8">
        <v>0.89090000000000003</v>
      </c>
      <c r="K659">
        <v>60000</v>
      </c>
      <c r="L659" s="2">
        <v>45655</v>
      </c>
    </row>
    <row r="660" spans="1:12">
      <c r="A660" t="s">
        <v>972</v>
      </c>
      <c r="B660" t="s">
        <v>494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>
        <v>19.53</v>
      </c>
      <c r="J660" s="8">
        <v>0.69230000000000003</v>
      </c>
      <c r="K660">
        <v>90000</v>
      </c>
      <c r="L660" s="2">
        <v>46024</v>
      </c>
    </row>
    <row r="661" spans="1:12">
      <c r="A661" t="s">
        <v>973</v>
      </c>
      <c r="B661" t="s">
        <v>555</v>
      </c>
      <c r="C661" t="s">
        <v>14</v>
      </c>
      <c r="D661" t="s">
        <v>20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 s="8">
        <v>0.60650000000000004</v>
      </c>
      <c r="K661">
        <v>90000</v>
      </c>
      <c r="L661" s="2">
        <v>45584</v>
      </c>
    </row>
    <row r="662" spans="1:12">
      <c r="A662" t="s">
        <v>974</v>
      </c>
      <c r="B662" t="s">
        <v>975</v>
      </c>
      <c r="C662" t="s">
        <v>14</v>
      </c>
      <c r="D662" t="s">
        <v>15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 s="8">
        <v>0.95640000000000003</v>
      </c>
      <c r="K662">
        <v>70000</v>
      </c>
      <c r="L662" s="2">
        <v>45897</v>
      </c>
    </row>
    <row r="663" spans="1:12">
      <c r="A663" t="s">
        <v>976</v>
      </c>
      <c r="B663" t="s">
        <v>166</v>
      </c>
      <c r="C663" t="s">
        <v>19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 s="8">
        <v>0.90159999999999996</v>
      </c>
      <c r="K663">
        <v>80000</v>
      </c>
      <c r="L663" s="2">
        <v>46045</v>
      </c>
    </row>
    <row r="664" spans="1:12">
      <c r="A664" t="s">
        <v>977</v>
      </c>
      <c r="B664" t="s">
        <v>482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>
        <v>17.89</v>
      </c>
      <c r="J664" s="8">
        <v>0.91339999999999999</v>
      </c>
      <c r="K664">
        <v>50000</v>
      </c>
      <c r="L664" s="2">
        <v>46199</v>
      </c>
    </row>
    <row r="665" spans="1:12">
      <c r="A665" t="s">
        <v>978</v>
      </c>
      <c r="B665" t="s">
        <v>202</v>
      </c>
      <c r="C665" t="s">
        <v>14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 s="8">
        <v>0.94720000000000004</v>
      </c>
      <c r="K665">
        <v>85000</v>
      </c>
      <c r="L665" s="2">
        <v>45737</v>
      </c>
    </row>
    <row r="666" spans="1:12">
      <c r="A666" t="s">
        <v>979</v>
      </c>
      <c r="B666" t="s">
        <v>315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>
        <v>13.53</v>
      </c>
      <c r="J666" s="8">
        <v>0.97170000000000001</v>
      </c>
      <c r="K666">
        <v>100000</v>
      </c>
      <c r="L666" s="2">
        <v>45541</v>
      </c>
    </row>
    <row r="667" spans="1:12">
      <c r="A667" t="s">
        <v>980</v>
      </c>
      <c r="B667" t="s">
        <v>301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>
        <v>12.8</v>
      </c>
      <c r="J667" s="8">
        <v>0.93730000000000002</v>
      </c>
      <c r="K667">
        <v>75000</v>
      </c>
      <c r="L667" s="2">
        <v>46042</v>
      </c>
    </row>
    <row r="668" spans="1:12">
      <c r="A668" t="s">
        <v>981</v>
      </c>
      <c r="B668" t="s">
        <v>420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>
        <v>14.93</v>
      </c>
      <c r="J668" s="8">
        <v>0.80459999999999998</v>
      </c>
      <c r="K668">
        <v>85000</v>
      </c>
      <c r="L668" s="2">
        <v>45537</v>
      </c>
    </row>
    <row r="669" spans="1:12">
      <c r="A669" t="s">
        <v>982</v>
      </c>
      <c r="B669" t="s">
        <v>123</v>
      </c>
      <c r="C669" t="s">
        <v>19</v>
      </c>
      <c r="D669" t="s">
        <v>20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 s="8">
        <v>0.86370000000000002</v>
      </c>
      <c r="K669">
        <v>130000</v>
      </c>
      <c r="L669" s="2">
        <v>45582</v>
      </c>
    </row>
    <row r="670" spans="1:12">
      <c r="A670" t="s">
        <v>983</v>
      </c>
      <c r="B670" t="s">
        <v>984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>
        <v>13.83</v>
      </c>
      <c r="J670" s="8">
        <v>0.71220000000000006</v>
      </c>
      <c r="K670">
        <v>70000</v>
      </c>
      <c r="L670" s="2">
        <v>46229</v>
      </c>
    </row>
    <row r="671" spans="1:12">
      <c r="A671" t="s">
        <v>985</v>
      </c>
      <c r="B671" t="s">
        <v>496</v>
      </c>
      <c r="C671" t="s">
        <v>14</v>
      </c>
      <c r="D671" t="s">
        <v>20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 s="8">
        <v>0.88290000000000002</v>
      </c>
      <c r="K671">
        <v>75000</v>
      </c>
      <c r="L671" s="2">
        <v>46139</v>
      </c>
    </row>
    <row r="672" spans="1:12">
      <c r="A672" t="s">
        <v>986</v>
      </c>
      <c r="B672" t="s">
        <v>213</v>
      </c>
      <c r="C672" t="s">
        <v>19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 s="8">
        <v>0.84699999999999998</v>
      </c>
      <c r="K672">
        <v>60000</v>
      </c>
      <c r="L672" s="2">
        <v>46031</v>
      </c>
    </row>
    <row r="673" spans="1:12">
      <c r="A673" t="s">
        <v>987</v>
      </c>
      <c r="B673" t="s">
        <v>734</v>
      </c>
      <c r="C673" t="s">
        <v>19</v>
      </c>
      <c r="D673" t="s">
        <v>28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 s="8">
        <v>0.55000000000000004</v>
      </c>
      <c r="K673">
        <v>85000</v>
      </c>
      <c r="L673" s="2">
        <v>46120</v>
      </c>
    </row>
    <row r="674" spans="1:12">
      <c r="A674" t="s">
        <v>988</v>
      </c>
      <c r="B674" t="s">
        <v>237</v>
      </c>
      <c r="C674" t="s">
        <v>19</v>
      </c>
      <c r="D674" t="s">
        <v>36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 s="8">
        <v>0.65739999999999998</v>
      </c>
      <c r="K674">
        <v>70000</v>
      </c>
      <c r="L674" s="2">
        <v>45588</v>
      </c>
    </row>
    <row r="675" spans="1:12">
      <c r="A675" t="s">
        <v>989</v>
      </c>
      <c r="B675" t="s">
        <v>926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>
        <v>8.36</v>
      </c>
      <c r="J675" s="8">
        <v>0.59</v>
      </c>
      <c r="K675">
        <v>120000</v>
      </c>
      <c r="L675" s="2">
        <v>45598</v>
      </c>
    </row>
    <row r="676" spans="1:12">
      <c r="A676" t="s">
        <v>990</v>
      </c>
      <c r="B676" t="s">
        <v>589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>
        <v>14.71</v>
      </c>
      <c r="J676" s="8">
        <v>0.73750000000000004</v>
      </c>
      <c r="K676">
        <v>75000</v>
      </c>
      <c r="L676" s="2">
        <v>45746</v>
      </c>
    </row>
    <row r="677" spans="1:12">
      <c r="A677" t="s">
        <v>991</v>
      </c>
      <c r="B677" t="s">
        <v>229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>
        <v>3.78</v>
      </c>
      <c r="J677" s="8">
        <v>0.88280000000000003</v>
      </c>
      <c r="K677">
        <v>100000</v>
      </c>
      <c r="L677" s="2">
        <v>45552</v>
      </c>
    </row>
    <row r="678" spans="1:12">
      <c r="A678" t="s">
        <v>992</v>
      </c>
      <c r="B678" t="s">
        <v>226</v>
      </c>
      <c r="C678" t="s">
        <v>19</v>
      </c>
      <c r="D678" t="s">
        <v>36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 s="8">
        <v>0.93310000000000004</v>
      </c>
      <c r="K678">
        <v>70000</v>
      </c>
      <c r="L678" s="2">
        <v>46157</v>
      </c>
    </row>
    <row r="679" spans="1:12">
      <c r="A679" t="s">
        <v>993</v>
      </c>
      <c r="B679" t="s">
        <v>444</v>
      </c>
      <c r="C679" t="s">
        <v>14</v>
      </c>
      <c r="D679" t="s">
        <v>53</v>
      </c>
      <c r="E679" t="s">
        <v>29</v>
      </c>
      <c r="F679">
        <v>10.050000000000001</v>
      </c>
      <c r="G679">
        <v>8.15</v>
      </c>
      <c r="H679">
        <v>9.2100000000000009</v>
      </c>
      <c r="I679">
        <v>6.84</v>
      </c>
      <c r="J679" s="8">
        <v>0.85160000000000002</v>
      </c>
      <c r="K679">
        <v>75000</v>
      </c>
      <c r="L679" s="2">
        <v>45575</v>
      </c>
    </row>
    <row r="680" spans="1:12">
      <c r="A680" t="s">
        <v>994</v>
      </c>
      <c r="B680" t="s">
        <v>690</v>
      </c>
      <c r="C680" t="s">
        <v>19</v>
      </c>
      <c r="D680" t="s">
        <v>28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 s="8">
        <v>0.75070000000000003</v>
      </c>
      <c r="K680">
        <v>60000</v>
      </c>
      <c r="L680" s="2">
        <v>45916</v>
      </c>
    </row>
    <row r="681" spans="1:12">
      <c r="A681" t="s">
        <v>995</v>
      </c>
      <c r="B681" t="s">
        <v>307</v>
      </c>
      <c r="C681" t="s">
        <v>19</v>
      </c>
      <c r="D681" t="s">
        <v>53</v>
      </c>
      <c r="E681" t="s">
        <v>29</v>
      </c>
      <c r="F681">
        <v>17.329999999999998</v>
      </c>
      <c r="G681">
        <v>12.83</v>
      </c>
      <c r="H681">
        <v>16.149999999999999</v>
      </c>
      <c r="I681">
        <v>15.1</v>
      </c>
      <c r="J681" s="8">
        <v>0.84740000000000004</v>
      </c>
      <c r="K681">
        <v>90000</v>
      </c>
      <c r="L681" s="2">
        <v>46133</v>
      </c>
    </row>
    <row r="682" spans="1:12">
      <c r="A682" t="s">
        <v>996</v>
      </c>
      <c r="B682" t="s">
        <v>690</v>
      </c>
      <c r="C682" t="s">
        <v>19</v>
      </c>
      <c r="D682" t="s">
        <v>36</v>
      </c>
      <c r="E682" t="s">
        <v>21</v>
      </c>
      <c r="F682">
        <v>18.41</v>
      </c>
      <c r="G682">
        <v>20</v>
      </c>
      <c r="H682">
        <v>18.920000000000002</v>
      </c>
      <c r="I682">
        <v>17.23</v>
      </c>
      <c r="J682" s="8">
        <v>0.73050000000000004</v>
      </c>
      <c r="K682">
        <v>50000</v>
      </c>
      <c r="L682" s="2">
        <v>46050</v>
      </c>
    </row>
    <row r="683" spans="1:12">
      <c r="A683" t="s">
        <v>997</v>
      </c>
      <c r="B683" t="s">
        <v>474</v>
      </c>
      <c r="C683" t="s">
        <v>14</v>
      </c>
      <c r="D683" t="s">
        <v>53</v>
      </c>
      <c r="E683" t="s">
        <v>29</v>
      </c>
      <c r="F683">
        <v>13.1</v>
      </c>
      <c r="G683">
        <v>16.350000000000001</v>
      </c>
      <c r="H683">
        <v>12.53</v>
      </c>
      <c r="I683">
        <v>9.64</v>
      </c>
      <c r="J683" s="8">
        <v>0.82169999999999999</v>
      </c>
      <c r="K683">
        <v>50000</v>
      </c>
      <c r="L683" s="2">
        <v>45700</v>
      </c>
    </row>
    <row r="684" spans="1:12">
      <c r="A684" t="s">
        <v>998</v>
      </c>
      <c r="B684" t="s">
        <v>67</v>
      </c>
      <c r="C684" t="s">
        <v>19</v>
      </c>
      <c r="D684" t="s">
        <v>53</v>
      </c>
      <c r="E684" t="s">
        <v>21</v>
      </c>
      <c r="F684">
        <v>11.44</v>
      </c>
      <c r="G684">
        <v>13.35</v>
      </c>
      <c r="H684">
        <v>13.17</v>
      </c>
      <c r="I684">
        <v>13.33</v>
      </c>
      <c r="J684" s="8">
        <v>0.83730000000000004</v>
      </c>
      <c r="K684">
        <v>85000</v>
      </c>
      <c r="L684" s="2">
        <v>45865</v>
      </c>
    </row>
    <row r="685" spans="1:12">
      <c r="A685" t="s">
        <v>999</v>
      </c>
      <c r="B685" t="s">
        <v>420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>
        <v>11.97</v>
      </c>
      <c r="J685" s="8">
        <v>0.92469999999999997</v>
      </c>
      <c r="K685">
        <v>90000</v>
      </c>
      <c r="L685" s="2">
        <v>45919</v>
      </c>
    </row>
    <row r="686" spans="1:12">
      <c r="A686" t="s">
        <v>1000</v>
      </c>
      <c r="B686" t="s">
        <v>157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>
        <v>15.77</v>
      </c>
      <c r="J686" s="8">
        <v>0.55000000000000004</v>
      </c>
      <c r="K686">
        <v>75000</v>
      </c>
      <c r="L686" s="2">
        <v>46073</v>
      </c>
    </row>
    <row r="687" spans="1:12">
      <c r="A687" t="s">
        <v>1001</v>
      </c>
      <c r="B687" t="s">
        <v>315</v>
      </c>
      <c r="C687" t="s">
        <v>19</v>
      </c>
      <c r="D687" t="s">
        <v>15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 s="8">
        <v>0.93669999999999998</v>
      </c>
      <c r="K687">
        <v>80000</v>
      </c>
      <c r="L687" s="2">
        <v>45834</v>
      </c>
    </row>
    <row r="688" spans="1:12">
      <c r="A688" t="s">
        <v>1002</v>
      </c>
      <c r="B688" t="s">
        <v>467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>
        <v>11.95</v>
      </c>
      <c r="J688" s="8">
        <v>0.81459999999999999</v>
      </c>
      <c r="K688">
        <v>80000</v>
      </c>
      <c r="L688" s="2">
        <v>45735</v>
      </c>
    </row>
    <row r="689" spans="1:12">
      <c r="A689" t="s">
        <v>1003</v>
      </c>
      <c r="B689" t="s">
        <v>173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>
        <v>10.17</v>
      </c>
      <c r="J689" s="8">
        <v>0.90949999999999998</v>
      </c>
      <c r="K689">
        <v>110000</v>
      </c>
      <c r="L689" s="2">
        <v>46092</v>
      </c>
    </row>
    <row r="690" spans="1:12">
      <c r="A690" t="s">
        <v>1004</v>
      </c>
      <c r="B690" t="s">
        <v>231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>
        <v>13.08</v>
      </c>
      <c r="J690" s="8">
        <v>0.81869999999999998</v>
      </c>
      <c r="K690">
        <v>80000</v>
      </c>
      <c r="L690" s="2">
        <v>46156</v>
      </c>
    </row>
    <row r="691" spans="1:12">
      <c r="A691" t="s">
        <v>1005</v>
      </c>
      <c r="B691" t="s">
        <v>344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>
        <v>14.45</v>
      </c>
      <c r="J691" s="8">
        <v>0.95199999999999996</v>
      </c>
      <c r="K691">
        <v>120000</v>
      </c>
      <c r="L691" s="2">
        <v>45878</v>
      </c>
    </row>
    <row r="692" spans="1:12">
      <c r="A692" t="s">
        <v>1006</v>
      </c>
      <c r="B692" t="s">
        <v>490</v>
      </c>
      <c r="C692" t="s">
        <v>19</v>
      </c>
      <c r="D692" t="s">
        <v>36</v>
      </c>
      <c r="E692" t="s">
        <v>16</v>
      </c>
      <c r="F692">
        <v>8.7899999999999991</v>
      </c>
      <c r="G692">
        <v>11</v>
      </c>
      <c r="H692">
        <v>3.27</v>
      </c>
      <c r="I692">
        <v>8.2899999999999991</v>
      </c>
      <c r="J692" s="8">
        <v>0.57320000000000004</v>
      </c>
      <c r="K692">
        <v>70000</v>
      </c>
      <c r="L692" s="2">
        <v>45555</v>
      </c>
    </row>
    <row r="693" spans="1:12">
      <c r="A693" t="s">
        <v>1007</v>
      </c>
      <c r="B693" t="s">
        <v>908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>
        <v>14.61</v>
      </c>
      <c r="J693" s="8">
        <v>0.87280000000000002</v>
      </c>
      <c r="K693">
        <v>70000</v>
      </c>
      <c r="L693" s="2">
        <v>45886</v>
      </c>
    </row>
    <row r="694" spans="1:12">
      <c r="A694" t="s">
        <v>1008</v>
      </c>
      <c r="B694" t="s">
        <v>1009</v>
      </c>
      <c r="C694" t="s">
        <v>19</v>
      </c>
      <c r="D694" t="s">
        <v>28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 s="8">
        <v>0.78190000000000004</v>
      </c>
      <c r="K694">
        <v>80000</v>
      </c>
      <c r="L694" s="2">
        <v>46158</v>
      </c>
    </row>
    <row r="695" spans="1:12">
      <c r="A695" t="s">
        <v>1010</v>
      </c>
      <c r="B695" t="s">
        <v>636</v>
      </c>
      <c r="C695" t="s">
        <v>19</v>
      </c>
      <c r="D695" t="s">
        <v>20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 s="8">
        <v>0.91690000000000005</v>
      </c>
      <c r="K695">
        <v>50000</v>
      </c>
      <c r="L695" s="2">
        <v>46228</v>
      </c>
    </row>
    <row r="696" spans="1:12">
      <c r="A696" t="s">
        <v>1011</v>
      </c>
      <c r="B696" t="s">
        <v>669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>
        <v>6.92</v>
      </c>
      <c r="J696" s="8">
        <v>0.99099999999999999</v>
      </c>
      <c r="K696">
        <v>100000</v>
      </c>
      <c r="L696" s="2">
        <v>45816</v>
      </c>
    </row>
    <row r="697" spans="1:12">
      <c r="A697" t="s">
        <v>1012</v>
      </c>
      <c r="B697" t="s">
        <v>532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>
        <v>11.62</v>
      </c>
      <c r="J697" s="8">
        <v>0.84560000000000002</v>
      </c>
      <c r="K697">
        <v>80000</v>
      </c>
      <c r="L697" s="2">
        <v>45641</v>
      </c>
    </row>
    <row r="698" spans="1:12">
      <c r="A698" t="s">
        <v>1013</v>
      </c>
      <c r="B698" t="s">
        <v>173</v>
      </c>
      <c r="C698" t="s">
        <v>19</v>
      </c>
      <c r="D698" t="s">
        <v>36</v>
      </c>
      <c r="E698" t="s">
        <v>16</v>
      </c>
      <c r="F698">
        <v>12.35</v>
      </c>
      <c r="G698">
        <v>18.7</v>
      </c>
      <c r="H698">
        <v>18.91</v>
      </c>
      <c r="I698">
        <v>20</v>
      </c>
      <c r="J698" s="8">
        <v>0.82499999999999996</v>
      </c>
      <c r="K698">
        <v>80000</v>
      </c>
      <c r="L698" s="2">
        <v>45936</v>
      </c>
    </row>
    <row r="699" spans="1:12">
      <c r="A699" t="s">
        <v>1014</v>
      </c>
      <c r="B699" t="s">
        <v>853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>
        <v>18.57</v>
      </c>
      <c r="J699" s="8">
        <v>0.93830000000000002</v>
      </c>
      <c r="K699">
        <v>85000</v>
      </c>
      <c r="L699" s="2">
        <v>46117</v>
      </c>
    </row>
    <row r="700" spans="1:12">
      <c r="A700" t="s">
        <v>1015</v>
      </c>
      <c r="B700" t="s">
        <v>594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>
        <v>10.89</v>
      </c>
      <c r="J700" s="8">
        <v>0.83220000000000005</v>
      </c>
      <c r="K700">
        <v>50000</v>
      </c>
      <c r="L700" s="2">
        <v>46197</v>
      </c>
    </row>
    <row r="701" spans="1:12">
      <c r="A701" t="s">
        <v>1016</v>
      </c>
      <c r="B701" t="s">
        <v>139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>
        <v>17.05</v>
      </c>
      <c r="J701" s="8">
        <v>0.76729999999999998</v>
      </c>
      <c r="K701">
        <v>80000</v>
      </c>
      <c r="L701" s="2">
        <v>45572</v>
      </c>
    </row>
    <row r="702" spans="1:12">
      <c r="A702" t="s">
        <v>1017</v>
      </c>
      <c r="B702" t="s">
        <v>362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>
        <v>15.05</v>
      </c>
      <c r="J702" s="8">
        <v>0.79579999999999995</v>
      </c>
      <c r="K702">
        <v>130000</v>
      </c>
      <c r="L702" s="2">
        <v>45739</v>
      </c>
    </row>
    <row r="703" spans="1:12">
      <c r="A703" t="s">
        <v>1018</v>
      </c>
      <c r="B703" t="s">
        <v>748</v>
      </c>
      <c r="C703" t="s">
        <v>19</v>
      </c>
      <c r="D703" t="s">
        <v>28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 s="8">
        <v>0.96560000000000001</v>
      </c>
      <c r="K703">
        <v>90000</v>
      </c>
      <c r="L703" s="2">
        <v>45870</v>
      </c>
    </row>
    <row r="704" spans="1:12">
      <c r="A704" t="s">
        <v>1019</v>
      </c>
      <c r="B704" t="s">
        <v>975</v>
      </c>
      <c r="C704" t="s">
        <v>14</v>
      </c>
      <c r="D704" t="s">
        <v>36</v>
      </c>
      <c r="E704" t="s">
        <v>16</v>
      </c>
      <c r="F704">
        <v>11.69</v>
      </c>
      <c r="G704">
        <v>13.4</v>
      </c>
      <c r="H704">
        <v>14.87</v>
      </c>
      <c r="I704">
        <v>11.08</v>
      </c>
      <c r="J704" s="8">
        <v>0.90649999999999997</v>
      </c>
      <c r="K704">
        <v>90000</v>
      </c>
      <c r="L704" s="2">
        <v>45604</v>
      </c>
    </row>
    <row r="705" spans="1:12">
      <c r="A705" t="s">
        <v>1020</v>
      </c>
      <c r="B705" t="s">
        <v>354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>
        <v>13.87</v>
      </c>
      <c r="J705" s="8">
        <v>0.74729999999999996</v>
      </c>
      <c r="K705">
        <v>85000</v>
      </c>
      <c r="L705" s="2">
        <v>46156</v>
      </c>
    </row>
    <row r="706" spans="1:12">
      <c r="A706" t="s">
        <v>1021</v>
      </c>
      <c r="B706" t="s">
        <v>246</v>
      </c>
      <c r="C706" t="s">
        <v>14</v>
      </c>
      <c r="D706" t="s">
        <v>53</v>
      </c>
      <c r="E706" t="s">
        <v>16</v>
      </c>
      <c r="F706">
        <v>13.07</v>
      </c>
      <c r="G706">
        <v>8.36</v>
      </c>
      <c r="H706">
        <v>7.67</v>
      </c>
      <c r="I706">
        <v>7.1</v>
      </c>
      <c r="J706" s="8">
        <v>0.95489999999999997</v>
      </c>
      <c r="K706">
        <v>85000</v>
      </c>
      <c r="L706" s="2">
        <v>45614</v>
      </c>
    </row>
    <row r="707" spans="1:12">
      <c r="A707" t="s">
        <v>1022</v>
      </c>
      <c r="B707" t="s">
        <v>908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>
        <v>13.79</v>
      </c>
      <c r="J707" s="8">
        <v>0.95860000000000001</v>
      </c>
      <c r="K707">
        <v>130000</v>
      </c>
      <c r="L707" s="2">
        <v>46001</v>
      </c>
    </row>
    <row r="708" spans="1:12">
      <c r="A708" t="s">
        <v>1023</v>
      </c>
      <c r="B708" t="s">
        <v>625</v>
      </c>
      <c r="C708" t="s">
        <v>14</v>
      </c>
      <c r="D708" t="s">
        <v>20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 s="8">
        <v>0.65720000000000001</v>
      </c>
      <c r="K708">
        <v>130000</v>
      </c>
      <c r="L708" s="2">
        <v>46179</v>
      </c>
    </row>
    <row r="709" spans="1:12">
      <c r="A709" t="s">
        <v>1024</v>
      </c>
      <c r="B709" t="s">
        <v>184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>
        <v>9.0500000000000007</v>
      </c>
      <c r="J709" s="8">
        <v>0.83020000000000005</v>
      </c>
      <c r="K709">
        <v>80000</v>
      </c>
      <c r="L709" s="2">
        <v>46015</v>
      </c>
    </row>
    <row r="710" spans="1:12">
      <c r="A710" t="s">
        <v>1025</v>
      </c>
      <c r="B710" t="s">
        <v>258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>
        <v>8.4600000000000009</v>
      </c>
      <c r="J710" s="8">
        <v>0.8266</v>
      </c>
      <c r="K710">
        <v>130000</v>
      </c>
      <c r="L710" s="2">
        <v>46070</v>
      </c>
    </row>
    <row r="711" spans="1:12">
      <c r="A711" t="s">
        <v>1026</v>
      </c>
      <c r="B711" t="s">
        <v>555</v>
      </c>
      <c r="C711" t="s">
        <v>14</v>
      </c>
      <c r="D711" t="s">
        <v>20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 s="8">
        <v>0.8448</v>
      </c>
      <c r="K711">
        <v>50000</v>
      </c>
      <c r="L711" s="2">
        <v>45720</v>
      </c>
    </row>
    <row r="712" spans="1:12">
      <c r="A712" t="s">
        <v>1027</v>
      </c>
      <c r="B712" t="s">
        <v>224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>
        <v>16.68</v>
      </c>
      <c r="J712" s="8">
        <v>0.87219999999999998</v>
      </c>
      <c r="K712">
        <v>75000</v>
      </c>
      <c r="L712" s="2">
        <v>46115</v>
      </c>
    </row>
    <row r="713" spans="1:12">
      <c r="A713" t="s">
        <v>1028</v>
      </c>
      <c r="B713" t="s">
        <v>113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>
        <v>7.31</v>
      </c>
      <c r="J713" s="8">
        <v>0.96599999999999997</v>
      </c>
      <c r="K713">
        <v>75000</v>
      </c>
      <c r="L713" s="2">
        <v>45829</v>
      </c>
    </row>
    <row r="714" spans="1:12">
      <c r="A714" t="s">
        <v>1029</v>
      </c>
      <c r="B714" t="s">
        <v>79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>
        <v>11.78</v>
      </c>
      <c r="J714" s="8">
        <v>0.76700000000000002</v>
      </c>
      <c r="K714">
        <v>100000</v>
      </c>
      <c r="L714" s="2">
        <v>45578</v>
      </c>
    </row>
    <row r="715" spans="1:12">
      <c r="A715" t="s">
        <v>1030</v>
      </c>
      <c r="B715" t="s">
        <v>436</v>
      </c>
      <c r="C715" t="s">
        <v>19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 s="8">
        <v>0.99</v>
      </c>
      <c r="K715">
        <v>90000</v>
      </c>
      <c r="L715" s="2">
        <v>45792</v>
      </c>
    </row>
    <row r="716" spans="1:12">
      <c r="A716" t="s">
        <v>1031</v>
      </c>
      <c r="B716" t="s">
        <v>1009</v>
      </c>
      <c r="C716" t="s">
        <v>19</v>
      </c>
      <c r="D716" t="s">
        <v>15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 s="8">
        <v>0.89849999999999997</v>
      </c>
      <c r="K716">
        <v>85000</v>
      </c>
      <c r="L716" s="2">
        <v>45780</v>
      </c>
    </row>
    <row r="717" spans="1:12">
      <c r="A717" t="s">
        <v>1032</v>
      </c>
      <c r="B717" t="s">
        <v>912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>
        <v>11.8</v>
      </c>
      <c r="J717" s="8">
        <v>0.71240000000000003</v>
      </c>
      <c r="K717">
        <v>70000</v>
      </c>
      <c r="L717" s="2">
        <v>45901</v>
      </c>
    </row>
    <row r="718" spans="1:12">
      <c r="A718" t="s">
        <v>1033</v>
      </c>
      <c r="B718" t="s">
        <v>1034</v>
      </c>
      <c r="C718" t="s">
        <v>19</v>
      </c>
      <c r="D718" t="s">
        <v>53</v>
      </c>
      <c r="E718" t="s">
        <v>16</v>
      </c>
      <c r="F718">
        <v>10.02</v>
      </c>
      <c r="G718">
        <v>18.32</v>
      </c>
      <c r="H718">
        <v>16.43</v>
      </c>
      <c r="I718">
        <v>20</v>
      </c>
      <c r="J718" s="8">
        <v>0.88649999999999995</v>
      </c>
      <c r="K718">
        <v>85000</v>
      </c>
      <c r="L718" s="2">
        <v>45721</v>
      </c>
    </row>
    <row r="719" spans="1:12">
      <c r="A719" t="s">
        <v>1035</v>
      </c>
      <c r="B719" t="s">
        <v>1036</v>
      </c>
      <c r="C719" t="s">
        <v>14</v>
      </c>
      <c r="D719" t="s">
        <v>36</v>
      </c>
      <c r="E719" t="s">
        <v>29</v>
      </c>
      <c r="F719">
        <v>9.41</v>
      </c>
      <c r="G719">
        <v>14.64</v>
      </c>
      <c r="H719">
        <v>12.35</v>
      </c>
      <c r="I719">
        <v>13.07</v>
      </c>
      <c r="J719" s="8">
        <v>0.92649999999999999</v>
      </c>
      <c r="K719">
        <v>70000</v>
      </c>
      <c r="L719" s="2">
        <v>45859</v>
      </c>
    </row>
    <row r="720" spans="1:12">
      <c r="A720" t="s">
        <v>1037</v>
      </c>
      <c r="B720" t="s">
        <v>1038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>
        <v>14.29</v>
      </c>
      <c r="J720" s="8">
        <v>0.93859999999999999</v>
      </c>
      <c r="K720">
        <v>85000</v>
      </c>
      <c r="L720" s="2">
        <v>45835</v>
      </c>
    </row>
    <row r="721" spans="1:12">
      <c r="A721" t="s">
        <v>1039</v>
      </c>
      <c r="B721" t="s">
        <v>557</v>
      </c>
      <c r="C721" t="s">
        <v>19</v>
      </c>
      <c r="D721" t="s">
        <v>53</v>
      </c>
      <c r="E721" t="s">
        <v>16</v>
      </c>
      <c r="F721">
        <v>10.66</v>
      </c>
      <c r="G721">
        <v>13.68</v>
      </c>
      <c r="H721">
        <v>13.74</v>
      </c>
      <c r="I721">
        <v>12.42</v>
      </c>
      <c r="J721" s="8">
        <v>0.80149999999999999</v>
      </c>
      <c r="K721">
        <v>75000</v>
      </c>
      <c r="L721" s="2">
        <v>45764</v>
      </c>
    </row>
    <row r="722" spans="1:12">
      <c r="A722" t="s">
        <v>1040</v>
      </c>
      <c r="B722" t="s">
        <v>210</v>
      </c>
      <c r="C722" t="s">
        <v>14</v>
      </c>
      <c r="D722" t="s">
        <v>36</v>
      </c>
      <c r="E722" t="s">
        <v>16</v>
      </c>
      <c r="F722">
        <v>17.54</v>
      </c>
      <c r="G722">
        <v>13.69</v>
      </c>
      <c r="H722">
        <v>15.61</v>
      </c>
      <c r="I722">
        <v>13.32</v>
      </c>
      <c r="J722" s="8">
        <v>0.55000000000000004</v>
      </c>
      <c r="K722">
        <v>120000</v>
      </c>
      <c r="L722" s="2">
        <v>46023</v>
      </c>
    </row>
    <row r="723" spans="1:12">
      <c r="A723" t="s">
        <v>1041</v>
      </c>
      <c r="B723" t="s">
        <v>805</v>
      </c>
      <c r="C723" t="s">
        <v>19</v>
      </c>
      <c r="D723" t="s">
        <v>36</v>
      </c>
      <c r="E723" t="s">
        <v>16</v>
      </c>
      <c r="F723">
        <v>11.75</v>
      </c>
      <c r="G723">
        <v>9.41</v>
      </c>
      <c r="H723">
        <v>12.77</v>
      </c>
      <c r="I723">
        <v>14.89</v>
      </c>
      <c r="J723" s="8">
        <v>0.9073</v>
      </c>
      <c r="K723">
        <v>110000</v>
      </c>
      <c r="L723" s="2">
        <v>45749</v>
      </c>
    </row>
    <row r="724" spans="1:12">
      <c r="A724" t="s">
        <v>1042</v>
      </c>
      <c r="B724" t="s">
        <v>455</v>
      </c>
      <c r="C724" t="s">
        <v>19</v>
      </c>
      <c r="D724" t="s">
        <v>53</v>
      </c>
      <c r="E724" t="s">
        <v>21</v>
      </c>
      <c r="F724">
        <v>17.88</v>
      </c>
      <c r="G724">
        <v>17.87</v>
      </c>
      <c r="H724">
        <v>14.9</v>
      </c>
      <c r="I724">
        <v>12.91</v>
      </c>
      <c r="J724" s="8">
        <v>0.55000000000000004</v>
      </c>
      <c r="K724">
        <v>60000</v>
      </c>
      <c r="L724" s="2">
        <v>46072</v>
      </c>
    </row>
    <row r="725" spans="1:12">
      <c r="A725" t="s">
        <v>1043</v>
      </c>
      <c r="B725" t="s">
        <v>496</v>
      </c>
      <c r="C725" t="s">
        <v>14</v>
      </c>
      <c r="D725" t="s">
        <v>53</v>
      </c>
      <c r="E725" t="s">
        <v>16</v>
      </c>
      <c r="F725">
        <v>11.96</v>
      </c>
      <c r="G725">
        <v>16.25</v>
      </c>
      <c r="H725">
        <v>9.91</v>
      </c>
      <c r="I725">
        <v>10.09</v>
      </c>
      <c r="J725" s="8">
        <v>0.91900000000000004</v>
      </c>
      <c r="K725">
        <v>130000</v>
      </c>
      <c r="L725" s="2">
        <v>45711</v>
      </c>
    </row>
    <row r="726" spans="1:12">
      <c r="A726" t="s">
        <v>1044</v>
      </c>
      <c r="B726" t="s">
        <v>984</v>
      </c>
      <c r="C726" t="s">
        <v>19</v>
      </c>
      <c r="D726" t="s">
        <v>15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 s="8">
        <v>0.86519999999999997</v>
      </c>
      <c r="K726">
        <v>100000</v>
      </c>
      <c r="L726" s="2">
        <v>46141</v>
      </c>
    </row>
    <row r="727" spans="1:12">
      <c r="A727" t="s">
        <v>1045</v>
      </c>
      <c r="B727" t="s">
        <v>1046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>
        <v>12.23</v>
      </c>
      <c r="J727" s="8">
        <v>0.83299999999999996</v>
      </c>
      <c r="K727">
        <v>75000</v>
      </c>
      <c r="L727" s="2">
        <v>45791</v>
      </c>
    </row>
    <row r="728" spans="1:12">
      <c r="A728" t="s">
        <v>1047</v>
      </c>
      <c r="B728" t="s">
        <v>159</v>
      </c>
      <c r="C728" t="s">
        <v>19</v>
      </c>
      <c r="D728" t="s">
        <v>20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 s="8">
        <v>0.74470000000000003</v>
      </c>
      <c r="K728">
        <v>85000</v>
      </c>
      <c r="L728" s="2">
        <v>45564</v>
      </c>
    </row>
    <row r="729" spans="1:12">
      <c r="A729" t="s">
        <v>1048</v>
      </c>
      <c r="B729" t="s">
        <v>202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>
        <v>12.93</v>
      </c>
      <c r="J729" s="8">
        <v>0.90090000000000003</v>
      </c>
      <c r="K729">
        <v>70000</v>
      </c>
      <c r="L729" s="2">
        <v>45640</v>
      </c>
    </row>
    <row r="730" spans="1:12">
      <c r="A730" t="s">
        <v>1049</v>
      </c>
      <c r="B730" t="s">
        <v>1050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>
        <v>14.24</v>
      </c>
      <c r="J730" s="8">
        <v>0.94320000000000004</v>
      </c>
      <c r="K730">
        <v>50000</v>
      </c>
      <c r="L730" s="2">
        <v>46100</v>
      </c>
    </row>
    <row r="731" spans="1:12">
      <c r="A731" t="s">
        <v>1051</v>
      </c>
      <c r="B731" t="s">
        <v>323</v>
      </c>
      <c r="C731" t="s">
        <v>19</v>
      </c>
      <c r="D731" t="s">
        <v>53</v>
      </c>
      <c r="E731" t="s">
        <v>16</v>
      </c>
      <c r="F731">
        <v>11.68</v>
      </c>
      <c r="G731">
        <v>12.69</v>
      </c>
      <c r="H731">
        <v>8.74</v>
      </c>
      <c r="I731">
        <v>7.95</v>
      </c>
      <c r="J731" s="8">
        <v>0.71120000000000005</v>
      </c>
      <c r="K731">
        <v>80000</v>
      </c>
      <c r="L731" s="2">
        <v>46146</v>
      </c>
    </row>
    <row r="732" spans="1:12">
      <c r="A732" t="s">
        <v>1052</v>
      </c>
      <c r="B732" t="s">
        <v>651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>
        <v>13.45</v>
      </c>
      <c r="J732" s="8">
        <v>0.88790000000000002</v>
      </c>
      <c r="K732">
        <v>110000</v>
      </c>
      <c r="L732" s="2">
        <v>45684</v>
      </c>
    </row>
    <row r="733" spans="1:12">
      <c r="A733" t="s">
        <v>1053</v>
      </c>
      <c r="B733" t="s">
        <v>246</v>
      </c>
      <c r="C733" t="s">
        <v>14</v>
      </c>
      <c r="D733" t="s">
        <v>36</v>
      </c>
      <c r="E733" t="s">
        <v>21</v>
      </c>
      <c r="F733">
        <v>10.82</v>
      </c>
      <c r="G733">
        <v>5.89</v>
      </c>
      <c r="H733">
        <v>7.79</v>
      </c>
      <c r="I733">
        <v>5.17</v>
      </c>
      <c r="J733" s="8">
        <v>0.74019999999999997</v>
      </c>
      <c r="K733">
        <v>75000</v>
      </c>
      <c r="L733" s="2">
        <v>45957</v>
      </c>
    </row>
    <row r="734" spans="1:12">
      <c r="A734" t="s">
        <v>1054</v>
      </c>
      <c r="B734" t="s">
        <v>150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>
        <v>13.93</v>
      </c>
      <c r="J734" s="8">
        <v>0.81210000000000004</v>
      </c>
      <c r="K734">
        <v>80000</v>
      </c>
      <c r="L734" s="2">
        <v>45938</v>
      </c>
    </row>
    <row r="735" spans="1:12">
      <c r="A735" t="s">
        <v>1055</v>
      </c>
      <c r="B735" t="s">
        <v>262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>
        <v>10.1</v>
      </c>
      <c r="J735" s="8">
        <v>0.70140000000000002</v>
      </c>
      <c r="K735">
        <v>130000</v>
      </c>
      <c r="L735" s="2">
        <v>45629</v>
      </c>
    </row>
    <row r="736" spans="1:12">
      <c r="A736" t="s">
        <v>1056</v>
      </c>
      <c r="B736" t="s">
        <v>194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>
        <v>13.41</v>
      </c>
      <c r="J736" s="8">
        <v>0.99739999999999995</v>
      </c>
      <c r="K736">
        <v>130000</v>
      </c>
      <c r="L736" s="2">
        <v>45852</v>
      </c>
    </row>
    <row r="737" spans="1:12">
      <c r="A737" t="s">
        <v>1057</v>
      </c>
      <c r="B737" t="s">
        <v>805</v>
      </c>
      <c r="C737" t="s">
        <v>19</v>
      </c>
      <c r="D737" t="s">
        <v>36</v>
      </c>
      <c r="E737" t="s">
        <v>29</v>
      </c>
      <c r="F737">
        <v>13.71</v>
      </c>
      <c r="G737">
        <v>13.92</v>
      </c>
      <c r="H737">
        <v>17.12</v>
      </c>
      <c r="I737">
        <v>12.59</v>
      </c>
      <c r="J737" s="8">
        <v>0.90329999999999999</v>
      </c>
      <c r="K737">
        <v>85000</v>
      </c>
      <c r="L737" s="2">
        <v>46021</v>
      </c>
    </row>
    <row r="738" spans="1:12">
      <c r="A738" t="s">
        <v>1058</v>
      </c>
      <c r="B738" t="s">
        <v>734</v>
      </c>
      <c r="C738" t="s">
        <v>19</v>
      </c>
      <c r="D738" t="s">
        <v>53</v>
      </c>
      <c r="E738" t="s">
        <v>29</v>
      </c>
      <c r="F738">
        <v>5.08</v>
      </c>
      <c r="G738">
        <v>3.1</v>
      </c>
      <c r="H738">
        <v>6.3</v>
      </c>
      <c r="I738">
        <v>4.45</v>
      </c>
      <c r="J738" s="8">
        <v>0.90510000000000002</v>
      </c>
      <c r="K738">
        <v>50000</v>
      </c>
      <c r="L738" s="2">
        <v>46212</v>
      </c>
    </row>
    <row r="739" spans="1:12">
      <c r="A739" t="s">
        <v>1059</v>
      </c>
      <c r="B739" t="s">
        <v>492</v>
      </c>
      <c r="C739" t="s">
        <v>14</v>
      </c>
      <c r="D739" t="s">
        <v>32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 s="8">
        <v>0.96609999999999996</v>
      </c>
      <c r="K739">
        <v>100000</v>
      </c>
      <c r="L739" s="2">
        <v>46129</v>
      </c>
    </row>
    <row r="740" spans="1:12">
      <c r="A740" t="s">
        <v>1060</v>
      </c>
      <c r="B740" t="s">
        <v>744</v>
      </c>
      <c r="C740" t="s">
        <v>19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 s="8">
        <v>0.95450000000000002</v>
      </c>
      <c r="K740">
        <v>100000</v>
      </c>
      <c r="L740" s="2">
        <v>45604</v>
      </c>
    </row>
    <row r="741" spans="1:12">
      <c r="A741" t="s">
        <v>1061</v>
      </c>
      <c r="B741" t="s">
        <v>237</v>
      </c>
      <c r="C741" t="s">
        <v>19</v>
      </c>
      <c r="D741" t="s">
        <v>36</v>
      </c>
      <c r="E741" t="s">
        <v>21</v>
      </c>
      <c r="F741">
        <v>10.15</v>
      </c>
      <c r="G741">
        <v>13</v>
      </c>
      <c r="H741">
        <v>8.4499999999999993</v>
      </c>
      <c r="I741">
        <v>12.64</v>
      </c>
      <c r="J741" s="8">
        <v>0.97</v>
      </c>
      <c r="K741">
        <v>130000</v>
      </c>
      <c r="L741" s="2">
        <v>45702</v>
      </c>
    </row>
    <row r="742" spans="1:12">
      <c r="A742" t="s">
        <v>1062</v>
      </c>
      <c r="B742" t="s">
        <v>141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>
        <v>12.39</v>
      </c>
      <c r="J742" s="8">
        <v>0.90059999999999996</v>
      </c>
      <c r="K742">
        <v>130000</v>
      </c>
      <c r="L742" s="2">
        <v>45841</v>
      </c>
    </row>
    <row r="743" spans="1:12">
      <c r="A743" t="s">
        <v>1063</v>
      </c>
      <c r="B743" t="s">
        <v>148</v>
      </c>
      <c r="C743" t="s">
        <v>19</v>
      </c>
      <c r="D743" t="s">
        <v>36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 s="8">
        <v>0.82840000000000003</v>
      </c>
      <c r="K743">
        <v>90000</v>
      </c>
      <c r="L743" s="2">
        <v>45641</v>
      </c>
    </row>
    <row r="744" spans="1:12">
      <c r="A744" t="s">
        <v>1064</v>
      </c>
      <c r="B744" t="s">
        <v>204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>
        <v>11.57</v>
      </c>
      <c r="J744" s="8">
        <v>0.90700000000000003</v>
      </c>
      <c r="K744">
        <v>60000</v>
      </c>
      <c r="L744" s="2">
        <v>45935</v>
      </c>
    </row>
    <row r="745" spans="1:12">
      <c r="A745" t="s">
        <v>1065</v>
      </c>
      <c r="B745" t="s">
        <v>73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>
        <v>9.86</v>
      </c>
      <c r="J745" s="8">
        <v>0.87639999999999996</v>
      </c>
      <c r="K745">
        <v>70000</v>
      </c>
      <c r="L745" s="2">
        <v>45542</v>
      </c>
    </row>
    <row r="746" spans="1:12">
      <c r="A746" t="s">
        <v>1066</v>
      </c>
      <c r="B746" t="s">
        <v>256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>
        <v>5.83</v>
      </c>
      <c r="J746" s="8">
        <v>0.78259999999999996</v>
      </c>
      <c r="K746">
        <v>100000</v>
      </c>
      <c r="L746" s="2">
        <v>45615</v>
      </c>
    </row>
    <row r="747" spans="1:12">
      <c r="A747" t="s">
        <v>1067</v>
      </c>
      <c r="B747" t="s">
        <v>139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>
        <v>17.559999999999999</v>
      </c>
      <c r="J747" s="8">
        <v>0.62980000000000003</v>
      </c>
      <c r="K747">
        <v>90000</v>
      </c>
      <c r="L747" s="2">
        <v>45569</v>
      </c>
    </row>
    <row r="748" spans="1:12">
      <c r="A748" t="s">
        <v>1068</v>
      </c>
      <c r="B748" t="s">
        <v>477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>
        <v>12.79</v>
      </c>
      <c r="J748" s="8">
        <v>0.95550000000000002</v>
      </c>
      <c r="K748">
        <v>80000</v>
      </c>
      <c r="L748" s="2">
        <v>45742</v>
      </c>
    </row>
    <row r="749" spans="1:12">
      <c r="A749" t="s">
        <v>1069</v>
      </c>
      <c r="B749" t="s">
        <v>607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>
        <v>9.0399999999999991</v>
      </c>
      <c r="J749" s="8">
        <v>0.79549999999999998</v>
      </c>
      <c r="K749">
        <v>80000</v>
      </c>
      <c r="L749" s="2">
        <v>46069</v>
      </c>
    </row>
    <row r="750" spans="1:12">
      <c r="A750" t="s">
        <v>1070</v>
      </c>
      <c r="B750" t="s">
        <v>494</v>
      </c>
      <c r="C750" t="s">
        <v>14</v>
      </c>
      <c r="D750" t="s">
        <v>36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 s="8">
        <v>0.93710000000000004</v>
      </c>
      <c r="K750">
        <v>100000</v>
      </c>
      <c r="L750" s="2">
        <v>45660</v>
      </c>
    </row>
    <row r="751" spans="1:12">
      <c r="A751" t="s">
        <v>1071</v>
      </c>
      <c r="B751" t="s">
        <v>117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>
        <v>16.48</v>
      </c>
      <c r="J751" s="8">
        <v>0.90339999999999998</v>
      </c>
      <c r="K751">
        <v>80000</v>
      </c>
      <c r="L751" s="2">
        <v>46227</v>
      </c>
    </row>
    <row r="752" spans="1:12">
      <c r="A752" t="s">
        <v>1072</v>
      </c>
      <c r="B752" t="s">
        <v>724</v>
      </c>
      <c r="C752" t="s">
        <v>19</v>
      </c>
      <c r="D752" t="s">
        <v>36</v>
      </c>
      <c r="E752" t="s">
        <v>16</v>
      </c>
      <c r="F752">
        <v>6.39</v>
      </c>
      <c r="G752">
        <v>11.2</v>
      </c>
      <c r="H752">
        <v>11.84</v>
      </c>
      <c r="I752">
        <v>12.38</v>
      </c>
      <c r="J752" s="8">
        <v>0.76139999999999997</v>
      </c>
      <c r="K752">
        <v>60000</v>
      </c>
      <c r="L752" s="2">
        <v>45724</v>
      </c>
    </row>
    <row r="753" spans="1:12">
      <c r="A753" t="s">
        <v>1073</v>
      </c>
      <c r="B753" t="s">
        <v>1074</v>
      </c>
      <c r="C753" t="s">
        <v>14</v>
      </c>
      <c r="D753" t="s">
        <v>36</v>
      </c>
      <c r="E753" t="s">
        <v>21</v>
      </c>
      <c r="F753">
        <v>14.22</v>
      </c>
      <c r="G753">
        <v>16.45</v>
      </c>
      <c r="H753">
        <v>16.53</v>
      </c>
      <c r="I753">
        <v>17.809999999999999</v>
      </c>
      <c r="J753" s="8">
        <v>0.95430000000000004</v>
      </c>
      <c r="K753">
        <v>130000</v>
      </c>
      <c r="L753" s="2">
        <v>45567</v>
      </c>
    </row>
    <row r="754" spans="1:12">
      <c r="A754" t="s">
        <v>1075</v>
      </c>
      <c r="B754" t="s">
        <v>161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>
        <v>11.93</v>
      </c>
      <c r="J754" s="8">
        <v>0.55000000000000004</v>
      </c>
      <c r="K754">
        <v>75000</v>
      </c>
      <c r="L754" s="2">
        <v>45770</v>
      </c>
    </row>
    <row r="755" spans="1:12">
      <c r="A755" t="s">
        <v>1076</v>
      </c>
      <c r="B755" t="s">
        <v>541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>
        <v>15</v>
      </c>
      <c r="J755" s="8">
        <v>0.89139999999999997</v>
      </c>
      <c r="K755">
        <v>75000</v>
      </c>
      <c r="L755" s="2">
        <v>46059</v>
      </c>
    </row>
    <row r="756" spans="1:12">
      <c r="A756" t="s">
        <v>1077</v>
      </c>
      <c r="B756" t="s">
        <v>268</v>
      </c>
      <c r="C756" t="s">
        <v>19</v>
      </c>
      <c r="D756" t="s">
        <v>53</v>
      </c>
      <c r="E756" t="s">
        <v>29</v>
      </c>
      <c r="F756">
        <v>10.19</v>
      </c>
      <c r="G756">
        <v>9.26</v>
      </c>
      <c r="H756">
        <v>14.17</v>
      </c>
      <c r="I756">
        <v>9.5500000000000007</v>
      </c>
      <c r="J756" s="8">
        <v>0.88549999999999995</v>
      </c>
      <c r="K756">
        <v>50000</v>
      </c>
      <c r="L756" s="2">
        <v>45610</v>
      </c>
    </row>
    <row r="757" spans="1:12">
      <c r="A757" t="s">
        <v>1078</v>
      </c>
      <c r="B757" t="s">
        <v>600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>
        <v>8.7200000000000006</v>
      </c>
      <c r="J757" s="8">
        <v>0.8679</v>
      </c>
      <c r="K757">
        <v>85000</v>
      </c>
      <c r="L757" s="2">
        <v>45586</v>
      </c>
    </row>
    <row r="758" spans="1:12">
      <c r="A758" t="s">
        <v>1079</v>
      </c>
      <c r="B758" t="s">
        <v>301</v>
      </c>
      <c r="C758" t="s">
        <v>19</v>
      </c>
      <c r="D758" t="s">
        <v>36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 s="8">
        <v>0.72019999999999995</v>
      </c>
      <c r="K758">
        <v>130000</v>
      </c>
      <c r="L758" s="2">
        <v>46130</v>
      </c>
    </row>
    <row r="759" spans="1:12">
      <c r="A759" t="s">
        <v>1080</v>
      </c>
      <c r="B759" t="s">
        <v>1081</v>
      </c>
      <c r="C759" t="s">
        <v>14</v>
      </c>
      <c r="D759" t="s">
        <v>53</v>
      </c>
      <c r="E759" t="s">
        <v>16</v>
      </c>
      <c r="F759">
        <v>18.41</v>
      </c>
      <c r="G759">
        <v>17.899999999999999</v>
      </c>
      <c r="H759">
        <v>15.98</v>
      </c>
      <c r="I759">
        <v>15.18</v>
      </c>
      <c r="J759" s="8">
        <v>0.83409999999999995</v>
      </c>
      <c r="K759">
        <v>60000</v>
      </c>
      <c r="L759" s="2">
        <v>45950</v>
      </c>
    </row>
    <row r="760" spans="1:12">
      <c r="A760" t="s">
        <v>1082</v>
      </c>
      <c r="B760" t="s">
        <v>939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>
        <v>12.79</v>
      </c>
      <c r="J760" s="8">
        <v>0.6169</v>
      </c>
      <c r="K760">
        <v>70000</v>
      </c>
      <c r="L760" s="2">
        <v>45776</v>
      </c>
    </row>
    <row r="761" spans="1:12">
      <c r="A761" t="s">
        <v>1083</v>
      </c>
      <c r="B761" t="s">
        <v>59</v>
      </c>
      <c r="C761" t="s">
        <v>19</v>
      </c>
      <c r="D761" t="s">
        <v>20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 s="8">
        <v>0.94889999999999997</v>
      </c>
      <c r="K761">
        <v>60000</v>
      </c>
      <c r="L761" s="2">
        <v>46065</v>
      </c>
    </row>
    <row r="762" spans="1:12">
      <c r="A762" t="s">
        <v>1084</v>
      </c>
      <c r="B762" t="s">
        <v>1036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>
        <v>11.29</v>
      </c>
      <c r="J762" s="8">
        <v>0.99560000000000004</v>
      </c>
      <c r="K762">
        <v>60000</v>
      </c>
      <c r="L762" s="2">
        <v>46127</v>
      </c>
    </row>
    <row r="763" spans="1:12">
      <c r="A763" t="s">
        <v>1085</v>
      </c>
      <c r="B763" t="s">
        <v>550</v>
      </c>
      <c r="C763" t="s">
        <v>19</v>
      </c>
      <c r="D763" t="s">
        <v>36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 s="8">
        <v>0.80189999999999995</v>
      </c>
      <c r="K763">
        <v>90000</v>
      </c>
      <c r="L763" s="2">
        <v>45787</v>
      </c>
    </row>
    <row r="764" spans="1:12">
      <c r="A764" t="s">
        <v>1086</v>
      </c>
      <c r="B764" t="s">
        <v>344</v>
      </c>
      <c r="C764" t="s">
        <v>19</v>
      </c>
      <c r="D764" t="s">
        <v>28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 s="8">
        <v>0.83889999999999998</v>
      </c>
      <c r="K764">
        <v>75000</v>
      </c>
      <c r="L764" s="2">
        <v>45928</v>
      </c>
    </row>
    <row r="765" spans="1:12">
      <c r="A765" t="s">
        <v>1087</v>
      </c>
      <c r="B765" t="s">
        <v>123</v>
      </c>
      <c r="C765" t="s">
        <v>19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 s="8">
        <v>0.92620000000000002</v>
      </c>
      <c r="K765">
        <v>110000</v>
      </c>
      <c r="L765" s="2">
        <v>45543</v>
      </c>
    </row>
    <row r="766" spans="1:12">
      <c r="A766" t="s">
        <v>1088</v>
      </c>
      <c r="B766" t="s">
        <v>632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>
        <v>11.67</v>
      </c>
      <c r="J766" s="8">
        <v>0.90510000000000002</v>
      </c>
      <c r="K766">
        <v>80000</v>
      </c>
      <c r="L766" s="2">
        <v>45750</v>
      </c>
    </row>
    <row r="767" spans="1:12">
      <c r="A767" t="s">
        <v>1089</v>
      </c>
      <c r="B767" t="s">
        <v>761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>
        <v>9.4600000000000009</v>
      </c>
      <c r="J767" s="8">
        <v>0.55000000000000004</v>
      </c>
      <c r="K767">
        <v>100000</v>
      </c>
      <c r="L767" s="2">
        <v>45952</v>
      </c>
    </row>
    <row r="768" spans="1:12">
      <c r="A768" t="s">
        <v>1090</v>
      </c>
      <c r="B768" t="s">
        <v>949</v>
      </c>
      <c r="C768" t="s">
        <v>19</v>
      </c>
      <c r="D768" t="s">
        <v>36</v>
      </c>
      <c r="E768" t="s">
        <v>21</v>
      </c>
      <c r="F768">
        <v>6.64</v>
      </c>
      <c r="G768">
        <v>13.23</v>
      </c>
      <c r="H768">
        <v>11.47</v>
      </c>
      <c r="I768">
        <v>9.9</v>
      </c>
      <c r="J768" s="8">
        <v>0.80379999999999996</v>
      </c>
      <c r="K768">
        <v>50000</v>
      </c>
      <c r="L768" s="2">
        <v>45673</v>
      </c>
    </row>
    <row r="769" spans="1:12">
      <c r="A769" t="s">
        <v>1091</v>
      </c>
      <c r="B769" t="s">
        <v>1050</v>
      </c>
      <c r="C769" t="s">
        <v>14</v>
      </c>
      <c r="D769" t="s">
        <v>36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 s="8">
        <v>0.85829999999999995</v>
      </c>
      <c r="K769">
        <v>75000</v>
      </c>
      <c r="L769" s="2">
        <v>46229</v>
      </c>
    </row>
    <row r="770" spans="1:12">
      <c r="A770" t="s">
        <v>1092</v>
      </c>
      <c r="B770" t="s">
        <v>83</v>
      </c>
      <c r="C770" t="s">
        <v>14</v>
      </c>
      <c r="D770" t="s">
        <v>36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 s="8">
        <v>0.71250000000000002</v>
      </c>
      <c r="K770">
        <v>80000</v>
      </c>
      <c r="L770" s="2">
        <v>46215</v>
      </c>
    </row>
    <row r="771" spans="1:12">
      <c r="A771" t="s">
        <v>1093</v>
      </c>
      <c r="B771" t="s">
        <v>1094</v>
      </c>
      <c r="C771" t="s">
        <v>14</v>
      </c>
      <c r="D771" t="s">
        <v>53</v>
      </c>
      <c r="E771" t="s">
        <v>29</v>
      </c>
      <c r="F771">
        <v>8.36</v>
      </c>
      <c r="G771">
        <v>8.1</v>
      </c>
      <c r="H771">
        <v>13.87</v>
      </c>
      <c r="I771">
        <v>7.84</v>
      </c>
      <c r="J771" s="8">
        <v>0.84809999999999997</v>
      </c>
      <c r="K771">
        <v>50000</v>
      </c>
      <c r="L771" s="2">
        <v>45716</v>
      </c>
    </row>
    <row r="772" spans="1:12">
      <c r="A772" t="s">
        <v>1095</v>
      </c>
      <c r="B772" t="s">
        <v>146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>
        <v>13.41</v>
      </c>
      <c r="J772" s="8">
        <v>0.74060000000000004</v>
      </c>
      <c r="K772">
        <v>80000</v>
      </c>
      <c r="L772" s="2">
        <v>45813</v>
      </c>
    </row>
    <row r="773" spans="1:12">
      <c r="A773" t="s">
        <v>1096</v>
      </c>
      <c r="B773" t="s">
        <v>301</v>
      </c>
      <c r="C773" t="s">
        <v>19</v>
      </c>
      <c r="D773" t="s">
        <v>53</v>
      </c>
      <c r="E773" t="s">
        <v>29</v>
      </c>
      <c r="F773">
        <v>11.85</v>
      </c>
      <c r="G773">
        <v>10.83</v>
      </c>
      <c r="H773">
        <v>12.37</v>
      </c>
      <c r="I773">
        <v>10.07</v>
      </c>
      <c r="J773" s="8">
        <v>0.82869999999999999</v>
      </c>
      <c r="K773">
        <v>85000</v>
      </c>
      <c r="L773" s="2">
        <v>45668</v>
      </c>
    </row>
    <row r="774" spans="1:12">
      <c r="A774" t="s">
        <v>1097</v>
      </c>
      <c r="B774" t="s">
        <v>1098</v>
      </c>
      <c r="C774" t="s">
        <v>14</v>
      </c>
      <c r="D774" t="s">
        <v>53</v>
      </c>
      <c r="E774" t="s">
        <v>21</v>
      </c>
      <c r="F774">
        <v>14.4</v>
      </c>
      <c r="G774">
        <v>13.62</v>
      </c>
      <c r="H774">
        <v>11.3</v>
      </c>
      <c r="I774">
        <v>11.21</v>
      </c>
      <c r="J774" s="8">
        <v>0.67949999999999999</v>
      </c>
      <c r="K774">
        <v>80000</v>
      </c>
      <c r="L774" s="2">
        <v>45888</v>
      </c>
    </row>
    <row r="775" spans="1:12">
      <c r="A775" t="s">
        <v>1099</v>
      </c>
      <c r="B775" t="s">
        <v>820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>
        <v>13.94</v>
      </c>
      <c r="J775" s="8">
        <v>0.5958</v>
      </c>
      <c r="K775">
        <v>85000</v>
      </c>
      <c r="L775" s="2">
        <v>45622</v>
      </c>
    </row>
    <row r="776" spans="1:12">
      <c r="A776" t="s">
        <v>1100</v>
      </c>
      <c r="B776" t="s">
        <v>213</v>
      </c>
      <c r="C776" t="s">
        <v>19</v>
      </c>
      <c r="D776" t="s">
        <v>15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 s="8">
        <v>0.87680000000000002</v>
      </c>
      <c r="K776">
        <v>110000</v>
      </c>
      <c r="L776" s="2">
        <v>45809</v>
      </c>
    </row>
    <row r="777" spans="1:12">
      <c r="A777" t="s">
        <v>1101</v>
      </c>
      <c r="B777" t="s">
        <v>853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>
        <v>16.91</v>
      </c>
      <c r="J777" s="8">
        <v>0.84550000000000003</v>
      </c>
      <c r="K777">
        <v>110000</v>
      </c>
      <c r="L777" s="2">
        <v>45924</v>
      </c>
    </row>
    <row r="778" spans="1:12">
      <c r="A778" t="s">
        <v>1102</v>
      </c>
      <c r="B778" t="s">
        <v>288</v>
      </c>
      <c r="C778" t="s">
        <v>14</v>
      </c>
      <c r="D778" t="s">
        <v>36</v>
      </c>
      <c r="E778" t="s">
        <v>29</v>
      </c>
      <c r="F778">
        <v>11.4</v>
      </c>
      <c r="G778">
        <v>10.77</v>
      </c>
      <c r="H778">
        <v>9.39</v>
      </c>
      <c r="I778">
        <v>8.39</v>
      </c>
      <c r="J778" s="8">
        <v>0.81420000000000003</v>
      </c>
      <c r="K778">
        <v>50000</v>
      </c>
      <c r="L778" s="2">
        <v>45964</v>
      </c>
    </row>
    <row r="779" spans="1:12">
      <c r="A779" t="s">
        <v>1103</v>
      </c>
      <c r="B779" t="s">
        <v>340</v>
      </c>
      <c r="C779" t="s">
        <v>14</v>
      </c>
      <c r="D779" t="s">
        <v>53</v>
      </c>
      <c r="E779" t="s">
        <v>16</v>
      </c>
      <c r="F779">
        <v>15.17</v>
      </c>
      <c r="G779">
        <v>14.91</v>
      </c>
      <c r="H779">
        <v>14.55</v>
      </c>
      <c r="I779">
        <v>17.87</v>
      </c>
      <c r="J779" s="8">
        <v>0.76249999999999996</v>
      </c>
      <c r="K779">
        <v>100000</v>
      </c>
      <c r="L779" s="2">
        <v>45953</v>
      </c>
    </row>
    <row r="780" spans="1:12">
      <c r="A780" t="s">
        <v>1104</v>
      </c>
      <c r="B780" t="s">
        <v>131</v>
      </c>
      <c r="C780" t="s">
        <v>14</v>
      </c>
      <c r="D780" t="s">
        <v>28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 s="8">
        <v>0.82840000000000003</v>
      </c>
      <c r="K780">
        <v>120000</v>
      </c>
      <c r="L780" s="2">
        <v>45690</v>
      </c>
    </row>
    <row r="781" spans="1:12">
      <c r="A781" t="s">
        <v>1105</v>
      </c>
      <c r="B781" t="s">
        <v>1106</v>
      </c>
      <c r="C781" t="s">
        <v>19</v>
      </c>
      <c r="D781" t="s">
        <v>36</v>
      </c>
      <c r="E781" t="s">
        <v>21</v>
      </c>
      <c r="F781">
        <v>11.9</v>
      </c>
      <c r="G781">
        <v>8.2200000000000006</v>
      </c>
      <c r="H781">
        <v>14.17</v>
      </c>
      <c r="I781">
        <v>13.22</v>
      </c>
      <c r="J781" s="8">
        <v>0.80620000000000003</v>
      </c>
      <c r="K781">
        <v>120000</v>
      </c>
      <c r="L781" s="2">
        <v>46090</v>
      </c>
    </row>
    <row r="782" spans="1:12">
      <c r="A782" t="s">
        <v>1107</v>
      </c>
      <c r="B782" t="s">
        <v>98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>
        <v>13.15</v>
      </c>
      <c r="J782" s="8">
        <v>0.90510000000000002</v>
      </c>
      <c r="K782">
        <v>75000</v>
      </c>
      <c r="L782" s="2">
        <v>46020</v>
      </c>
    </row>
    <row r="783" spans="1:12">
      <c r="A783" t="s">
        <v>1108</v>
      </c>
      <c r="B783" t="s">
        <v>667</v>
      </c>
      <c r="C783" t="s">
        <v>19</v>
      </c>
      <c r="D783" t="s">
        <v>28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 s="8">
        <v>0.69879999999999998</v>
      </c>
      <c r="K783">
        <v>110000</v>
      </c>
      <c r="L783" s="2">
        <v>46063</v>
      </c>
    </row>
    <row r="784" spans="1:12">
      <c r="A784" t="s">
        <v>1109</v>
      </c>
      <c r="B784" t="s">
        <v>83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>
        <v>10.57</v>
      </c>
      <c r="J784" s="8">
        <v>0.82950000000000002</v>
      </c>
      <c r="K784">
        <v>110000</v>
      </c>
      <c r="L784" s="2">
        <v>45863</v>
      </c>
    </row>
    <row r="785" spans="1:12">
      <c r="A785" t="s">
        <v>1110</v>
      </c>
      <c r="B785" t="s">
        <v>737</v>
      </c>
      <c r="C785" t="s">
        <v>14</v>
      </c>
      <c r="D785" t="s">
        <v>36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 s="8">
        <v>0.80069999999999997</v>
      </c>
      <c r="K785">
        <v>80000</v>
      </c>
      <c r="L785" s="2">
        <v>46160</v>
      </c>
    </row>
    <row r="786" spans="1:12">
      <c r="A786" t="s">
        <v>1111</v>
      </c>
      <c r="B786" t="s">
        <v>297</v>
      </c>
      <c r="C786" t="s">
        <v>14</v>
      </c>
      <c r="D786" t="s">
        <v>53</v>
      </c>
      <c r="E786" t="s">
        <v>16</v>
      </c>
      <c r="F786">
        <v>13.36</v>
      </c>
      <c r="G786">
        <v>9.98</v>
      </c>
      <c r="H786">
        <v>9.73</v>
      </c>
      <c r="I786">
        <v>11.87</v>
      </c>
      <c r="J786" s="8">
        <v>0.93810000000000004</v>
      </c>
      <c r="K786">
        <v>120000</v>
      </c>
      <c r="L786" s="2">
        <v>45808</v>
      </c>
    </row>
    <row r="787" spans="1:12">
      <c r="A787" t="s">
        <v>1112</v>
      </c>
      <c r="B787" t="s">
        <v>509</v>
      </c>
      <c r="C787" t="s">
        <v>19</v>
      </c>
      <c r="D787" t="s">
        <v>36</v>
      </c>
      <c r="E787" t="s">
        <v>29</v>
      </c>
      <c r="F787">
        <v>12.93</v>
      </c>
      <c r="G787">
        <v>12.56</v>
      </c>
      <c r="H787">
        <v>11.86</v>
      </c>
      <c r="I787">
        <v>10.66</v>
      </c>
      <c r="J787" s="8">
        <v>0.91359999999999997</v>
      </c>
      <c r="K787">
        <v>90000</v>
      </c>
      <c r="L787" s="2">
        <v>46100</v>
      </c>
    </row>
    <row r="788" spans="1:12">
      <c r="A788" t="s">
        <v>1113</v>
      </c>
      <c r="B788" t="s">
        <v>930</v>
      </c>
      <c r="C788" t="s">
        <v>14</v>
      </c>
      <c r="D788" t="s">
        <v>20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 s="8">
        <v>0.88260000000000005</v>
      </c>
      <c r="K788">
        <v>110000</v>
      </c>
      <c r="L788" s="2">
        <v>45678</v>
      </c>
    </row>
    <row r="789" spans="1:12">
      <c r="A789" t="s">
        <v>1114</v>
      </c>
      <c r="B789" t="s">
        <v>344</v>
      </c>
      <c r="C789" t="s">
        <v>19</v>
      </c>
      <c r="D789" t="s">
        <v>20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 s="8">
        <v>0.81179999999999997</v>
      </c>
      <c r="K789">
        <v>110000</v>
      </c>
      <c r="L789" s="2">
        <v>45709</v>
      </c>
    </row>
    <row r="790" spans="1:12">
      <c r="A790" t="s">
        <v>1115</v>
      </c>
      <c r="B790" t="s">
        <v>204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>
        <v>13.92</v>
      </c>
      <c r="J790" s="8">
        <v>0.55000000000000004</v>
      </c>
      <c r="K790">
        <v>110000</v>
      </c>
      <c r="L790" s="2">
        <v>45904</v>
      </c>
    </row>
    <row r="791" spans="1:12">
      <c r="A791" t="s">
        <v>1116</v>
      </c>
      <c r="B791" t="s">
        <v>94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>
        <v>16.2</v>
      </c>
      <c r="J791" s="8">
        <v>0.85599999999999998</v>
      </c>
      <c r="K791">
        <v>130000</v>
      </c>
      <c r="L791" s="2">
        <v>45925</v>
      </c>
    </row>
    <row r="792" spans="1:12">
      <c r="A792" t="s">
        <v>1117</v>
      </c>
      <c r="B792" t="s">
        <v>295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>
        <v>18.510000000000002</v>
      </c>
      <c r="J792" s="8">
        <v>0.96150000000000002</v>
      </c>
      <c r="K792">
        <v>120000</v>
      </c>
      <c r="L792" s="2">
        <v>46058</v>
      </c>
    </row>
    <row r="793" spans="1:12">
      <c r="A793" t="s">
        <v>1118</v>
      </c>
      <c r="B793" t="s">
        <v>1119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>
        <v>12.78</v>
      </c>
      <c r="J793" s="8">
        <v>0.71220000000000006</v>
      </c>
      <c r="K793">
        <v>80000</v>
      </c>
      <c r="L793" s="2">
        <v>45744</v>
      </c>
    </row>
    <row r="794" spans="1:12">
      <c r="A794" t="s">
        <v>1120</v>
      </c>
      <c r="B794" t="s">
        <v>146</v>
      </c>
      <c r="C794" t="s">
        <v>19</v>
      </c>
      <c r="D794" t="s">
        <v>36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 s="8">
        <v>0.9073</v>
      </c>
      <c r="K794">
        <v>90000</v>
      </c>
      <c r="L794" s="2">
        <v>46146</v>
      </c>
    </row>
    <row r="795" spans="1:12">
      <c r="A795" t="s">
        <v>1121</v>
      </c>
      <c r="B795" t="s">
        <v>55</v>
      </c>
      <c r="C795" t="s">
        <v>19</v>
      </c>
      <c r="D795" t="s">
        <v>28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 s="8">
        <v>0.74050000000000005</v>
      </c>
      <c r="K795">
        <v>100000</v>
      </c>
      <c r="L795" s="2">
        <v>45766</v>
      </c>
    </row>
    <row r="796" spans="1:12">
      <c r="A796" t="s">
        <v>1122</v>
      </c>
      <c r="B796" t="s">
        <v>444</v>
      </c>
      <c r="C796" t="s">
        <v>14</v>
      </c>
      <c r="D796" t="s">
        <v>20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 s="8">
        <v>0.67169999999999996</v>
      </c>
      <c r="K796">
        <v>120000</v>
      </c>
      <c r="L796" s="2">
        <v>45909</v>
      </c>
    </row>
    <row r="797" spans="1:12">
      <c r="A797" t="s">
        <v>1123</v>
      </c>
      <c r="B797" t="s">
        <v>431</v>
      </c>
      <c r="C797" t="s">
        <v>14</v>
      </c>
      <c r="D797" t="s">
        <v>53</v>
      </c>
      <c r="E797" t="s">
        <v>21</v>
      </c>
      <c r="F797">
        <v>15.34</v>
      </c>
      <c r="G797">
        <v>11.6</v>
      </c>
      <c r="H797">
        <v>9.41</v>
      </c>
      <c r="I797">
        <v>9.09</v>
      </c>
      <c r="J797" s="8">
        <v>0.92059999999999997</v>
      </c>
      <c r="K797">
        <v>80000</v>
      </c>
      <c r="L797" s="2">
        <v>46188</v>
      </c>
    </row>
    <row r="798" spans="1:12">
      <c r="A798" t="s">
        <v>1124</v>
      </c>
      <c r="B798" t="s">
        <v>404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>
        <v>13.31</v>
      </c>
      <c r="J798" s="8">
        <v>0.96179999999999999</v>
      </c>
      <c r="K798">
        <v>75000</v>
      </c>
      <c r="L798" s="2">
        <v>45913</v>
      </c>
    </row>
    <row r="799" spans="1:12">
      <c r="A799" t="s">
        <v>1125</v>
      </c>
      <c r="B799" t="s">
        <v>27</v>
      </c>
      <c r="C799" t="s">
        <v>14</v>
      </c>
      <c r="D799" t="s">
        <v>28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 s="8">
        <v>0.80249999999999999</v>
      </c>
      <c r="K799">
        <v>110000</v>
      </c>
      <c r="L799" s="2">
        <v>46013</v>
      </c>
    </row>
    <row r="800" spans="1:12">
      <c r="A800" t="s">
        <v>1126</v>
      </c>
      <c r="B800" t="s">
        <v>865</v>
      </c>
      <c r="C800" t="s">
        <v>14</v>
      </c>
      <c r="D800" t="s">
        <v>36</v>
      </c>
      <c r="E800" t="s">
        <v>16</v>
      </c>
      <c r="F800">
        <v>13.73</v>
      </c>
      <c r="G800">
        <v>15.78</v>
      </c>
      <c r="H800">
        <v>9.09</v>
      </c>
      <c r="I800">
        <v>12.76</v>
      </c>
      <c r="J800" s="8">
        <v>0.74519999999999997</v>
      </c>
      <c r="K800">
        <v>130000</v>
      </c>
      <c r="L800" s="2">
        <v>46172</v>
      </c>
    </row>
    <row r="801" spans="1:12">
      <c r="A801" t="s">
        <v>1127</v>
      </c>
      <c r="B801" t="s">
        <v>47</v>
      </c>
      <c r="C801" t="s">
        <v>14</v>
      </c>
      <c r="D801" t="s">
        <v>53</v>
      </c>
      <c r="E801" t="s">
        <v>29</v>
      </c>
      <c r="F801">
        <v>10.43</v>
      </c>
      <c r="G801">
        <v>11.53</v>
      </c>
      <c r="H801">
        <v>10.19</v>
      </c>
      <c r="I801">
        <v>6.92</v>
      </c>
      <c r="J801" s="8">
        <v>0.90649999999999997</v>
      </c>
      <c r="K801">
        <v>130000</v>
      </c>
      <c r="L801" s="2">
        <v>46218</v>
      </c>
    </row>
    <row r="802" spans="1:12">
      <c r="A802" t="s">
        <v>1128</v>
      </c>
      <c r="B802" t="s">
        <v>564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>
        <v>12.88</v>
      </c>
      <c r="J802" s="8">
        <v>0.9163</v>
      </c>
      <c r="K802">
        <v>60000</v>
      </c>
      <c r="L802" s="2">
        <v>45885</v>
      </c>
    </row>
    <row r="803" spans="1:12">
      <c r="A803" t="s">
        <v>1129</v>
      </c>
      <c r="B803" t="s">
        <v>251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>
        <v>11.21</v>
      </c>
      <c r="J803" s="8">
        <v>0.92020000000000002</v>
      </c>
      <c r="K803">
        <v>130000</v>
      </c>
      <c r="L803" s="2">
        <v>45827</v>
      </c>
    </row>
    <row r="804" spans="1:12">
      <c r="A804" t="s">
        <v>1130</v>
      </c>
      <c r="B804" t="s">
        <v>1131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>
        <v>20</v>
      </c>
      <c r="J804" s="8">
        <v>0.87329999999999997</v>
      </c>
      <c r="K804">
        <v>110000</v>
      </c>
      <c r="L804" s="2">
        <v>45673</v>
      </c>
    </row>
    <row r="805" spans="1:12">
      <c r="A805" t="s">
        <v>1132</v>
      </c>
      <c r="B805" t="s">
        <v>803</v>
      </c>
      <c r="C805" t="s">
        <v>19</v>
      </c>
      <c r="D805" t="s">
        <v>53</v>
      </c>
      <c r="E805" t="s">
        <v>29</v>
      </c>
      <c r="F805">
        <v>11.45</v>
      </c>
      <c r="G805">
        <v>19.63</v>
      </c>
      <c r="H805">
        <v>9.36</v>
      </c>
      <c r="I805">
        <v>7.59</v>
      </c>
      <c r="J805" s="8">
        <v>0.94850000000000001</v>
      </c>
      <c r="K805">
        <v>60000</v>
      </c>
      <c r="L805" s="2">
        <v>45912</v>
      </c>
    </row>
    <row r="806" spans="1:12">
      <c r="A806" t="s">
        <v>1133</v>
      </c>
      <c r="B806" t="s">
        <v>243</v>
      </c>
      <c r="C806" t="s">
        <v>19</v>
      </c>
      <c r="D806" t="s">
        <v>15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 s="8">
        <v>0.89100000000000001</v>
      </c>
      <c r="K806">
        <v>50000</v>
      </c>
      <c r="L806" s="2">
        <v>46178</v>
      </c>
    </row>
    <row r="807" spans="1:12">
      <c r="A807" t="s">
        <v>1134</v>
      </c>
      <c r="B807" t="s">
        <v>433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>
        <v>13.33</v>
      </c>
      <c r="J807" s="8">
        <v>0.84650000000000003</v>
      </c>
      <c r="K807">
        <v>70000</v>
      </c>
      <c r="L807" s="2">
        <v>45876</v>
      </c>
    </row>
    <row r="808" spans="1:12">
      <c r="A808" t="s">
        <v>1135</v>
      </c>
      <c r="B808" t="s">
        <v>675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>
        <v>17.7</v>
      </c>
      <c r="J808" s="8">
        <v>0.94710000000000005</v>
      </c>
      <c r="K808">
        <v>130000</v>
      </c>
      <c r="L808" s="2">
        <v>45779</v>
      </c>
    </row>
    <row r="809" spans="1:12">
      <c r="A809" t="s">
        <v>1136</v>
      </c>
      <c r="B809" t="s">
        <v>65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>
        <v>19.809999999999999</v>
      </c>
      <c r="J809" s="8">
        <v>0.92200000000000004</v>
      </c>
      <c r="K809">
        <v>110000</v>
      </c>
      <c r="L809" s="2">
        <v>45611</v>
      </c>
    </row>
    <row r="810" spans="1:12">
      <c r="A810" t="s">
        <v>1137</v>
      </c>
      <c r="B810" t="s">
        <v>474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>
        <v>15.66</v>
      </c>
      <c r="J810" s="8">
        <v>0.95009999999999994</v>
      </c>
      <c r="K810">
        <v>90000</v>
      </c>
      <c r="L810" s="2">
        <v>45808</v>
      </c>
    </row>
    <row r="811" spans="1:12">
      <c r="A811" t="s">
        <v>1138</v>
      </c>
      <c r="B811" t="s">
        <v>31</v>
      </c>
      <c r="C811" t="s">
        <v>19</v>
      </c>
      <c r="D811" t="s">
        <v>28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 s="8">
        <v>0.74590000000000001</v>
      </c>
      <c r="K811">
        <v>90000</v>
      </c>
      <c r="L811" s="2">
        <v>45701</v>
      </c>
    </row>
    <row r="812" spans="1:12">
      <c r="A812" t="s">
        <v>1139</v>
      </c>
      <c r="B812" t="s">
        <v>388</v>
      </c>
      <c r="C812" t="s">
        <v>14</v>
      </c>
      <c r="D812" t="s">
        <v>53</v>
      </c>
      <c r="E812" t="s">
        <v>21</v>
      </c>
      <c r="F812">
        <v>13.75</v>
      </c>
      <c r="G812">
        <v>9.74</v>
      </c>
      <c r="H812">
        <v>16.309999999999999</v>
      </c>
      <c r="I812">
        <v>13.35</v>
      </c>
      <c r="J812" s="8">
        <v>0.85399999999999998</v>
      </c>
      <c r="K812">
        <v>80000</v>
      </c>
      <c r="L812" s="2">
        <v>46219</v>
      </c>
    </row>
    <row r="813" spans="1:12">
      <c r="A813" t="s">
        <v>1140</v>
      </c>
      <c r="B813" t="s">
        <v>272</v>
      </c>
      <c r="C813" t="s">
        <v>19</v>
      </c>
      <c r="D813" t="s">
        <v>20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 s="8">
        <v>0.7349</v>
      </c>
      <c r="K813">
        <v>120000</v>
      </c>
      <c r="L813" s="2">
        <v>45905</v>
      </c>
    </row>
    <row r="814" spans="1:12">
      <c r="A814" t="s">
        <v>1141</v>
      </c>
      <c r="B814" t="s">
        <v>1106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>
        <v>15.4</v>
      </c>
      <c r="J814" s="8">
        <v>0.91690000000000005</v>
      </c>
      <c r="K814">
        <v>60000</v>
      </c>
      <c r="L814" s="2">
        <v>45631</v>
      </c>
    </row>
    <row r="815" spans="1:12">
      <c r="A815" t="s">
        <v>1142</v>
      </c>
      <c r="B815" t="s">
        <v>90</v>
      </c>
      <c r="C815" t="s">
        <v>14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 s="8">
        <v>0.88139999999999996</v>
      </c>
      <c r="K815">
        <v>75000</v>
      </c>
      <c r="L815" s="2">
        <v>45583</v>
      </c>
    </row>
    <row r="816" spans="1:12">
      <c r="A816" t="s">
        <v>1143</v>
      </c>
      <c r="B816" t="s">
        <v>79</v>
      </c>
      <c r="C816" t="s">
        <v>19</v>
      </c>
      <c r="D816" t="s">
        <v>53</v>
      </c>
      <c r="E816" t="s">
        <v>21</v>
      </c>
      <c r="F816">
        <v>12.91</v>
      </c>
      <c r="G816">
        <v>13.43</v>
      </c>
      <c r="H816">
        <v>15.28</v>
      </c>
      <c r="I816">
        <v>16.98</v>
      </c>
      <c r="J816" s="8">
        <v>0.92849999999999999</v>
      </c>
      <c r="K816">
        <v>70000</v>
      </c>
      <c r="L816" s="2">
        <v>46131</v>
      </c>
    </row>
    <row r="817" spans="1:12">
      <c r="A817" t="s">
        <v>1144</v>
      </c>
      <c r="B817" t="s">
        <v>415</v>
      </c>
      <c r="C817" t="s">
        <v>19</v>
      </c>
      <c r="D817" t="s">
        <v>36</v>
      </c>
      <c r="E817" t="s">
        <v>29</v>
      </c>
      <c r="F817">
        <v>6.67</v>
      </c>
      <c r="G817">
        <v>2.99</v>
      </c>
      <c r="H817">
        <v>8.3699999999999992</v>
      </c>
      <c r="I817">
        <v>4.43</v>
      </c>
      <c r="J817" s="8">
        <v>0.80820000000000003</v>
      </c>
      <c r="K817">
        <v>120000</v>
      </c>
      <c r="L817" s="2">
        <v>46188</v>
      </c>
    </row>
    <row r="818" spans="1:12">
      <c r="A818" t="s">
        <v>1145</v>
      </c>
      <c r="B818" t="s">
        <v>575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>
        <v>13.02</v>
      </c>
      <c r="J818" s="8">
        <v>0.82210000000000005</v>
      </c>
      <c r="K818">
        <v>85000</v>
      </c>
      <c r="L818" s="2">
        <v>46070</v>
      </c>
    </row>
    <row r="819" spans="1:12">
      <c r="A819" t="s">
        <v>1146</v>
      </c>
      <c r="B819" t="s">
        <v>1147</v>
      </c>
      <c r="C819" t="s">
        <v>14</v>
      </c>
      <c r="D819" t="s">
        <v>36</v>
      </c>
      <c r="E819" t="s">
        <v>16</v>
      </c>
      <c r="F819">
        <v>17.41</v>
      </c>
      <c r="G819">
        <v>17.28</v>
      </c>
      <c r="H819">
        <v>17.84</v>
      </c>
      <c r="I819">
        <v>14.37</v>
      </c>
      <c r="J819" s="8">
        <v>0.86709999999999998</v>
      </c>
      <c r="K819">
        <v>100000</v>
      </c>
      <c r="L819" s="2">
        <v>45622</v>
      </c>
    </row>
    <row r="820" spans="1:12">
      <c r="A820" t="s">
        <v>1148</v>
      </c>
      <c r="B820" t="s">
        <v>720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>
        <v>16.739999999999998</v>
      </c>
      <c r="J820" s="8">
        <v>0.95279999999999998</v>
      </c>
      <c r="K820">
        <v>130000</v>
      </c>
      <c r="L820" s="2">
        <v>45604</v>
      </c>
    </row>
    <row r="821" spans="1:12">
      <c r="A821" t="s">
        <v>1149</v>
      </c>
      <c r="B821" t="s">
        <v>50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>
        <v>17.739999999999998</v>
      </c>
      <c r="J821" s="8">
        <v>0.95979999999999999</v>
      </c>
      <c r="K821">
        <v>70000</v>
      </c>
      <c r="L821" s="2">
        <v>45674</v>
      </c>
    </row>
    <row r="822" spans="1:12">
      <c r="A822" t="s">
        <v>1150</v>
      </c>
      <c r="B822" t="s">
        <v>1098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>
        <v>7.63</v>
      </c>
      <c r="J822" s="8">
        <v>0.84289999999999998</v>
      </c>
      <c r="K822">
        <v>130000</v>
      </c>
      <c r="L822" s="2">
        <v>46061</v>
      </c>
    </row>
    <row r="823" spans="1:12">
      <c r="A823" t="s">
        <v>1151</v>
      </c>
      <c r="B823" t="s">
        <v>651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>
        <v>15.49</v>
      </c>
      <c r="J823" s="8">
        <v>0.96679999999999999</v>
      </c>
      <c r="K823">
        <v>60000</v>
      </c>
      <c r="L823" s="2">
        <v>46071</v>
      </c>
    </row>
    <row r="824" spans="1:12">
      <c r="A824" t="s">
        <v>1152</v>
      </c>
      <c r="B824" t="s">
        <v>288</v>
      </c>
      <c r="C824" t="s">
        <v>14</v>
      </c>
      <c r="D824" t="s">
        <v>53</v>
      </c>
      <c r="E824" t="s">
        <v>29</v>
      </c>
      <c r="F824">
        <v>16.11</v>
      </c>
      <c r="G824">
        <v>18.03</v>
      </c>
      <c r="H824">
        <v>14.83</v>
      </c>
      <c r="I824">
        <v>11.74</v>
      </c>
      <c r="J824" s="8">
        <v>0.95730000000000004</v>
      </c>
      <c r="K824">
        <v>110000</v>
      </c>
      <c r="L824" s="2">
        <v>46122</v>
      </c>
    </row>
    <row r="825" spans="1:12">
      <c r="A825" t="s">
        <v>1153</v>
      </c>
      <c r="B825" t="s">
        <v>77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>
        <v>9.7200000000000006</v>
      </c>
      <c r="J825" s="8">
        <v>0.94520000000000004</v>
      </c>
      <c r="K825">
        <v>100000</v>
      </c>
      <c r="L825" s="2">
        <v>45603</v>
      </c>
    </row>
    <row r="826" spans="1:12">
      <c r="A826" t="s">
        <v>1154</v>
      </c>
      <c r="B826" t="s">
        <v>213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>
        <v>7.95</v>
      </c>
      <c r="J826" s="8">
        <v>0.88039999999999996</v>
      </c>
      <c r="K826">
        <v>120000</v>
      </c>
      <c r="L826" s="2">
        <v>45643</v>
      </c>
    </row>
    <row r="827" spans="1:12">
      <c r="A827" t="s">
        <v>1155</v>
      </c>
      <c r="B827" t="s">
        <v>135</v>
      </c>
      <c r="C827" t="s">
        <v>14</v>
      </c>
      <c r="D827" t="s">
        <v>53</v>
      </c>
      <c r="E827" t="s">
        <v>16</v>
      </c>
      <c r="F827">
        <v>14.82</v>
      </c>
      <c r="G827">
        <v>16.579999999999998</v>
      </c>
      <c r="H827">
        <v>15.19</v>
      </c>
      <c r="I827">
        <v>13.67</v>
      </c>
      <c r="J827" s="8">
        <v>0.93130000000000002</v>
      </c>
      <c r="K827">
        <v>60000</v>
      </c>
      <c r="L827" s="2">
        <v>46166</v>
      </c>
    </row>
    <row r="828" spans="1:12">
      <c r="A828" t="s">
        <v>1156</v>
      </c>
      <c r="B828" t="s">
        <v>412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>
        <v>14.44</v>
      </c>
      <c r="J828" s="8">
        <v>0.73350000000000004</v>
      </c>
      <c r="K828">
        <v>130000</v>
      </c>
      <c r="L828" s="2">
        <v>46186</v>
      </c>
    </row>
    <row r="829" spans="1:12">
      <c r="A829" t="s">
        <v>1157</v>
      </c>
      <c r="B829" t="s">
        <v>404</v>
      </c>
      <c r="C829" t="s">
        <v>19</v>
      </c>
      <c r="D829" t="s">
        <v>28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 s="8">
        <v>0.97170000000000001</v>
      </c>
      <c r="K829">
        <v>110000</v>
      </c>
      <c r="L829" s="2">
        <v>46043</v>
      </c>
    </row>
    <row r="830" spans="1:12">
      <c r="A830" t="s">
        <v>1158</v>
      </c>
      <c r="B830" t="s">
        <v>697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>
        <v>9.6300000000000008</v>
      </c>
      <c r="J830" s="8">
        <v>0.81640000000000001</v>
      </c>
      <c r="K830">
        <v>60000</v>
      </c>
      <c r="L830" s="2">
        <v>45610</v>
      </c>
    </row>
    <row r="831" spans="1:12">
      <c r="A831" t="s">
        <v>1159</v>
      </c>
      <c r="B831" t="s">
        <v>186</v>
      </c>
      <c r="C831" t="s">
        <v>14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 s="8">
        <v>0.98939999999999995</v>
      </c>
      <c r="K831">
        <v>90000</v>
      </c>
      <c r="L831" s="2">
        <v>45584</v>
      </c>
    </row>
    <row r="832" spans="1:12">
      <c r="A832" t="s">
        <v>1160</v>
      </c>
      <c r="B832" t="s">
        <v>131</v>
      </c>
      <c r="C832" t="s">
        <v>14</v>
      </c>
      <c r="D832" t="s">
        <v>36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 s="8">
        <v>0.87290000000000001</v>
      </c>
      <c r="K832">
        <v>110000</v>
      </c>
      <c r="L832" s="2">
        <v>45574</v>
      </c>
    </row>
    <row r="833" spans="1:12">
      <c r="A833" t="s">
        <v>1161</v>
      </c>
      <c r="B833" t="s">
        <v>410</v>
      </c>
      <c r="C833" t="s">
        <v>14</v>
      </c>
      <c r="D833" t="s">
        <v>36</v>
      </c>
      <c r="E833" t="s">
        <v>21</v>
      </c>
      <c r="F833">
        <v>12.47</v>
      </c>
      <c r="G833">
        <v>13.04</v>
      </c>
      <c r="H833">
        <v>11.81</v>
      </c>
      <c r="I833">
        <v>12.23</v>
      </c>
      <c r="J833" s="8">
        <v>0.77400000000000002</v>
      </c>
      <c r="K833">
        <v>85000</v>
      </c>
      <c r="L833" s="2">
        <v>46020</v>
      </c>
    </row>
    <row r="834" spans="1:12">
      <c r="A834" t="s">
        <v>1162</v>
      </c>
      <c r="B834" t="s">
        <v>357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>
        <v>7.69</v>
      </c>
      <c r="J834" s="8">
        <v>0.88780000000000003</v>
      </c>
      <c r="K834">
        <v>80000</v>
      </c>
      <c r="L834" s="2">
        <v>46128</v>
      </c>
    </row>
    <row r="835" spans="1:12">
      <c r="A835" t="s">
        <v>1163</v>
      </c>
      <c r="B835" t="s">
        <v>73</v>
      </c>
      <c r="C835" t="s">
        <v>14</v>
      </c>
      <c r="D835" t="s">
        <v>36</v>
      </c>
      <c r="E835" t="s">
        <v>16</v>
      </c>
      <c r="F835">
        <v>10.24</v>
      </c>
      <c r="G835">
        <v>16.32</v>
      </c>
      <c r="H835">
        <v>14.91</v>
      </c>
      <c r="I835">
        <v>13.26</v>
      </c>
      <c r="J835" s="8">
        <v>0.86470000000000002</v>
      </c>
      <c r="K835">
        <v>75000</v>
      </c>
      <c r="L835" s="2">
        <v>45978</v>
      </c>
    </row>
    <row r="836" spans="1:12">
      <c r="A836" t="s">
        <v>1164</v>
      </c>
      <c r="B836" t="s">
        <v>141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>
        <v>15.32</v>
      </c>
      <c r="J836" s="8">
        <v>0.84540000000000004</v>
      </c>
      <c r="K836">
        <v>85000</v>
      </c>
      <c r="L836" s="2">
        <v>45719</v>
      </c>
    </row>
    <row r="837" spans="1:12">
      <c r="A837" t="s">
        <v>1165</v>
      </c>
      <c r="B837" t="s">
        <v>415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>
        <v>11.92</v>
      </c>
      <c r="J837" s="8">
        <v>0.98080000000000001</v>
      </c>
      <c r="K837">
        <v>130000</v>
      </c>
      <c r="L837" s="2">
        <v>46066</v>
      </c>
    </row>
    <row r="838" spans="1:12">
      <c r="A838" t="s">
        <v>1166</v>
      </c>
      <c r="B838" t="s">
        <v>102</v>
      </c>
      <c r="C838" t="s">
        <v>19</v>
      </c>
      <c r="D838" t="s">
        <v>20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 s="8">
        <v>0.69789999999999996</v>
      </c>
      <c r="K838">
        <v>90000</v>
      </c>
      <c r="L838" s="2">
        <v>45577</v>
      </c>
    </row>
    <row r="839" spans="1:12">
      <c r="A839" t="s">
        <v>1167</v>
      </c>
      <c r="B839" t="s">
        <v>1036</v>
      </c>
      <c r="C839" t="s">
        <v>14</v>
      </c>
      <c r="D839" t="s">
        <v>28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 s="8">
        <v>0.60809999999999997</v>
      </c>
      <c r="K839">
        <v>100000</v>
      </c>
      <c r="L839" s="2">
        <v>46115</v>
      </c>
    </row>
    <row r="840" spans="1:12">
      <c r="A840" t="s">
        <v>1168</v>
      </c>
      <c r="B840" t="s">
        <v>431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>
        <v>6.83</v>
      </c>
      <c r="J840" s="8">
        <v>0.7288</v>
      </c>
      <c r="K840">
        <v>110000</v>
      </c>
      <c r="L840" s="2">
        <v>46160</v>
      </c>
    </row>
    <row r="841" spans="1:12">
      <c r="A841" t="s">
        <v>1169</v>
      </c>
      <c r="B841" t="s">
        <v>518</v>
      </c>
      <c r="C841" t="s">
        <v>19</v>
      </c>
      <c r="D841" t="s">
        <v>28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 s="8">
        <v>0.92059999999999997</v>
      </c>
      <c r="K841">
        <v>110000</v>
      </c>
      <c r="L841" s="2">
        <v>46038</v>
      </c>
    </row>
    <row r="842" spans="1:12">
      <c r="A842" t="s">
        <v>1170</v>
      </c>
      <c r="B842" t="s">
        <v>1038</v>
      </c>
      <c r="C842" t="s">
        <v>14</v>
      </c>
      <c r="D842" t="s">
        <v>36</v>
      </c>
      <c r="E842" t="s">
        <v>16</v>
      </c>
      <c r="F842">
        <v>13.89</v>
      </c>
      <c r="G842">
        <v>19.2</v>
      </c>
      <c r="H842">
        <v>15.64</v>
      </c>
      <c r="I842">
        <v>13.69</v>
      </c>
      <c r="J842" s="8">
        <v>0.69040000000000001</v>
      </c>
      <c r="K842">
        <v>80000</v>
      </c>
      <c r="L842" s="2">
        <v>46151</v>
      </c>
    </row>
    <row r="843" spans="1:12">
      <c r="A843" t="s">
        <v>1171</v>
      </c>
      <c r="B843" t="s">
        <v>104</v>
      </c>
      <c r="C843" t="s">
        <v>19</v>
      </c>
      <c r="D843" t="s">
        <v>36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 s="8">
        <v>0.93700000000000006</v>
      </c>
      <c r="K843">
        <v>110000</v>
      </c>
      <c r="L843" s="2">
        <v>45946</v>
      </c>
    </row>
    <row r="844" spans="1:12">
      <c r="A844" t="s">
        <v>1172</v>
      </c>
      <c r="B844" t="s">
        <v>111</v>
      </c>
      <c r="C844" t="s">
        <v>19</v>
      </c>
      <c r="D844" t="s">
        <v>15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 s="8">
        <v>0.77559999999999996</v>
      </c>
      <c r="K844">
        <v>75000</v>
      </c>
      <c r="L844" s="2">
        <v>45863</v>
      </c>
    </row>
    <row r="845" spans="1:12">
      <c r="A845" t="s">
        <v>1173</v>
      </c>
      <c r="B845" t="s">
        <v>372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>
        <v>8.99</v>
      </c>
      <c r="J845" s="8">
        <v>0.63160000000000005</v>
      </c>
      <c r="K845">
        <v>90000</v>
      </c>
      <c r="L845" s="2">
        <v>45761</v>
      </c>
    </row>
    <row r="846" spans="1:12">
      <c r="A846" t="s">
        <v>1174</v>
      </c>
      <c r="B846" t="s">
        <v>274</v>
      </c>
      <c r="C846" t="s">
        <v>14</v>
      </c>
      <c r="D846" t="s">
        <v>20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 s="8">
        <v>0.99750000000000005</v>
      </c>
      <c r="K846">
        <v>75000</v>
      </c>
      <c r="L846" s="2">
        <v>46181</v>
      </c>
    </row>
    <row r="847" spans="1:12">
      <c r="A847" t="s">
        <v>1175</v>
      </c>
      <c r="B847" t="s">
        <v>425</v>
      </c>
      <c r="C847" t="s">
        <v>14</v>
      </c>
      <c r="D847" t="s">
        <v>53</v>
      </c>
      <c r="E847" t="s">
        <v>29</v>
      </c>
      <c r="F847">
        <v>15.08</v>
      </c>
      <c r="G847">
        <v>14.96</v>
      </c>
      <c r="H847">
        <v>13.08</v>
      </c>
      <c r="I847">
        <v>14.08</v>
      </c>
      <c r="J847" s="8">
        <v>0.91039999999999999</v>
      </c>
      <c r="K847">
        <v>130000</v>
      </c>
      <c r="L847" s="2">
        <v>46024</v>
      </c>
    </row>
    <row r="848" spans="1:12">
      <c r="A848" t="s">
        <v>1176</v>
      </c>
      <c r="B848" t="s">
        <v>757</v>
      </c>
      <c r="C848" t="s">
        <v>14</v>
      </c>
      <c r="D848" t="s">
        <v>53</v>
      </c>
      <c r="E848" t="s">
        <v>16</v>
      </c>
      <c r="F848">
        <v>11.3</v>
      </c>
      <c r="G848">
        <v>12.81</v>
      </c>
      <c r="H848">
        <v>17.8</v>
      </c>
      <c r="I848">
        <v>14.6</v>
      </c>
      <c r="J848" s="8">
        <v>0.83069999999999999</v>
      </c>
      <c r="K848">
        <v>110000</v>
      </c>
      <c r="L848" s="2">
        <v>45669</v>
      </c>
    </row>
    <row r="849" spans="1:12">
      <c r="A849" t="s">
        <v>1177</v>
      </c>
      <c r="B849" t="s">
        <v>357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>
        <v>10.7</v>
      </c>
      <c r="J849" s="8">
        <v>0.86129999999999995</v>
      </c>
      <c r="K849">
        <v>90000</v>
      </c>
      <c r="L849" s="2">
        <v>46205</v>
      </c>
    </row>
    <row r="850" spans="1:12">
      <c r="A850" t="s">
        <v>1178</v>
      </c>
      <c r="B850" t="s">
        <v>949</v>
      </c>
      <c r="C850" t="s">
        <v>19</v>
      </c>
      <c r="D850" t="s">
        <v>36</v>
      </c>
      <c r="E850" t="s">
        <v>29</v>
      </c>
      <c r="F850">
        <v>8.91</v>
      </c>
      <c r="G850">
        <v>12.38</v>
      </c>
      <c r="H850">
        <v>16.3</v>
      </c>
      <c r="I850">
        <v>12.65</v>
      </c>
      <c r="J850" s="8">
        <v>0.55000000000000004</v>
      </c>
      <c r="K850">
        <v>80000</v>
      </c>
      <c r="L850" s="2">
        <v>45577</v>
      </c>
    </row>
    <row r="851" spans="1:12">
      <c r="A851" t="s">
        <v>1179</v>
      </c>
      <c r="B851" t="s">
        <v>748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>
        <v>15.13</v>
      </c>
      <c r="J851" s="8">
        <v>0.55000000000000004</v>
      </c>
      <c r="K851">
        <v>85000</v>
      </c>
      <c r="L851" s="2">
        <v>45947</v>
      </c>
    </row>
    <row r="852" spans="1:12">
      <c r="A852" t="s">
        <v>1180</v>
      </c>
      <c r="B852" t="s">
        <v>479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>
        <v>18.72</v>
      </c>
      <c r="J852" s="8">
        <v>0.91310000000000002</v>
      </c>
      <c r="K852">
        <v>110000</v>
      </c>
      <c r="L852" s="2">
        <v>45669</v>
      </c>
    </row>
    <row r="853" spans="1:12">
      <c r="A853" t="s">
        <v>1181</v>
      </c>
      <c r="B853" t="s">
        <v>237</v>
      </c>
      <c r="C853" t="s">
        <v>19</v>
      </c>
      <c r="D853" t="s">
        <v>32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 s="8">
        <v>0.95920000000000005</v>
      </c>
      <c r="K853">
        <v>75000</v>
      </c>
      <c r="L853" s="2">
        <v>46001</v>
      </c>
    </row>
    <row r="854" spans="1:12">
      <c r="A854" t="s">
        <v>1182</v>
      </c>
      <c r="B854" t="s">
        <v>408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>
        <v>12.14</v>
      </c>
      <c r="J854" s="8">
        <v>0.96989999999999998</v>
      </c>
      <c r="K854">
        <v>120000</v>
      </c>
      <c r="L854" s="2">
        <v>45824</v>
      </c>
    </row>
    <row r="855" spans="1:12">
      <c r="A855" t="s">
        <v>1183</v>
      </c>
      <c r="B855" t="s">
        <v>1184</v>
      </c>
      <c r="C855" t="s">
        <v>14</v>
      </c>
      <c r="D855" t="s">
        <v>53</v>
      </c>
      <c r="E855" t="s">
        <v>29</v>
      </c>
      <c r="F855">
        <v>9.0399999999999991</v>
      </c>
      <c r="G855">
        <v>10.44</v>
      </c>
      <c r="H855">
        <v>7.22</v>
      </c>
      <c r="I855">
        <v>9.83</v>
      </c>
      <c r="J855" s="8">
        <v>0.86260000000000003</v>
      </c>
      <c r="K855">
        <v>75000</v>
      </c>
      <c r="L855" s="2">
        <v>45841</v>
      </c>
    </row>
    <row r="856" spans="1:12">
      <c r="A856" t="s">
        <v>1185</v>
      </c>
      <c r="B856" t="s">
        <v>930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>
        <v>15.35</v>
      </c>
      <c r="J856" s="8">
        <v>0.8266</v>
      </c>
      <c r="K856">
        <v>60000</v>
      </c>
      <c r="L856" s="2">
        <v>46006</v>
      </c>
    </row>
    <row r="857" spans="1:12">
      <c r="A857" t="s">
        <v>1186</v>
      </c>
      <c r="B857" t="s">
        <v>912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>
        <v>14.38</v>
      </c>
      <c r="J857" s="8">
        <v>0.88739999999999997</v>
      </c>
      <c r="K857">
        <v>110000</v>
      </c>
      <c r="L857" s="2">
        <v>46065</v>
      </c>
    </row>
    <row r="858" spans="1:12">
      <c r="A858" t="s">
        <v>1187</v>
      </c>
      <c r="B858" t="s">
        <v>600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>
        <v>20</v>
      </c>
      <c r="J858" s="8">
        <v>0.57750000000000001</v>
      </c>
      <c r="K858">
        <v>100000</v>
      </c>
      <c r="L858" s="2">
        <v>45802</v>
      </c>
    </row>
    <row r="859" spans="1:12">
      <c r="A859" t="s">
        <v>1188</v>
      </c>
      <c r="B859" t="s">
        <v>679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>
        <v>8.56</v>
      </c>
      <c r="J859" s="8">
        <v>0.82110000000000005</v>
      </c>
      <c r="K859">
        <v>75000</v>
      </c>
      <c r="L859" s="2">
        <v>46234</v>
      </c>
    </row>
    <row r="860" spans="1:12">
      <c r="A860" t="s">
        <v>1189</v>
      </c>
      <c r="B860" t="s">
        <v>43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>
        <v>15.14</v>
      </c>
      <c r="J860" s="8">
        <v>0.97829999999999995</v>
      </c>
      <c r="K860">
        <v>100000</v>
      </c>
      <c r="L860" s="2">
        <v>45884</v>
      </c>
    </row>
    <row r="861" spans="1:12">
      <c r="A861" t="s">
        <v>1190</v>
      </c>
      <c r="B861" t="s">
        <v>52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>
        <v>16.57</v>
      </c>
      <c r="J861" s="8">
        <v>0.85309999999999997</v>
      </c>
      <c r="K861">
        <v>110000</v>
      </c>
      <c r="L861" s="2">
        <v>45648</v>
      </c>
    </row>
    <row r="862" spans="1:12">
      <c r="A862" t="s">
        <v>1191</v>
      </c>
      <c r="B862" t="s">
        <v>651</v>
      </c>
      <c r="C862" t="s">
        <v>19</v>
      </c>
      <c r="D862" t="s">
        <v>53</v>
      </c>
      <c r="E862" t="s">
        <v>21</v>
      </c>
      <c r="F862">
        <v>17.100000000000001</v>
      </c>
      <c r="G862">
        <v>17.649999999999999</v>
      </c>
      <c r="H862">
        <v>20</v>
      </c>
      <c r="I862">
        <v>18.350000000000001</v>
      </c>
      <c r="J862" s="8">
        <v>0.83660000000000001</v>
      </c>
      <c r="K862">
        <v>110000</v>
      </c>
      <c r="L862" s="2">
        <v>45540</v>
      </c>
    </row>
    <row r="863" spans="1:12">
      <c r="A863" t="s">
        <v>1192</v>
      </c>
      <c r="B863" t="s">
        <v>342</v>
      </c>
      <c r="C863" t="s">
        <v>19</v>
      </c>
      <c r="D863" t="s">
        <v>53</v>
      </c>
      <c r="E863" t="s">
        <v>16</v>
      </c>
      <c r="F863">
        <v>13.75</v>
      </c>
      <c r="G863">
        <v>8.06</v>
      </c>
      <c r="H863">
        <v>11.18</v>
      </c>
      <c r="I863">
        <v>10.53</v>
      </c>
      <c r="J863" s="8">
        <v>0.8891</v>
      </c>
      <c r="K863">
        <v>130000</v>
      </c>
      <c r="L863" s="2">
        <v>45677</v>
      </c>
    </row>
    <row r="864" spans="1:12">
      <c r="A864" t="s">
        <v>1193</v>
      </c>
      <c r="B864" t="s">
        <v>1074</v>
      </c>
      <c r="C864" t="s">
        <v>14</v>
      </c>
      <c r="D864" t="s">
        <v>36</v>
      </c>
      <c r="E864" t="s">
        <v>29</v>
      </c>
      <c r="F864">
        <v>11</v>
      </c>
      <c r="G864">
        <v>10.66</v>
      </c>
      <c r="H864">
        <v>10.53</v>
      </c>
      <c r="I864">
        <v>12.36</v>
      </c>
      <c r="J864" s="8">
        <v>0.99199999999999999</v>
      </c>
      <c r="K864">
        <v>120000</v>
      </c>
      <c r="L864" s="2">
        <v>46019</v>
      </c>
    </row>
    <row r="865" spans="1:12">
      <c r="A865" t="s">
        <v>1194</v>
      </c>
      <c r="B865" t="s">
        <v>667</v>
      </c>
      <c r="C865" t="s">
        <v>19</v>
      </c>
      <c r="D865" t="s">
        <v>15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 s="8">
        <v>0.71740000000000004</v>
      </c>
      <c r="K865">
        <v>80000</v>
      </c>
      <c r="L865" s="2">
        <v>45913</v>
      </c>
    </row>
    <row r="866" spans="1:12">
      <c r="A866" t="s">
        <v>1195</v>
      </c>
      <c r="B866" t="s">
        <v>77</v>
      </c>
      <c r="C866" t="s">
        <v>19</v>
      </c>
      <c r="D866" t="s">
        <v>53</v>
      </c>
      <c r="E866" t="s">
        <v>21</v>
      </c>
      <c r="F866">
        <v>13.81</v>
      </c>
      <c r="G866">
        <v>13.94</v>
      </c>
      <c r="H866">
        <v>13.06</v>
      </c>
      <c r="I866">
        <v>11.11</v>
      </c>
      <c r="J866" s="8">
        <v>0.81459999999999999</v>
      </c>
      <c r="K866">
        <v>70000</v>
      </c>
      <c r="L866" s="2">
        <v>45772</v>
      </c>
    </row>
    <row r="867" spans="1:12">
      <c r="A867" t="s">
        <v>1196</v>
      </c>
      <c r="B867" t="s">
        <v>204</v>
      </c>
      <c r="C867" t="s">
        <v>19</v>
      </c>
      <c r="D867" t="s">
        <v>36</v>
      </c>
      <c r="E867" t="s">
        <v>16</v>
      </c>
      <c r="F867">
        <v>6.95</v>
      </c>
      <c r="G867">
        <v>14.66</v>
      </c>
      <c r="H867">
        <v>8.14</v>
      </c>
      <c r="I867">
        <v>15</v>
      </c>
      <c r="J867" s="8">
        <v>0.88529999999999998</v>
      </c>
      <c r="K867">
        <v>60000</v>
      </c>
      <c r="L867" s="2">
        <v>45872</v>
      </c>
    </row>
    <row r="868" spans="1:12">
      <c r="A868" t="s">
        <v>1197</v>
      </c>
      <c r="B868" t="s">
        <v>415</v>
      </c>
      <c r="C868" t="s">
        <v>19</v>
      </c>
      <c r="D868" t="s">
        <v>53</v>
      </c>
      <c r="E868" t="s">
        <v>16</v>
      </c>
      <c r="F868">
        <v>11.76</v>
      </c>
      <c r="G868">
        <v>16.239999999999998</v>
      </c>
      <c r="H868">
        <v>10.98</v>
      </c>
      <c r="I868">
        <v>14.08</v>
      </c>
      <c r="J868" s="8">
        <v>0.9496</v>
      </c>
      <c r="K868">
        <v>90000</v>
      </c>
      <c r="L868" s="2">
        <v>46122</v>
      </c>
    </row>
    <row r="869" spans="1:12">
      <c r="A869" t="s">
        <v>1198</v>
      </c>
      <c r="B869" t="s">
        <v>280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>
        <v>16.329999999999998</v>
      </c>
      <c r="J869" s="8">
        <v>0.7762</v>
      </c>
      <c r="K869">
        <v>100000</v>
      </c>
      <c r="L869" s="2">
        <v>45936</v>
      </c>
    </row>
    <row r="870" spans="1:12">
      <c r="A870" t="s">
        <v>1199</v>
      </c>
      <c r="B870" t="s">
        <v>492</v>
      </c>
      <c r="C870" t="s">
        <v>14</v>
      </c>
      <c r="D870" t="s">
        <v>53</v>
      </c>
      <c r="E870" t="s">
        <v>29</v>
      </c>
      <c r="F870">
        <v>18.100000000000001</v>
      </c>
      <c r="G870">
        <v>12.54</v>
      </c>
      <c r="H870">
        <v>10.75</v>
      </c>
      <c r="I870">
        <v>12.91</v>
      </c>
      <c r="J870" s="8">
        <v>0.78990000000000005</v>
      </c>
      <c r="K870">
        <v>100000</v>
      </c>
      <c r="L870" s="2">
        <v>45576</v>
      </c>
    </row>
    <row r="871" spans="1:12">
      <c r="A871" t="s">
        <v>1200</v>
      </c>
      <c r="B871" t="s">
        <v>45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>
        <v>13.23</v>
      </c>
      <c r="J871" s="8">
        <v>0.86750000000000005</v>
      </c>
      <c r="K871">
        <v>50000</v>
      </c>
      <c r="L871" s="2">
        <v>45570</v>
      </c>
    </row>
    <row r="872" spans="1:12">
      <c r="A872" t="s">
        <v>1201</v>
      </c>
      <c r="B872" t="s">
        <v>564</v>
      </c>
      <c r="C872" t="s">
        <v>14</v>
      </c>
      <c r="D872" t="s">
        <v>20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 s="8">
        <v>0.97450000000000003</v>
      </c>
      <c r="K872">
        <v>100000</v>
      </c>
      <c r="L872" s="2">
        <v>45873</v>
      </c>
    </row>
    <row r="873" spans="1:12">
      <c r="A873" t="s">
        <v>1202</v>
      </c>
      <c r="B873" t="s">
        <v>575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>
        <v>14.13</v>
      </c>
      <c r="J873" s="8">
        <v>0.97970000000000002</v>
      </c>
      <c r="K873">
        <v>110000</v>
      </c>
      <c r="L873" s="2">
        <v>45818</v>
      </c>
    </row>
    <row r="874" spans="1:12">
      <c r="A874" t="s">
        <v>1203</v>
      </c>
      <c r="B874" t="s">
        <v>1204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>
        <v>10.52</v>
      </c>
      <c r="J874" s="8">
        <v>0.92959999999999998</v>
      </c>
      <c r="K874">
        <v>100000</v>
      </c>
      <c r="L874" s="2">
        <v>46131</v>
      </c>
    </row>
    <row r="875" spans="1:12">
      <c r="A875" t="s">
        <v>1205</v>
      </c>
      <c r="B875" t="s">
        <v>737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>
        <v>10.86</v>
      </c>
      <c r="J875" s="8">
        <v>0.6784</v>
      </c>
      <c r="K875">
        <v>85000</v>
      </c>
      <c r="L875" s="2">
        <v>45944</v>
      </c>
    </row>
    <row r="876" spans="1:12">
      <c r="A876" t="s">
        <v>1206</v>
      </c>
      <c r="B876" t="s">
        <v>317</v>
      </c>
      <c r="C876" t="s">
        <v>19</v>
      </c>
      <c r="D876" t="s">
        <v>36</v>
      </c>
      <c r="E876" t="s">
        <v>21</v>
      </c>
      <c r="F876">
        <v>16.04</v>
      </c>
      <c r="G876">
        <v>11.75</v>
      </c>
      <c r="H876">
        <v>13.87</v>
      </c>
      <c r="I876">
        <v>16.010000000000002</v>
      </c>
      <c r="J876" s="8">
        <v>0.68859999999999999</v>
      </c>
      <c r="K876">
        <v>50000</v>
      </c>
      <c r="L876" s="2">
        <v>46065</v>
      </c>
    </row>
    <row r="877" spans="1:12">
      <c r="A877" t="s">
        <v>1207</v>
      </c>
      <c r="B877" t="s">
        <v>777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>
        <v>13.23</v>
      </c>
      <c r="J877" s="8">
        <v>0.92969999999999997</v>
      </c>
      <c r="K877">
        <v>85000</v>
      </c>
      <c r="L877" s="2">
        <v>45945</v>
      </c>
    </row>
    <row r="878" spans="1:12">
      <c r="A878" t="s">
        <v>1208</v>
      </c>
      <c r="B878" t="s">
        <v>55</v>
      </c>
      <c r="C878" t="s">
        <v>19</v>
      </c>
      <c r="D878" t="s">
        <v>53</v>
      </c>
      <c r="E878" t="s">
        <v>16</v>
      </c>
      <c r="F878">
        <v>10.08</v>
      </c>
      <c r="G878">
        <v>14.71</v>
      </c>
      <c r="H878">
        <v>8.74</v>
      </c>
      <c r="I878">
        <v>7.94</v>
      </c>
      <c r="J878" s="8">
        <v>0.97289999999999999</v>
      </c>
      <c r="K878">
        <v>100000</v>
      </c>
      <c r="L878" s="2">
        <v>45777</v>
      </c>
    </row>
    <row r="879" spans="1:12">
      <c r="A879" t="s">
        <v>1209</v>
      </c>
      <c r="B879" t="s">
        <v>442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>
        <v>7.75</v>
      </c>
      <c r="J879" s="8">
        <v>0.82310000000000005</v>
      </c>
      <c r="K879">
        <v>90000</v>
      </c>
      <c r="L879" s="2">
        <v>45996</v>
      </c>
    </row>
    <row r="880" spans="1:12">
      <c r="A880" t="s">
        <v>1210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>
        <v>10.87</v>
      </c>
      <c r="J880" s="8">
        <v>0.77610000000000001</v>
      </c>
      <c r="K880">
        <v>90000</v>
      </c>
      <c r="L880" s="2">
        <v>45971</v>
      </c>
    </row>
    <row r="881" spans="1:12">
      <c r="A881" t="s">
        <v>1211</v>
      </c>
      <c r="B881" t="s">
        <v>127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>
        <v>11.58</v>
      </c>
      <c r="J881" s="8">
        <v>0.94079999999999997</v>
      </c>
      <c r="K881">
        <v>85000</v>
      </c>
      <c r="L881" s="2">
        <v>46040</v>
      </c>
    </row>
    <row r="882" spans="1:12">
      <c r="A882" t="s">
        <v>1212</v>
      </c>
      <c r="B882" t="s">
        <v>607</v>
      </c>
      <c r="C882" t="s">
        <v>14</v>
      </c>
      <c r="D882" t="s">
        <v>28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 s="8">
        <v>0.65229999999999999</v>
      </c>
      <c r="K882">
        <v>90000</v>
      </c>
      <c r="L882" s="2">
        <v>45668</v>
      </c>
    </row>
    <row r="883" spans="1:12">
      <c r="A883" t="s">
        <v>1213</v>
      </c>
      <c r="B883" t="s">
        <v>85</v>
      </c>
      <c r="C883" t="s">
        <v>19</v>
      </c>
      <c r="D883" t="s">
        <v>53</v>
      </c>
      <c r="E883" t="s">
        <v>21</v>
      </c>
      <c r="F883">
        <v>13.62</v>
      </c>
      <c r="G883">
        <v>9.76</v>
      </c>
      <c r="H883">
        <v>14.93</v>
      </c>
      <c r="I883">
        <v>14.46</v>
      </c>
      <c r="J883" s="8">
        <v>0.55000000000000004</v>
      </c>
      <c r="K883">
        <v>75000</v>
      </c>
      <c r="L883" s="2">
        <v>45985</v>
      </c>
    </row>
    <row r="884" spans="1:12">
      <c r="A884" t="s">
        <v>1214</v>
      </c>
      <c r="B884" t="s">
        <v>833</v>
      </c>
      <c r="C884" t="s">
        <v>14</v>
      </c>
      <c r="D884" t="s">
        <v>53</v>
      </c>
      <c r="E884" t="s">
        <v>21</v>
      </c>
      <c r="F884">
        <v>15.32</v>
      </c>
      <c r="G884">
        <v>17.29</v>
      </c>
      <c r="H884">
        <v>15.28</v>
      </c>
      <c r="I884">
        <v>14.93</v>
      </c>
      <c r="J884" s="8">
        <v>0.61939999999999995</v>
      </c>
      <c r="K884">
        <v>90000</v>
      </c>
      <c r="L884" s="2">
        <v>45735</v>
      </c>
    </row>
    <row r="885" spans="1:12">
      <c r="A885" t="s">
        <v>1215</v>
      </c>
      <c r="B885" t="s">
        <v>372</v>
      </c>
      <c r="C885" t="s">
        <v>14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 s="8">
        <v>0.72609999999999997</v>
      </c>
      <c r="K885">
        <v>75000</v>
      </c>
      <c r="L885" s="2">
        <v>46089</v>
      </c>
    </row>
    <row r="886" spans="1:12">
      <c r="A886" t="s">
        <v>1216</v>
      </c>
      <c r="B886" t="s">
        <v>1034</v>
      </c>
      <c r="C886" t="s">
        <v>19</v>
      </c>
      <c r="D886" t="s">
        <v>53</v>
      </c>
      <c r="E886" t="s">
        <v>16</v>
      </c>
      <c r="F886">
        <v>13.13</v>
      </c>
      <c r="G886">
        <v>13.86</v>
      </c>
      <c r="H886">
        <v>15.82</v>
      </c>
      <c r="I886">
        <v>11.05</v>
      </c>
      <c r="J886" s="8">
        <v>0.76170000000000004</v>
      </c>
      <c r="K886">
        <v>85000</v>
      </c>
      <c r="L886" s="2">
        <v>46094</v>
      </c>
    </row>
    <row r="887" spans="1:12">
      <c r="A887" t="s">
        <v>1217</v>
      </c>
      <c r="B887" t="s">
        <v>720</v>
      </c>
      <c r="C887" t="s">
        <v>19</v>
      </c>
      <c r="D887" t="s">
        <v>36</v>
      </c>
      <c r="E887" t="s">
        <v>16</v>
      </c>
      <c r="F887">
        <v>9.74</v>
      </c>
      <c r="G887">
        <v>12.23</v>
      </c>
      <c r="H887">
        <v>11.87</v>
      </c>
      <c r="I887">
        <v>14.45</v>
      </c>
      <c r="J887" s="8">
        <v>0.66259999999999997</v>
      </c>
      <c r="K887">
        <v>80000</v>
      </c>
      <c r="L887" s="2">
        <v>45973</v>
      </c>
    </row>
    <row r="888" spans="1:12">
      <c r="A888" t="s">
        <v>1218</v>
      </c>
      <c r="B888" t="s">
        <v>562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>
        <v>12.51</v>
      </c>
      <c r="J888" s="8">
        <v>0.90469999999999995</v>
      </c>
      <c r="K888">
        <v>100000</v>
      </c>
      <c r="L888" s="2">
        <v>46198</v>
      </c>
    </row>
    <row r="889" spans="1:12">
      <c r="A889" t="s">
        <v>1219</v>
      </c>
      <c r="B889" t="s">
        <v>718</v>
      </c>
      <c r="C889" t="s">
        <v>14</v>
      </c>
      <c r="D889" t="s">
        <v>20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 s="8">
        <v>0.84689999999999999</v>
      </c>
      <c r="K889">
        <v>120000</v>
      </c>
      <c r="L889" s="2">
        <v>45912</v>
      </c>
    </row>
    <row r="890" spans="1:12">
      <c r="A890" t="s">
        <v>1220</v>
      </c>
      <c r="B890" t="s">
        <v>325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>
        <v>11.71</v>
      </c>
      <c r="J890" s="8">
        <v>0.82040000000000002</v>
      </c>
      <c r="K890">
        <v>90000</v>
      </c>
      <c r="L890" s="2">
        <v>45553</v>
      </c>
    </row>
    <row r="891" spans="1:12">
      <c r="A891" t="s">
        <v>1221</v>
      </c>
      <c r="B891" t="s">
        <v>65</v>
      </c>
      <c r="C891" t="s">
        <v>14</v>
      </c>
      <c r="D891" t="s">
        <v>36</v>
      </c>
      <c r="E891" t="s">
        <v>21</v>
      </c>
      <c r="F891">
        <v>12.88</v>
      </c>
      <c r="G891">
        <v>11.2</v>
      </c>
      <c r="H891">
        <v>12.37</v>
      </c>
      <c r="I891">
        <v>13.76</v>
      </c>
      <c r="J891" s="8">
        <v>0.73619999999999997</v>
      </c>
      <c r="K891">
        <v>60000</v>
      </c>
      <c r="L891" s="2">
        <v>45960</v>
      </c>
    </row>
    <row r="892" spans="1:12">
      <c r="A892" t="s">
        <v>1222</v>
      </c>
      <c r="B892" t="s">
        <v>178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>
        <v>17.36</v>
      </c>
      <c r="J892" s="8">
        <v>0.80800000000000005</v>
      </c>
      <c r="K892">
        <v>100000</v>
      </c>
      <c r="L892" s="2">
        <v>46080</v>
      </c>
    </row>
    <row r="893" spans="1:12">
      <c r="A893" t="s">
        <v>1223</v>
      </c>
      <c r="B893" t="s">
        <v>50</v>
      </c>
      <c r="C893" t="s">
        <v>19</v>
      </c>
      <c r="D893" t="s">
        <v>36</v>
      </c>
      <c r="E893" t="s">
        <v>21</v>
      </c>
      <c r="F893">
        <v>13.75</v>
      </c>
      <c r="G893">
        <v>16.03</v>
      </c>
      <c r="H893">
        <v>13.79</v>
      </c>
      <c r="I893">
        <v>12.45</v>
      </c>
      <c r="J893" s="8">
        <v>0.62170000000000003</v>
      </c>
      <c r="K893">
        <v>75000</v>
      </c>
      <c r="L893" s="2">
        <v>45606</v>
      </c>
    </row>
    <row r="894" spans="1:12">
      <c r="A894" t="s">
        <v>1224</v>
      </c>
      <c r="B894" t="s">
        <v>260</v>
      </c>
      <c r="C894" t="s">
        <v>19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 s="8">
        <v>0.85919999999999996</v>
      </c>
      <c r="K894">
        <v>50000</v>
      </c>
      <c r="L894" s="2">
        <v>45609</v>
      </c>
    </row>
    <row r="895" spans="1:12">
      <c r="A895" t="s">
        <v>1225</v>
      </c>
      <c r="B895" t="s">
        <v>52</v>
      </c>
      <c r="C895" t="s">
        <v>19</v>
      </c>
      <c r="D895" t="s">
        <v>53</v>
      </c>
      <c r="E895" t="s">
        <v>16</v>
      </c>
      <c r="F895">
        <v>15.25</v>
      </c>
      <c r="G895">
        <v>17.68</v>
      </c>
      <c r="H895">
        <v>13.17</v>
      </c>
      <c r="I895">
        <v>16.809999999999999</v>
      </c>
      <c r="J895" s="8">
        <v>0.87939999999999996</v>
      </c>
      <c r="K895">
        <v>70000</v>
      </c>
      <c r="L895" s="2">
        <v>45727</v>
      </c>
    </row>
    <row r="896" spans="1:12">
      <c r="A896" t="s">
        <v>1226</v>
      </c>
      <c r="B896" t="s">
        <v>585</v>
      </c>
      <c r="C896" t="s">
        <v>19</v>
      </c>
      <c r="D896" t="s">
        <v>53</v>
      </c>
      <c r="E896" t="s">
        <v>16</v>
      </c>
      <c r="F896">
        <v>10.85</v>
      </c>
      <c r="G896">
        <v>12.56</v>
      </c>
      <c r="H896">
        <v>11.21</v>
      </c>
      <c r="I896">
        <v>8.98</v>
      </c>
      <c r="J896" s="8">
        <v>0.89259999999999995</v>
      </c>
      <c r="K896">
        <v>130000</v>
      </c>
      <c r="L896" s="2">
        <v>46126</v>
      </c>
    </row>
    <row r="897" spans="1:12">
      <c r="A897" t="s">
        <v>1227</v>
      </c>
      <c r="B897" t="s">
        <v>623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>
        <v>11.3</v>
      </c>
      <c r="J897" s="8">
        <v>0.78939999999999999</v>
      </c>
      <c r="K897">
        <v>80000</v>
      </c>
      <c r="L897" s="2">
        <v>45905</v>
      </c>
    </row>
    <row r="898" spans="1:12">
      <c r="A898" t="s">
        <v>1228</v>
      </c>
      <c r="B898" t="s">
        <v>129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>
        <v>17.690000000000001</v>
      </c>
      <c r="J898" s="8">
        <v>0.94220000000000004</v>
      </c>
      <c r="K898">
        <v>70000</v>
      </c>
      <c r="L898" s="2">
        <v>46219</v>
      </c>
    </row>
    <row r="899" spans="1:12">
      <c r="A899" t="s">
        <v>1229</v>
      </c>
      <c r="B899" t="s">
        <v>75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>
        <v>11.93</v>
      </c>
      <c r="J899" s="8">
        <v>0.90300000000000002</v>
      </c>
      <c r="K899">
        <v>60000</v>
      </c>
      <c r="L899" s="2">
        <v>46147</v>
      </c>
    </row>
    <row r="900" spans="1:12">
      <c r="A900" t="s">
        <v>1230</v>
      </c>
      <c r="B900" t="s">
        <v>100</v>
      </c>
      <c r="C900" t="s">
        <v>14</v>
      </c>
      <c r="D900" t="s">
        <v>15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 s="8">
        <v>0.92100000000000004</v>
      </c>
      <c r="K900">
        <v>100000</v>
      </c>
      <c r="L900" s="2">
        <v>45924</v>
      </c>
    </row>
    <row r="901" spans="1:12">
      <c r="A901" t="s">
        <v>1231</v>
      </c>
      <c r="B901" t="s">
        <v>1232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>
        <v>15.88</v>
      </c>
      <c r="J901" s="8">
        <v>0.85929999999999995</v>
      </c>
      <c r="K901">
        <v>110000</v>
      </c>
      <c r="L901" s="2">
        <v>46011</v>
      </c>
    </row>
    <row r="902" spans="1:12">
      <c r="A902" t="s">
        <v>1233</v>
      </c>
      <c r="B902" t="s">
        <v>939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>
        <v>15.34</v>
      </c>
      <c r="J902" s="8">
        <v>0.7581</v>
      </c>
      <c r="K902">
        <v>75000</v>
      </c>
      <c r="L902" s="2">
        <v>45767</v>
      </c>
    </row>
    <row r="903" spans="1:12">
      <c r="A903" t="s">
        <v>1234</v>
      </c>
      <c r="B903" t="s">
        <v>320</v>
      </c>
      <c r="C903" t="s">
        <v>14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 s="8">
        <v>0.92469999999999997</v>
      </c>
      <c r="K903">
        <v>60000</v>
      </c>
      <c r="L903" s="2">
        <v>45599</v>
      </c>
    </row>
    <row r="904" spans="1:12">
      <c r="A904" t="s">
        <v>1235</v>
      </c>
      <c r="B904" t="s">
        <v>543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>
        <v>14.4</v>
      </c>
      <c r="J904" s="8">
        <v>0.70069999999999999</v>
      </c>
      <c r="K904">
        <v>75000</v>
      </c>
      <c r="L904" s="2">
        <v>45815</v>
      </c>
    </row>
    <row r="905" spans="1:12">
      <c r="A905" t="s">
        <v>1236</v>
      </c>
      <c r="B905" t="s">
        <v>793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>
        <v>19.329999999999998</v>
      </c>
      <c r="J905" s="8">
        <v>0.77449999999999997</v>
      </c>
      <c r="K905">
        <v>100000</v>
      </c>
      <c r="L905" s="2">
        <v>45950</v>
      </c>
    </row>
    <row r="906" spans="1:12">
      <c r="A906" t="s">
        <v>1237</v>
      </c>
      <c r="B906" t="s">
        <v>288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>
        <v>9.49</v>
      </c>
      <c r="J906" s="8">
        <v>0.55000000000000004</v>
      </c>
      <c r="K906">
        <v>60000</v>
      </c>
      <c r="L906" s="2">
        <v>45663</v>
      </c>
    </row>
    <row r="907" spans="1:12">
      <c r="A907" t="s">
        <v>1238</v>
      </c>
      <c r="B907" t="s">
        <v>471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>
        <v>11.66</v>
      </c>
      <c r="J907" s="8">
        <v>0.84130000000000005</v>
      </c>
      <c r="K907">
        <v>70000</v>
      </c>
      <c r="L907" s="2">
        <v>45691</v>
      </c>
    </row>
    <row r="908" spans="1:12">
      <c r="A908" t="s">
        <v>1239</v>
      </c>
      <c r="B908" t="s">
        <v>121</v>
      </c>
      <c r="C908" t="s">
        <v>14</v>
      </c>
      <c r="D908" t="s">
        <v>53</v>
      </c>
      <c r="E908" t="s">
        <v>29</v>
      </c>
      <c r="F908">
        <v>9.16</v>
      </c>
      <c r="G908">
        <v>12.68</v>
      </c>
      <c r="H908">
        <v>6</v>
      </c>
      <c r="I908">
        <v>11.54</v>
      </c>
      <c r="J908" s="8">
        <v>0.92610000000000003</v>
      </c>
      <c r="K908">
        <v>50000</v>
      </c>
      <c r="L908" s="2">
        <v>45546</v>
      </c>
    </row>
    <row r="909" spans="1:12">
      <c r="A909" t="s">
        <v>1240</v>
      </c>
      <c r="B909" t="s">
        <v>178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>
        <v>10</v>
      </c>
      <c r="J909" s="8">
        <v>0.91759999999999997</v>
      </c>
      <c r="K909">
        <v>85000</v>
      </c>
      <c r="L909" s="2">
        <v>46049</v>
      </c>
    </row>
    <row r="910" spans="1:12">
      <c r="A910" t="s">
        <v>1241</v>
      </c>
      <c r="B910" t="s">
        <v>73</v>
      </c>
      <c r="C910" t="s">
        <v>14</v>
      </c>
      <c r="D910" t="s">
        <v>53</v>
      </c>
      <c r="E910" t="s">
        <v>29</v>
      </c>
      <c r="F910">
        <v>11.2</v>
      </c>
      <c r="G910">
        <v>7.92</v>
      </c>
      <c r="H910">
        <v>7.7</v>
      </c>
      <c r="I910">
        <v>10.82</v>
      </c>
      <c r="J910" s="8">
        <v>0.64249999999999996</v>
      </c>
      <c r="K910">
        <v>60000</v>
      </c>
      <c r="L910" s="2">
        <v>46165</v>
      </c>
    </row>
    <row r="911" spans="1:12">
      <c r="A911" t="s">
        <v>1242</v>
      </c>
      <c r="B911" t="s">
        <v>649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>
        <v>14.49</v>
      </c>
      <c r="J911" s="8">
        <v>0.88639999999999997</v>
      </c>
      <c r="K911">
        <v>70000</v>
      </c>
      <c r="L911" s="2">
        <v>46115</v>
      </c>
    </row>
    <row r="912" spans="1:12">
      <c r="A912" t="s">
        <v>1243</v>
      </c>
      <c r="B912" t="s">
        <v>611</v>
      </c>
      <c r="C912" t="s">
        <v>19</v>
      </c>
      <c r="D912" t="s">
        <v>15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 s="8">
        <v>0.95789999999999997</v>
      </c>
      <c r="K912">
        <v>60000</v>
      </c>
      <c r="L912" s="2">
        <v>45801</v>
      </c>
    </row>
    <row r="913" spans="1:12">
      <c r="A913" t="s">
        <v>1244</v>
      </c>
      <c r="B913" t="s">
        <v>1245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>
        <v>20</v>
      </c>
      <c r="J913" s="8">
        <v>0.85370000000000001</v>
      </c>
      <c r="K913">
        <v>110000</v>
      </c>
      <c r="L913" s="2">
        <v>45951</v>
      </c>
    </row>
    <row r="914" spans="1:12">
      <c r="A914" t="s">
        <v>1246</v>
      </c>
      <c r="B914" t="s">
        <v>492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>
        <v>9.4700000000000006</v>
      </c>
      <c r="J914" s="8">
        <v>0.82720000000000005</v>
      </c>
      <c r="K914">
        <v>85000</v>
      </c>
      <c r="L914" s="2">
        <v>46208</v>
      </c>
    </row>
    <row r="915" spans="1:12">
      <c r="A915" t="s">
        <v>1247</v>
      </c>
      <c r="B915" t="s">
        <v>213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>
        <v>16.649999999999999</v>
      </c>
      <c r="J915" s="8">
        <v>0.90839999999999999</v>
      </c>
      <c r="K915">
        <v>130000</v>
      </c>
      <c r="L915" s="2">
        <v>45949</v>
      </c>
    </row>
    <row r="916" spans="1:12">
      <c r="A916" t="s">
        <v>1248</v>
      </c>
      <c r="B916" t="s">
        <v>1232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>
        <v>20</v>
      </c>
      <c r="J916" s="8">
        <v>0.81840000000000002</v>
      </c>
      <c r="K916">
        <v>80000</v>
      </c>
      <c r="L916" s="2">
        <v>45743</v>
      </c>
    </row>
    <row r="917" spans="1:12">
      <c r="A917" t="s">
        <v>1249</v>
      </c>
      <c r="B917" t="s">
        <v>47</v>
      </c>
      <c r="C917" t="s">
        <v>14</v>
      </c>
      <c r="D917" t="s">
        <v>36</v>
      </c>
      <c r="E917" t="s">
        <v>16</v>
      </c>
      <c r="F917">
        <v>10.61</v>
      </c>
      <c r="G917">
        <v>8.27</v>
      </c>
      <c r="H917">
        <v>12.45</v>
      </c>
      <c r="I917">
        <v>9.51</v>
      </c>
      <c r="J917" s="8">
        <v>0.65190000000000003</v>
      </c>
      <c r="K917">
        <v>70000</v>
      </c>
      <c r="L917" s="2">
        <v>45773</v>
      </c>
    </row>
    <row r="918" spans="1:12">
      <c r="A918" t="s">
        <v>1250</v>
      </c>
      <c r="B918" t="s">
        <v>471</v>
      </c>
      <c r="C918" t="s">
        <v>19</v>
      </c>
      <c r="D918" t="s">
        <v>20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 s="8">
        <v>0.93179999999999996</v>
      </c>
      <c r="K918">
        <v>70000</v>
      </c>
      <c r="L918" s="2">
        <v>46044</v>
      </c>
    </row>
    <row r="919" spans="1:12">
      <c r="A919" t="s">
        <v>1251</v>
      </c>
      <c r="B919" t="s">
        <v>376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>
        <v>10.54</v>
      </c>
      <c r="J919" s="8">
        <v>0.89249999999999996</v>
      </c>
      <c r="K919">
        <v>130000</v>
      </c>
      <c r="L919" s="2">
        <v>45848</v>
      </c>
    </row>
    <row r="920" spans="1:12">
      <c r="A920" t="s">
        <v>1252</v>
      </c>
      <c r="B920" t="s">
        <v>449</v>
      </c>
      <c r="C920" t="s">
        <v>14</v>
      </c>
      <c r="D920" t="s">
        <v>28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 s="8">
        <v>0.91790000000000005</v>
      </c>
      <c r="K920">
        <v>90000</v>
      </c>
      <c r="L920" s="2">
        <v>46122</v>
      </c>
    </row>
    <row r="921" spans="1:12">
      <c r="A921" t="s">
        <v>1253</v>
      </c>
      <c r="B921" t="s">
        <v>655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>
        <v>9.92</v>
      </c>
      <c r="J921" s="8">
        <v>0.76900000000000002</v>
      </c>
      <c r="K921">
        <v>75000</v>
      </c>
      <c r="L921" s="2">
        <v>46140</v>
      </c>
    </row>
    <row r="922" spans="1:12">
      <c r="A922" t="s">
        <v>1254</v>
      </c>
      <c r="B922" t="s">
        <v>646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>
        <v>13.98</v>
      </c>
      <c r="J922" s="8">
        <v>0.90559999999999996</v>
      </c>
      <c r="K922">
        <v>100000</v>
      </c>
      <c r="L922" s="2">
        <v>45561</v>
      </c>
    </row>
    <row r="923" spans="1:12">
      <c r="A923" t="s">
        <v>1255</v>
      </c>
      <c r="B923" t="s">
        <v>129</v>
      </c>
      <c r="C923" t="s">
        <v>19</v>
      </c>
      <c r="D923" t="s">
        <v>28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 s="8">
        <v>0.89639999999999997</v>
      </c>
      <c r="K923">
        <v>90000</v>
      </c>
      <c r="L923" s="2">
        <v>46042</v>
      </c>
    </row>
    <row r="924" spans="1:12">
      <c r="A924" t="s">
        <v>1256</v>
      </c>
      <c r="B924" t="s">
        <v>1245</v>
      </c>
      <c r="C924" t="s">
        <v>14</v>
      </c>
      <c r="D924" t="s">
        <v>15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 s="8">
        <v>0.89459999999999995</v>
      </c>
      <c r="K924">
        <v>60000</v>
      </c>
      <c r="L924" s="2">
        <v>45794</v>
      </c>
    </row>
    <row r="925" spans="1:12">
      <c r="A925" t="s">
        <v>1257</v>
      </c>
      <c r="B925" t="s">
        <v>1038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>
        <v>14.61</v>
      </c>
      <c r="J925" s="8">
        <v>0.76690000000000003</v>
      </c>
      <c r="K925">
        <v>100000</v>
      </c>
      <c r="L925" s="2">
        <v>45899</v>
      </c>
    </row>
    <row r="926" spans="1:12">
      <c r="A926" t="s">
        <v>1258</v>
      </c>
      <c r="B926" t="s">
        <v>88</v>
      </c>
      <c r="C926" t="s">
        <v>14</v>
      </c>
      <c r="D926" t="s">
        <v>15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 s="8">
        <v>0.80840000000000001</v>
      </c>
      <c r="K926">
        <v>60000</v>
      </c>
      <c r="L926" s="2">
        <v>45721</v>
      </c>
    </row>
    <row r="927" spans="1:12">
      <c r="A927" t="s">
        <v>1259</v>
      </c>
      <c r="B927" t="s">
        <v>720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>
        <v>12.41</v>
      </c>
      <c r="J927" s="8">
        <v>0.85250000000000004</v>
      </c>
      <c r="K927">
        <v>70000</v>
      </c>
      <c r="L927" s="2">
        <v>45793</v>
      </c>
    </row>
    <row r="928" spans="1:12">
      <c r="A928" t="s">
        <v>1260</v>
      </c>
      <c r="B928" t="s">
        <v>146</v>
      </c>
      <c r="C928" t="s">
        <v>19</v>
      </c>
      <c r="D928" t="s">
        <v>20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 s="8">
        <v>0.95640000000000003</v>
      </c>
      <c r="K928">
        <v>100000</v>
      </c>
      <c r="L928" s="2">
        <v>45767</v>
      </c>
    </row>
    <row r="929" spans="1:12">
      <c r="A929" t="s">
        <v>1261</v>
      </c>
      <c r="B929" t="s">
        <v>152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>
        <v>13.52</v>
      </c>
      <c r="J929" s="8">
        <v>0.97670000000000001</v>
      </c>
      <c r="K929">
        <v>80000</v>
      </c>
      <c r="L929" s="2">
        <v>45571</v>
      </c>
    </row>
    <row r="930" spans="1:12">
      <c r="A930" t="s">
        <v>1262</v>
      </c>
      <c r="B930" t="s">
        <v>1184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>
        <v>8.48</v>
      </c>
      <c r="J930" s="8">
        <v>0.79890000000000005</v>
      </c>
      <c r="K930">
        <v>70000</v>
      </c>
      <c r="L930" s="2">
        <v>46083</v>
      </c>
    </row>
    <row r="931" spans="1:12">
      <c r="A931" t="s">
        <v>1263</v>
      </c>
      <c r="B931" t="s">
        <v>825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>
        <v>10.36</v>
      </c>
      <c r="J931" s="8">
        <v>0.98309999999999997</v>
      </c>
      <c r="K931">
        <v>50000</v>
      </c>
      <c r="L931" s="2">
        <v>45636</v>
      </c>
    </row>
    <row r="932" spans="1:12">
      <c r="A932" t="s">
        <v>1264</v>
      </c>
      <c r="B932" t="s">
        <v>344</v>
      </c>
      <c r="C932" t="s">
        <v>19</v>
      </c>
      <c r="D932" t="s">
        <v>15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 s="8">
        <v>0.60460000000000003</v>
      </c>
      <c r="K932">
        <v>90000</v>
      </c>
      <c r="L932" s="2">
        <v>45799</v>
      </c>
    </row>
    <row r="933" spans="1:12">
      <c r="A933" t="s">
        <v>1265</v>
      </c>
      <c r="B933" t="s">
        <v>781</v>
      </c>
      <c r="C933" t="s">
        <v>19</v>
      </c>
      <c r="D933" t="s">
        <v>36</v>
      </c>
      <c r="E933" t="s">
        <v>16</v>
      </c>
      <c r="F933">
        <v>11.8</v>
      </c>
      <c r="G933">
        <v>15</v>
      </c>
      <c r="H933">
        <v>16.59</v>
      </c>
      <c r="I933">
        <v>14.88</v>
      </c>
      <c r="J933" s="8">
        <v>0.55000000000000004</v>
      </c>
      <c r="K933">
        <v>100000</v>
      </c>
      <c r="L933" s="2">
        <v>45671</v>
      </c>
    </row>
    <row r="934" spans="1:12">
      <c r="A934" t="s">
        <v>1266</v>
      </c>
      <c r="B934" t="s">
        <v>291</v>
      </c>
      <c r="C934" t="s">
        <v>14</v>
      </c>
      <c r="D934" t="s">
        <v>32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 s="8">
        <v>0.81569999999999998</v>
      </c>
      <c r="K934">
        <v>70000</v>
      </c>
      <c r="L934" s="2">
        <v>45648</v>
      </c>
    </row>
    <row r="935" spans="1:12">
      <c r="A935" t="s">
        <v>1267</v>
      </c>
      <c r="B935" t="s">
        <v>699</v>
      </c>
      <c r="C935" t="s">
        <v>19</v>
      </c>
      <c r="D935" t="s">
        <v>36</v>
      </c>
      <c r="E935" t="s">
        <v>29</v>
      </c>
      <c r="F935">
        <v>8.07</v>
      </c>
      <c r="G935">
        <v>9.15</v>
      </c>
      <c r="H935">
        <v>9.3000000000000007</v>
      </c>
      <c r="I935">
        <v>8.1199999999999992</v>
      </c>
      <c r="J935" s="8">
        <v>0.91720000000000002</v>
      </c>
      <c r="K935">
        <v>80000</v>
      </c>
      <c r="L935" s="2">
        <v>45797</v>
      </c>
    </row>
    <row r="936" spans="1:12">
      <c r="A936" t="s">
        <v>1268</v>
      </c>
      <c r="B936" t="s">
        <v>69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>
        <v>15.55</v>
      </c>
      <c r="J936" s="8">
        <v>0.82989999999999997</v>
      </c>
      <c r="K936">
        <v>75000</v>
      </c>
      <c r="L936" s="2">
        <v>46179</v>
      </c>
    </row>
    <row r="937" spans="1:12">
      <c r="A937" t="s">
        <v>1269</v>
      </c>
      <c r="B937" t="s">
        <v>777</v>
      </c>
      <c r="C937" t="s">
        <v>19</v>
      </c>
      <c r="D937" t="s">
        <v>28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 s="8">
        <v>0.95130000000000003</v>
      </c>
      <c r="K937">
        <v>120000</v>
      </c>
      <c r="L937" s="2">
        <v>46196</v>
      </c>
    </row>
    <row r="938" spans="1:12">
      <c r="A938" t="s">
        <v>1270</v>
      </c>
      <c r="B938" t="s">
        <v>600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>
        <v>13.42</v>
      </c>
      <c r="J938" s="8">
        <v>0.55000000000000004</v>
      </c>
      <c r="K938">
        <v>110000</v>
      </c>
      <c r="L938" s="2">
        <v>45803</v>
      </c>
    </row>
    <row r="939" spans="1:12">
      <c r="A939" t="s">
        <v>1271</v>
      </c>
      <c r="B939" t="s">
        <v>295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>
        <v>15.16</v>
      </c>
      <c r="J939" s="8">
        <v>0.85319999999999996</v>
      </c>
      <c r="K939">
        <v>75000</v>
      </c>
      <c r="L939" s="2">
        <v>45889</v>
      </c>
    </row>
    <row r="940" spans="1:12">
      <c r="A940" t="s">
        <v>1272</v>
      </c>
      <c r="B940" t="s">
        <v>625</v>
      </c>
      <c r="C940" t="s">
        <v>14</v>
      </c>
      <c r="D940" t="s">
        <v>15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 s="8">
        <v>0.71779999999999999</v>
      </c>
      <c r="K940">
        <v>85000</v>
      </c>
      <c r="L940" s="2">
        <v>46225</v>
      </c>
    </row>
    <row r="941" spans="1:12">
      <c r="A941" t="s">
        <v>1273</v>
      </c>
      <c r="B941" t="s">
        <v>471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>
        <v>15.75</v>
      </c>
      <c r="J941" s="8">
        <v>0.9123</v>
      </c>
      <c r="K941">
        <v>130000</v>
      </c>
      <c r="L941" s="2">
        <v>45700</v>
      </c>
    </row>
    <row r="942" spans="1:12">
      <c r="A942" t="s">
        <v>1274</v>
      </c>
      <c r="B942" t="s">
        <v>415</v>
      </c>
      <c r="C942" t="s">
        <v>19</v>
      </c>
      <c r="D942" t="s">
        <v>53</v>
      </c>
      <c r="E942" t="s">
        <v>16</v>
      </c>
      <c r="F942">
        <v>10.4</v>
      </c>
      <c r="G942">
        <v>16.95</v>
      </c>
      <c r="H942">
        <v>14.09</v>
      </c>
      <c r="I942">
        <v>11.39</v>
      </c>
      <c r="J942" s="8">
        <v>0.82010000000000005</v>
      </c>
      <c r="K942">
        <v>75000</v>
      </c>
      <c r="L942" s="2">
        <v>46197</v>
      </c>
    </row>
    <row r="943" spans="1:12">
      <c r="A943" t="s">
        <v>1275</v>
      </c>
      <c r="B943" t="s">
        <v>770</v>
      </c>
      <c r="C943" t="s">
        <v>14</v>
      </c>
      <c r="D943" t="s">
        <v>36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 s="8">
        <v>0.88200000000000001</v>
      </c>
      <c r="K943">
        <v>60000</v>
      </c>
      <c r="L943" s="2">
        <v>45610</v>
      </c>
    </row>
    <row r="944" spans="1:12">
      <c r="A944" t="s">
        <v>1276</v>
      </c>
      <c r="B944" t="s">
        <v>111</v>
      </c>
      <c r="C944" t="s">
        <v>19</v>
      </c>
      <c r="D944" t="s">
        <v>36</v>
      </c>
      <c r="E944" t="s">
        <v>16</v>
      </c>
      <c r="F944">
        <v>16.190000000000001</v>
      </c>
      <c r="G944">
        <v>12.84</v>
      </c>
      <c r="H944">
        <v>18.32</v>
      </c>
      <c r="I944">
        <v>12.37</v>
      </c>
      <c r="J944" s="8">
        <v>0.9002</v>
      </c>
      <c r="K944">
        <v>75000</v>
      </c>
      <c r="L944" s="2">
        <v>45694</v>
      </c>
    </row>
    <row r="945" spans="1:12">
      <c r="A945" t="s">
        <v>1277</v>
      </c>
      <c r="B945" t="s">
        <v>359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>
        <v>10.42</v>
      </c>
      <c r="J945" s="8">
        <v>0.78869999999999996</v>
      </c>
      <c r="K945">
        <v>90000</v>
      </c>
      <c r="L945" s="2">
        <v>45772</v>
      </c>
    </row>
    <row r="946" spans="1:12">
      <c r="A946" t="s">
        <v>1278</v>
      </c>
      <c r="B946" t="s">
        <v>607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>
        <v>12.12</v>
      </c>
      <c r="J946" s="8">
        <v>0.65469999999999995</v>
      </c>
      <c r="K946">
        <v>130000</v>
      </c>
      <c r="L946" s="2">
        <v>45561</v>
      </c>
    </row>
    <row r="947" spans="1:12">
      <c r="A947" t="s">
        <v>1279</v>
      </c>
      <c r="B947" t="s">
        <v>354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>
        <v>14.84</v>
      </c>
      <c r="J947" s="8">
        <v>0.79479999999999995</v>
      </c>
      <c r="K947">
        <v>75000</v>
      </c>
      <c r="L947" s="2">
        <v>46107</v>
      </c>
    </row>
    <row r="948" spans="1:12">
      <c r="A948" t="s">
        <v>1280</v>
      </c>
      <c r="B948" t="s">
        <v>415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>
        <v>4.87</v>
      </c>
      <c r="J948" s="8">
        <v>0.61209999999999998</v>
      </c>
      <c r="K948">
        <v>50000</v>
      </c>
      <c r="L948" s="2">
        <v>46134</v>
      </c>
    </row>
    <row r="949" spans="1:12">
      <c r="A949" t="s">
        <v>1281</v>
      </c>
      <c r="B949" t="s">
        <v>1282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>
        <v>15</v>
      </c>
      <c r="J949" s="8">
        <v>0.97350000000000003</v>
      </c>
      <c r="K949">
        <v>60000</v>
      </c>
      <c r="L949" s="2">
        <v>45804</v>
      </c>
    </row>
    <row r="950" spans="1:12">
      <c r="A950" t="s">
        <v>1283</v>
      </c>
      <c r="B950" t="s">
        <v>433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>
        <v>6.79</v>
      </c>
      <c r="J950" s="8">
        <v>0.84860000000000002</v>
      </c>
      <c r="K950">
        <v>80000</v>
      </c>
      <c r="L950" s="2">
        <v>46121</v>
      </c>
    </row>
    <row r="951" spans="1:12">
      <c r="A951" t="s">
        <v>1284</v>
      </c>
      <c r="B951" t="s">
        <v>115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>
        <v>11.54</v>
      </c>
      <c r="J951" s="8">
        <v>0.73440000000000005</v>
      </c>
      <c r="K951">
        <v>60000</v>
      </c>
      <c r="L951" s="2">
        <v>46076</v>
      </c>
    </row>
    <row r="952" spans="1:12">
      <c r="A952" t="s">
        <v>1285</v>
      </c>
      <c r="B952" t="s">
        <v>737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>
        <v>18.61</v>
      </c>
      <c r="J952" s="8">
        <v>0.55000000000000004</v>
      </c>
      <c r="K952">
        <v>50000</v>
      </c>
      <c r="L952" s="2">
        <v>46096</v>
      </c>
    </row>
    <row r="953" spans="1:12">
      <c r="A953" t="s">
        <v>1286</v>
      </c>
      <c r="B953" t="s">
        <v>975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>
        <v>12.08</v>
      </c>
      <c r="J953" s="8">
        <v>0.89159999999999995</v>
      </c>
      <c r="K953">
        <v>100000</v>
      </c>
      <c r="L953" s="2">
        <v>46097</v>
      </c>
    </row>
    <row r="954" spans="1:12">
      <c r="A954" t="s">
        <v>1287</v>
      </c>
      <c r="B954" t="s">
        <v>81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>
        <v>9.24</v>
      </c>
      <c r="J954" s="8">
        <v>0.79420000000000002</v>
      </c>
      <c r="K954">
        <v>120000</v>
      </c>
      <c r="L954" s="2">
        <v>45937</v>
      </c>
    </row>
    <row r="955" spans="1:12">
      <c r="A955" t="s">
        <v>1288</v>
      </c>
      <c r="B955" t="s">
        <v>65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>
        <v>9.1</v>
      </c>
      <c r="J955" s="8">
        <v>0.91359999999999997</v>
      </c>
      <c r="K955">
        <v>70000</v>
      </c>
      <c r="L955" s="2">
        <v>45613</v>
      </c>
    </row>
    <row r="956" spans="1:12">
      <c r="A956" t="s">
        <v>1289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>
        <v>16.260000000000002</v>
      </c>
      <c r="J956" s="8">
        <v>0.69810000000000005</v>
      </c>
      <c r="K956">
        <v>85000</v>
      </c>
      <c r="L956" s="2">
        <v>46182</v>
      </c>
    </row>
    <row r="957" spans="1:12">
      <c r="A957" t="s">
        <v>1290</v>
      </c>
      <c r="B957" t="s">
        <v>550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>
        <v>9.59</v>
      </c>
      <c r="J957" s="8">
        <v>0.75960000000000005</v>
      </c>
      <c r="K957">
        <v>90000</v>
      </c>
      <c r="L957" s="2">
        <v>45962</v>
      </c>
    </row>
    <row r="958" spans="1:12">
      <c r="A958" t="s">
        <v>1291</v>
      </c>
      <c r="B958" t="s">
        <v>295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>
        <v>15.66</v>
      </c>
      <c r="J958" s="8">
        <v>0.82430000000000003</v>
      </c>
      <c r="K958">
        <v>100000</v>
      </c>
      <c r="L958" s="2">
        <v>46166</v>
      </c>
    </row>
    <row r="959" spans="1:12">
      <c r="A959" t="s">
        <v>1292</v>
      </c>
      <c r="B959" t="s">
        <v>315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>
        <v>14.39</v>
      </c>
      <c r="J959" s="8">
        <v>0.89080000000000004</v>
      </c>
      <c r="K959">
        <v>130000</v>
      </c>
      <c r="L959" s="2">
        <v>46207</v>
      </c>
    </row>
    <row r="960" spans="1:12">
      <c r="A960" t="s">
        <v>1293</v>
      </c>
      <c r="B960" t="s">
        <v>1106</v>
      </c>
      <c r="C960" t="s">
        <v>19</v>
      </c>
      <c r="D960" t="s">
        <v>36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 s="8">
        <v>0.9284</v>
      </c>
      <c r="K960">
        <v>120000</v>
      </c>
      <c r="L960" s="2">
        <v>45667</v>
      </c>
    </row>
    <row r="961" spans="1:12">
      <c r="A961" t="s">
        <v>1294</v>
      </c>
      <c r="B961" t="s">
        <v>152</v>
      </c>
      <c r="C961" t="s">
        <v>14</v>
      </c>
      <c r="D961" t="s">
        <v>53</v>
      </c>
      <c r="E961" t="s">
        <v>29</v>
      </c>
      <c r="F961">
        <v>9.4499999999999993</v>
      </c>
      <c r="G961">
        <v>14.82</v>
      </c>
      <c r="H961">
        <v>12.33</v>
      </c>
      <c r="I961">
        <v>13.44</v>
      </c>
      <c r="J961" s="8">
        <v>0.94369999999999998</v>
      </c>
      <c r="K961">
        <v>75000</v>
      </c>
      <c r="L961" s="2">
        <v>45817</v>
      </c>
    </row>
    <row r="962" spans="1:12">
      <c r="A962" t="s">
        <v>1295</v>
      </c>
      <c r="B962" t="s">
        <v>264</v>
      </c>
      <c r="C962" t="s">
        <v>14</v>
      </c>
      <c r="D962" t="s">
        <v>36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 s="8">
        <v>0.94099999999999995</v>
      </c>
      <c r="K962">
        <v>130000</v>
      </c>
      <c r="L962" s="2">
        <v>45670</v>
      </c>
    </row>
    <row r="963" spans="1:12">
      <c r="A963" t="s">
        <v>1296</v>
      </c>
      <c r="B963" t="s">
        <v>378</v>
      </c>
      <c r="C963" t="s">
        <v>14</v>
      </c>
      <c r="D963" t="s">
        <v>36</v>
      </c>
      <c r="E963" t="s">
        <v>16</v>
      </c>
      <c r="F963">
        <v>16.52</v>
      </c>
      <c r="G963">
        <v>15.53</v>
      </c>
      <c r="H963">
        <v>15.62</v>
      </c>
      <c r="I963">
        <v>17.7</v>
      </c>
      <c r="J963" s="8">
        <v>0.93889999999999996</v>
      </c>
      <c r="K963">
        <v>50000</v>
      </c>
      <c r="L963" s="2">
        <v>45571</v>
      </c>
    </row>
    <row r="964" spans="1:12">
      <c r="A964" t="s">
        <v>1297</v>
      </c>
      <c r="B964" t="s">
        <v>777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>
        <v>15.58</v>
      </c>
      <c r="J964" s="8">
        <v>0.87539999999999996</v>
      </c>
      <c r="K964">
        <v>130000</v>
      </c>
      <c r="L964" s="2">
        <v>46212</v>
      </c>
    </row>
    <row r="965" spans="1:12">
      <c r="A965" t="s">
        <v>1298</v>
      </c>
      <c r="B965" t="s">
        <v>194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>
        <v>11.93</v>
      </c>
      <c r="J965" s="8">
        <v>0.92620000000000002</v>
      </c>
      <c r="K965">
        <v>60000</v>
      </c>
      <c r="L965" s="2">
        <v>46182</v>
      </c>
    </row>
    <row r="966" spans="1:12">
      <c r="A966" t="s">
        <v>1299</v>
      </c>
      <c r="B966" t="s">
        <v>469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>
        <v>9.73</v>
      </c>
      <c r="J966" s="8">
        <v>0.79010000000000002</v>
      </c>
      <c r="K966">
        <v>60000</v>
      </c>
      <c r="L966" s="2">
        <v>46188</v>
      </c>
    </row>
    <row r="967" spans="1:12">
      <c r="A967" t="s">
        <v>1300</v>
      </c>
      <c r="B967" t="s">
        <v>213</v>
      </c>
      <c r="C967" t="s">
        <v>19</v>
      </c>
      <c r="D967" t="s">
        <v>53</v>
      </c>
      <c r="E967" t="s">
        <v>16</v>
      </c>
      <c r="F967">
        <v>10.32</v>
      </c>
      <c r="G967">
        <v>14.9</v>
      </c>
      <c r="H967">
        <v>11.64</v>
      </c>
      <c r="I967">
        <v>7.74</v>
      </c>
      <c r="J967" s="8">
        <v>0.98</v>
      </c>
      <c r="K967">
        <v>60000</v>
      </c>
      <c r="L967" s="2">
        <v>46154</v>
      </c>
    </row>
    <row r="968" spans="1:12">
      <c r="A968" t="s">
        <v>1301</v>
      </c>
      <c r="B968" t="s">
        <v>618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>
        <v>15.67</v>
      </c>
      <c r="J968" s="8">
        <v>0.81389999999999996</v>
      </c>
      <c r="K968">
        <v>60000</v>
      </c>
      <c r="L968" s="2">
        <v>45990</v>
      </c>
    </row>
    <row r="969" spans="1:12">
      <c r="A969" t="s">
        <v>1302</v>
      </c>
      <c r="B969" t="s">
        <v>351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>
        <v>6.57</v>
      </c>
      <c r="J969" s="8">
        <v>0.9506</v>
      </c>
      <c r="K969">
        <v>85000</v>
      </c>
      <c r="L969" s="2">
        <v>45901</v>
      </c>
    </row>
    <row r="970" spans="1:12">
      <c r="A970" t="s">
        <v>1303</v>
      </c>
      <c r="B970" t="s">
        <v>469</v>
      </c>
      <c r="C970" t="s">
        <v>19</v>
      </c>
      <c r="D970" t="s">
        <v>32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 s="8">
        <v>0.80110000000000003</v>
      </c>
      <c r="K970">
        <v>100000</v>
      </c>
      <c r="L970" s="2">
        <v>46230</v>
      </c>
    </row>
    <row r="971" spans="1:12">
      <c r="A971" t="s">
        <v>1304</v>
      </c>
      <c r="B971" t="s">
        <v>930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>
        <v>14.67</v>
      </c>
      <c r="J971" s="8">
        <v>0.87490000000000001</v>
      </c>
      <c r="K971">
        <v>110000</v>
      </c>
      <c r="L971" s="2">
        <v>45922</v>
      </c>
    </row>
    <row r="972" spans="1:12">
      <c r="A972" t="s">
        <v>1305</v>
      </c>
      <c r="B972" t="s">
        <v>264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>
        <v>10.14</v>
      </c>
      <c r="J972" s="8">
        <v>0.94620000000000004</v>
      </c>
      <c r="K972">
        <v>50000</v>
      </c>
      <c r="L972" s="2">
        <v>45985</v>
      </c>
    </row>
    <row r="973" spans="1:12">
      <c r="A973" t="s">
        <v>1306</v>
      </c>
      <c r="B973" t="s">
        <v>1282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>
        <v>10.45</v>
      </c>
      <c r="J973" s="8">
        <v>0.82310000000000005</v>
      </c>
      <c r="K973">
        <v>75000</v>
      </c>
      <c r="L973" s="2">
        <v>45684</v>
      </c>
    </row>
    <row r="974" spans="1:12">
      <c r="A974" t="s">
        <v>1307</v>
      </c>
      <c r="B974" t="s">
        <v>521</v>
      </c>
      <c r="C974" t="s">
        <v>14</v>
      </c>
      <c r="D974" t="s">
        <v>15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 s="8">
        <v>0.73939999999999995</v>
      </c>
      <c r="K974">
        <v>60000</v>
      </c>
      <c r="L974" s="2">
        <v>46058</v>
      </c>
    </row>
    <row r="975" spans="1:12">
      <c r="A975" t="s">
        <v>1308</v>
      </c>
      <c r="B975" t="s">
        <v>337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>
        <v>8.52</v>
      </c>
      <c r="J975" s="8">
        <v>0.55000000000000004</v>
      </c>
      <c r="K975">
        <v>60000</v>
      </c>
      <c r="L975" s="2">
        <v>46109</v>
      </c>
    </row>
    <row r="976" spans="1:12">
      <c r="A976" t="s">
        <v>1309</v>
      </c>
      <c r="B976" t="s">
        <v>1310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>
        <v>17.3</v>
      </c>
      <c r="J976" s="8">
        <v>0.64019999999999999</v>
      </c>
      <c r="K976">
        <v>110000</v>
      </c>
      <c r="L976" s="2">
        <v>46010</v>
      </c>
    </row>
    <row r="977" spans="1:12">
      <c r="A977" t="s">
        <v>1311</v>
      </c>
      <c r="B977" t="s">
        <v>514</v>
      </c>
      <c r="C977" t="s">
        <v>14</v>
      </c>
      <c r="D977" t="s">
        <v>36</v>
      </c>
      <c r="E977" t="s">
        <v>16</v>
      </c>
      <c r="F977">
        <v>9.86</v>
      </c>
      <c r="G977">
        <v>9.99</v>
      </c>
      <c r="H977">
        <v>8.39</v>
      </c>
      <c r="I977">
        <v>8.34</v>
      </c>
      <c r="J977" s="8">
        <v>0.87709999999999999</v>
      </c>
      <c r="K977">
        <v>100000</v>
      </c>
      <c r="L977" s="2">
        <v>45885</v>
      </c>
    </row>
    <row r="978" spans="1:12">
      <c r="A978" t="s">
        <v>1312</v>
      </c>
      <c r="B978" t="s">
        <v>410</v>
      </c>
      <c r="C978" t="s">
        <v>14</v>
      </c>
      <c r="D978" t="s">
        <v>36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 s="8">
        <v>0.96530000000000005</v>
      </c>
      <c r="K978">
        <v>70000</v>
      </c>
      <c r="L978" s="2">
        <v>45674</v>
      </c>
    </row>
    <row r="979" spans="1:12">
      <c r="A979" t="s">
        <v>1313</v>
      </c>
      <c r="B979" t="s">
        <v>96</v>
      </c>
      <c r="C979" t="s">
        <v>19</v>
      </c>
      <c r="D979" t="s">
        <v>15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 s="8">
        <v>0.69869999999999999</v>
      </c>
      <c r="K979">
        <v>75000</v>
      </c>
      <c r="L979" s="2">
        <v>45559</v>
      </c>
    </row>
    <row r="980" spans="1:12">
      <c r="A980" t="s">
        <v>1314</v>
      </c>
      <c r="B980" t="s">
        <v>253</v>
      </c>
      <c r="C980" t="s">
        <v>14</v>
      </c>
      <c r="D980" t="s">
        <v>36</v>
      </c>
      <c r="E980" t="s">
        <v>29</v>
      </c>
      <c r="F980">
        <v>9.1300000000000008</v>
      </c>
      <c r="G980">
        <v>9.81</v>
      </c>
      <c r="H980">
        <v>6.38</v>
      </c>
      <c r="I980">
        <v>7.88</v>
      </c>
      <c r="J980" s="8">
        <v>0.69350000000000001</v>
      </c>
      <c r="K980">
        <v>130000</v>
      </c>
      <c r="L980" s="2">
        <v>45975</v>
      </c>
    </row>
    <row r="981" spans="1:12">
      <c r="A981" t="s">
        <v>1315</v>
      </c>
      <c r="B981" t="s">
        <v>213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>
        <v>15.78</v>
      </c>
      <c r="J981" s="8">
        <v>0.8115</v>
      </c>
      <c r="K981">
        <v>90000</v>
      </c>
      <c r="L981" s="2">
        <v>46014</v>
      </c>
    </row>
    <row r="982" spans="1:12">
      <c r="A982" t="s">
        <v>1316</v>
      </c>
      <c r="B982" t="s">
        <v>166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>
        <v>9.6999999999999993</v>
      </c>
      <c r="J982" s="8">
        <v>0.72199999999999998</v>
      </c>
      <c r="K982">
        <v>70000</v>
      </c>
      <c r="L982" s="2">
        <v>46076</v>
      </c>
    </row>
    <row r="983" spans="1:12">
      <c r="A983" t="s">
        <v>1317</v>
      </c>
      <c r="B983" t="s">
        <v>1009</v>
      </c>
      <c r="C983" t="s">
        <v>19</v>
      </c>
      <c r="D983" t="s">
        <v>53</v>
      </c>
      <c r="E983" t="s">
        <v>21</v>
      </c>
      <c r="F983">
        <v>11.22</v>
      </c>
      <c r="G983">
        <v>10.74</v>
      </c>
      <c r="H983">
        <v>14.25</v>
      </c>
      <c r="I983">
        <v>12.82</v>
      </c>
      <c r="J983" s="8">
        <v>0.65639999999999998</v>
      </c>
      <c r="K983">
        <v>130000</v>
      </c>
      <c r="L983" s="2">
        <v>46201</v>
      </c>
    </row>
    <row r="984" spans="1:12">
      <c r="A984" t="s">
        <v>1318</v>
      </c>
      <c r="B984" t="s">
        <v>98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>
        <v>20</v>
      </c>
      <c r="J984" s="8">
        <v>0.73260000000000003</v>
      </c>
      <c r="K984">
        <v>70000</v>
      </c>
      <c r="L984" s="2">
        <v>45884</v>
      </c>
    </row>
    <row r="985" spans="1:12">
      <c r="A985" t="s">
        <v>1319</v>
      </c>
      <c r="B985" t="s">
        <v>589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>
        <v>12.41</v>
      </c>
      <c r="J985" s="8">
        <v>0.94850000000000001</v>
      </c>
      <c r="K985">
        <v>75000</v>
      </c>
      <c r="L985" s="2">
        <v>46116</v>
      </c>
    </row>
    <row r="986" spans="1:12">
      <c r="A986" t="s">
        <v>1320</v>
      </c>
      <c r="B986" t="s">
        <v>1321</v>
      </c>
      <c r="C986" t="s">
        <v>19</v>
      </c>
      <c r="D986" t="s">
        <v>36</v>
      </c>
      <c r="E986" t="s">
        <v>29</v>
      </c>
      <c r="F986">
        <v>18.82</v>
      </c>
      <c r="G986">
        <v>18.37</v>
      </c>
      <c r="H986">
        <v>12.55</v>
      </c>
      <c r="I986">
        <v>12.45</v>
      </c>
      <c r="J986" s="8">
        <v>0.66259999999999997</v>
      </c>
      <c r="K986">
        <v>100000</v>
      </c>
      <c r="L986" s="2">
        <v>46037</v>
      </c>
    </row>
    <row r="987" spans="1:12">
      <c r="A987" t="s">
        <v>1322</v>
      </c>
      <c r="B987" t="s">
        <v>18</v>
      </c>
      <c r="C987" t="s">
        <v>19</v>
      </c>
      <c r="D987" t="s">
        <v>20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 s="8">
        <v>0.97289999999999999</v>
      </c>
      <c r="K987">
        <v>85000</v>
      </c>
      <c r="L987" s="2">
        <v>45730</v>
      </c>
    </row>
    <row r="988" spans="1:12">
      <c r="A988" t="s">
        <v>1323</v>
      </c>
      <c r="B988" t="s">
        <v>908</v>
      </c>
      <c r="C988" t="s">
        <v>19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 s="8">
        <v>0.77700000000000002</v>
      </c>
      <c r="K988">
        <v>50000</v>
      </c>
      <c r="L988" s="2">
        <v>46127</v>
      </c>
    </row>
    <row r="989" spans="1:12">
      <c r="A989" t="s">
        <v>1324</v>
      </c>
      <c r="B989" t="s">
        <v>575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>
        <v>10.9</v>
      </c>
      <c r="J989" s="8">
        <v>0.85909999999999997</v>
      </c>
      <c r="K989">
        <v>110000</v>
      </c>
      <c r="L989" s="2">
        <v>45573</v>
      </c>
    </row>
    <row r="990" spans="1:12">
      <c r="A990" t="s">
        <v>1325</v>
      </c>
      <c r="B990" t="s">
        <v>241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>
        <v>8.0500000000000007</v>
      </c>
      <c r="J990" s="8">
        <v>0.66690000000000005</v>
      </c>
      <c r="K990">
        <v>70000</v>
      </c>
      <c r="L990" s="2">
        <v>45955</v>
      </c>
    </row>
    <row r="991" spans="1:12">
      <c r="A991" t="s">
        <v>1326</v>
      </c>
      <c r="B991" t="s">
        <v>404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>
        <v>10.36</v>
      </c>
      <c r="J991" s="8">
        <v>0.90310000000000001</v>
      </c>
      <c r="K991">
        <v>100000</v>
      </c>
      <c r="L991" s="2">
        <v>46194</v>
      </c>
    </row>
    <row r="992" spans="1:12">
      <c r="A992" t="s">
        <v>1327</v>
      </c>
      <c r="B992" t="s">
        <v>632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>
        <v>11.34</v>
      </c>
      <c r="J992" s="8">
        <v>0.6804</v>
      </c>
      <c r="K992">
        <v>75000</v>
      </c>
      <c r="L992" s="2">
        <v>45997</v>
      </c>
    </row>
    <row r="993" spans="1:12">
      <c r="A993" t="s">
        <v>1328</v>
      </c>
      <c r="B993" t="s">
        <v>218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>
        <v>12.02</v>
      </c>
      <c r="J993" s="8">
        <v>0.87019999999999997</v>
      </c>
      <c r="K993">
        <v>110000</v>
      </c>
      <c r="L993" s="2">
        <v>46191</v>
      </c>
    </row>
    <row r="994" spans="1:12">
      <c r="A994" t="s">
        <v>1329</v>
      </c>
      <c r="B994" t="s">
        <v>1330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>
        <v>11.4</v>
      </c>
      <c r="J994" s="8">
        <v>0.87929999999999997</v>
      </c>
      <c r="K994">
        <v>120000</v>
      </c>
      <c r="L994" s="2">
        <v>45575</v>
      </c>
    </row>
    <row r="995" spans="1:12">
      <c r="A995" t="s">
        <v>1331</v>
      </c>
      <c r="B995" t="s">
        <v>382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>
        <v>10.14</v>
      </c>
      <c r="J995" s="8">
        <v>0.94410000000000005</v>
      </c>
      <c r="K995">
        <v>110000</v>
      </c>
      <c r="L995" s="2">
        <v>45908</v>
      </c>
    </row>
    <row r="996" spans="1:12">
      <c r="A996" t="s">
        <v>1332</v>
      </c>
      <c r="B996" t="s">
        <v>380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>
        <v>9.19</v>
      </c>
      <c r="J996" s="8">
        <v>0.66180000000000005</v>
      </c>
      <c r="K996">
        <v>130000</v>
      </c>
      <c r="L996" s="2">
        <v>46082</v>
      </c>
    </row>
    <row r="997" spans="1:12">
      <c r="A997" t="s">
        <v>1333</v>
      </c>
      <c r="B997" t="s">
        <v>71</v>
      </c>
      <c r="C997" t="s">
        <v>19</v>
      </c>
      <c r="D997" t="s">
        <v>32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 s="8">
        <v>0.63160000000000005</v>
      </c>
      <c r="K997">
        <v>85000</v>
      </c>
      <c r="L997" s="2">
        <v>45985</v>
      </c>
    </row>
    <row r="998" spans="1:12">
      <c r="A998" t="s">
        <v>1334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>
        <v>11.26</v>
      </c>
      <c r="J998" s="8">
        <v>0.87109999999999999</v>
      </c>
      <c r="K998">
        <v>50000</v>
      </c>
      <c r="L998" s="2">
        <v>46152</v>
      </c>
    </row>
    <row r="999" spans="1:12">
      <c r="A999" t="s">
        <v>1335</v>
      </c>
      <c r="B999" t="s">
        <v>378</v>
      </c>
      <c r="C999" t="s">
        <v>14</v>
      </c>
      <c r="D999" t="s">
        <v>36</v>
      </c>
      <c r="E999" t="s">
        <v>29</v>
      </c>
      <c r="F999">
        <v>11.33</v>
      </c>
      <c r="G999">
        <v>12.15</v>
      </c>
      <c r="H999">
        <v>10.73</v>
      </c>
      <c r="I999">
        <v>11.6</v>
      </c>
      <c r="J999" s="8">
        <v>0.96430000000000005</v>
      </c>
      <c r="K999">
        <v>85000</v>
      </c>
      <c r="L999" s="2">
        <v>45859</v>
      </c>
    </row>
    <row r="1000" spans="1:12">
      <c r="A1000" t="s">
        <v>1336</v>
      </c>
      <c r="B1000" t="s">
        <v>191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>
        <v>16.04</v>
      </c>
      <c r="J1000" s="8">
        <v>0.64580000000000004</v>
      </c>
      <c r="K1000">
        <v>85000</v>
      </c>
      <c r="L1000" s="2">
        <v>46013</v>
      </c>
    </row>
    <row r="1001" spans="1:12">
      <c r="A1001" t="s">
        <v>1337</v>
      </c>
      <c r="B1001" t="s">
        <v>55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>
        <v>19.059999999999999</v>
      </c>
      <c r="J1001" s="8">
        <v>0.90300000000000002</v>
      </c>
      <c r="K1001">
        <v>100000</v>
      </c>
      <c r="L1001" s="2">
        <v>45829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2026-09-01T10:01:45Z</dcterms:modified>
  <cp:category/>
  <cp:contentStatus/>
</cp:coreProperties>
</file>